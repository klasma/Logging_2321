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45983</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45983</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45983</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45983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45983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45983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45983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45983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45983</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45983</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45983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45983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45983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45983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45983</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45983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45983</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45983</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45983</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45983</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45983</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45983</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45983</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45983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45983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45983</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45983</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45983</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45983</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56865-2025</t>
        </is>
      </c>
      <c r="B45" s="1" t="n">
        <v>45978.51783564815</v>
      </c>
      <c r="C45" s="1" t="n">
        <v>45983</v>
      </c>
      <c r="D45" t="inlineStr">
        <is>
          <t>JÄMTLANDS LÄN</t>
        </is>
      </c>
      <c r="E45" t="inlineStr">
        <is>
          <t>ÅRE</t>
        </is>
      </c>
      <c r="G45" t="n">
        <v>20.6</v>
      </c>
      <c r="H45" t="n">
        <v>1</v>
      </c>
      <c r="I45" t="n">
        <v>4</v>
      </c>
      <c r="J45" t="n">
        <v>5</v>
      </c>
      <c r="K45" t="n">
        <v>0</v>
      </c>
      <c r="L45" t="n">
        <v>0</v>
      </c>
      <c r="M45" t="n">
        <v>0</v>
      </c>
      <c r="N45" t="n">
        <v>0</v>
      </c>
      <c r="O45" t="n">
        <v>5</v>
      </c>
      <c r="P45" t="n">
        <v>0</v>
      </c>
      <c r="Q45" t="n">
        <v>9</v>
      </c>
      <c r="R45" s="2" t="inlineStr">
        <is>
          <t>Granticka
Gränsticka
Rödbrun blekspik
Skrovellav
Ullticka
Kransrams
Spindelblomster
Stuplav
Trådticka</t>
        </is>
      </c>
      <c r="S45">
        <f>HYPERLINK("https://klasma.github.io/Logging_2321/artfynd/A 56865-2025 artfynd.xlsx", "A 56865-2025")</f>
        <v/>
      </c>
      <c r="T45">
        <f>HYPERLINK("https://klasma.github.io/Logging_2321/kartor/A 56865-2025 karta.png", "A 56865-2025")</f>
        <v/>
      </c>
      <c r="V45">
        <f>HYPERLINK("https://klasma.github.io/Logging_2321/klagomål/A 56865-2025 FSC-klagomål.docx", "A 56865-2025")</f>
        <v/>
      </c>
      <c r="W45">
        <f>HYPERLINK("https://klasma.github.io/Logging_2321/klagomålsmail/A 56865-2025 FSC-klagomål mail.docx", "A 56865-2025")</f>
        <v/>
      </c>
      <c r="X45">
        <f>HYPERLINK("https://klasma.github.io/Logging_2321/tillsyn/A 56865-2025 tillsynsbegäran.docx", "A 56865-2025")</f>
        <v/>
      </c>
      <c r="Y45">
        <f>HYPERLINK("https://klasma.github.io/Logging_2321/tillsynsmail/A 56865-2025 tillsynsbegäran mail.docx", "A 56865-2025")</f>
        <v/>
      </c>
    </row>
    <row r="46" ht="15" customHeight="1">
      <c r="A46" t="inlineStr">
        <is>
          <t>A 20664-2021</t>
        </is>
      </c>
      <c r="B46" s="1" t="n">
        <v>44316</v>
      </c>
      <c r="C46" s="1" t="n">
        <v>45983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45983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45983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45983</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45983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45983</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45983</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20644-2021</t>
        </is>
      </c>
      <c r="B53" s="1" t="n">
        <v>44316</v>
      </c>
      <c r="C53" s="1" t="n">
        <v>45983</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45983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45983</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45983</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45983</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45983</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45983</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45983</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45983</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45983</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45983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43942-2024</t>
        </is>
      </c>
      <c r="B64" s="1" t="n">
        <v>45572</v>
      </c>
      <c r="C64" s="1" t="n">
        <v>45983</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30035-2024</t>
        </is>
      </c>
      <c r="B65" s="1" t="n">
        <v>45485</v>
      </c>
      <c r="C65" s="1" t="n">
        <v>45983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45983</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45983</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14205-2021</t>
        </is>
      </c>
      <c r="B68" s="1" t="n">
        <v>44278</v>
      </c>
      <c r="C68" s="1" t="n">
        <v>45983</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14205-2021 artfynd.xlsx", "A 14205-2021")</f>
        <v/>
      </c>
      <c r="T68">
        <f>HYPERLINK("https://klasma.github.io/Logging_2321/kartor/A 14205-2021 karta.png", "A 14205-2021")</f>
        <v/>
      </c>
      <c r="V68">
        <f>HYPERLINK("https://klasma.github.io/Logging_2321/klagomål/A 14205-2021 FSC-klagomål.docx", "A 14205-2021")</f>
        <v/>
      </c>
      <c r="W68">
        <f>HYPERLINK("https://klasma.github.io/Logging_2321/klagomålsmail/A 14205-2021 FSC-klagomål mail.docx", "A 14205-2021")</f>
        <v/>
      </c>
      <c r="X68">
        <f>HYPERLINK("https://klasma.github.io/Logging_2321/tillsyn/A 14205-2021 tillsynsbegäran.docx", "A 14205-2021")</f>
        <v/>
      </c>
      <c r="Y68">
        <f>HYPERLINK("https://klasma.github.io/Logging_2321/tillsynsmail/A 14205-2021 tillsynsbegäran mail.docx", "A 14205-2021")</f>
        <v/>
      </c>
      <c r="Z68">
        <f>HYPERLINK("https://klasma.github.io/Logging_2321/fåglar/A 14205-2021 prioriterade fågelarter.docx", "A 14205-2021")</f>
        <v/>
      </c>
    </row>
    <row r="69" ht="15" customHeight="1">
      <c r="A69" t="inlineStr">
        <is>
          <t>A 58238-2021</t>
        </is>
      </c>
      <c r="B69" s="1" t="n">
        <v>44487</v>
      </c>
      <c r="C69" s="1" t="n">
        <v>45983</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45983</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45983</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45983</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4775-2025</t>
        </is>
      </c>
      <c r="B73" s="1" t="n">
        <v>45688</v>
      </c>
      <c r="C73" s="1" t="n">
        <v>45983</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10491-2024</t>
        </is>
      </c>
      <c r="B74" s="1" t="n">
        <v>45366</v>
      </c>
      <c r="C74" s="1" t="n">
        <v>45983</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53436-2025</t>
        </is>
      </c>
      <c r="B75" s="1" t="n">
        <v>45959.63353009259</v>
      </c>
      <c r="C75" s="1" t="n">
        <v>45983</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45983</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42565-2024</t>
        </is>
      </c>
      <c r="B77" s="1" t="n">
        <v>45565</v>
      </c>
      <c r="C77" s="1" t="n">
        <v>45983</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54374-2025</t>
        </is>
      </c>
      <c r="B78" s="1" t="n">
        <v>45965.41842592593</v>
      </c>
      <c r="C78" s="1" t="n">
        <v>45983</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12988-2021</t>
        </is>
      </c>
      <c r="B79" s="1" t="n">
        <v>44271</v>
      </c>
      <c r="C79" s="1" t="n">
        <v>45983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45983</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30034-2024</t>
        </is>
      </c>
      <c r="B81" s="1" t="n">
        <v>45485</v>
      </c>
      <c r="C81" s="1" t="n">
        <v>45983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45983</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19925-2025</t>
        </is>
      </c>
      <c r="B83" s="1" t="n">
        <v>45771.634375</v>
      </c>
      <c r="C83" s="1" t="n">
        <v>45983</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20035-2024</t>
        </is>
      </c>
      <c r="B84" s="1" t="n">
        <v>45434</v>
      </c>
      <c r="C84" s="1" t="n">
        <v>45983</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45983</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45983</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19277-2021</t>
        </is>
      </c>
      <c r="B87" s="1" t="n">
        <v>44309</v>
      </c>
      <c r="C87" s="1" t="n">
        <v>45983</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45983</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10773-2021</t>
        </is>
      </c>
      <c r="B89" s="1" t="n">
        <v>44259</v>
      </c>
      <c r="C89" s="1" t="n">
        <v>45983</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22692-2025</t>
        </is>
      </c>
      <c r="B90" s="1" t="n">
        <v>45789.53834490741</v>
      </c>
      <c r="C90" s="1" t="n">
        <v>45983</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10501-2024</t>
        </is>
      </c>
      <c r="B91" s="1" t="n">
        <v>45366</v>
      </c>
      <c r="C91" s="1" t="n">
        <v>45983</v>
      </c>
      <c r="D91" t="inlineStr">
        <is>
          <t>JÄMTLANDS LÄN</t>
        </is>
      </c>
      <c r="E91" t="inlineStr">
        <is>
          <t>ÅRE</t>
        </is>
      </c>
      <c r="G91" t="n">
        <v>4.5</v>
      </c>
      <c r="H91" t="n">
        <v>0</v>
      </c>
      <c r="I91" t="n">
        <v>0</v>
      </c>
      <c r="J91" t="n">
        <v>3</v>
      </c>
      <c r="K91" t="n">
        <v>0</v>
      </c>
      <c r="L91" t="n">
        <v>0</v>
      </c>
      <c r="M91" t="n">
        <v>0</v>
      </c>
      <c r="N91" t="n">
        <v>0</v>
      </c>
      <c r="O91" t="n">
        <v>3</v>
      </c>
      <c r="P91" t="n">
        <v>0</v>
      </c>
      <c r="Q91" t="n">
        <v>3</v>
      </c>
      <c r="R91" s="2" t="inlineStr">
        <is>
          <t>Doftskinn
Granticka
Harticka</t>
        </is>
      </c>
      <c r="S91">
        <f>HYPERLINK("https://klasma.github.io/Logging_2321/artfynd/A 10501-2024 artfynd.xlsx", "A 10501-2024")</f>
        <v/>
      </c>
      <c r="T91">
        <f>HYPERLINK("https://klasma.github.io/Logging_2321/kartor/A 10501-2024 karta.png", "A 10501-2024")</f>
        <v/>
      </c>
      <c r="V91">
        <f>HYPERLINK("https://klasma.github.io/Logging_2321/klagomål/A 10501-2024 FSC-klagomål.docx", "A 10501-2024")</f>
        <v/>
      </c>
      <c r="W91">
        <f>HYPERLINK("https://klasma.github.io/Logging_2321/klagomålsmail/A 10501-2024 FSC-klagomål mail.docx", "A 10501-2024")</f>
        <v/>
      </c>
      <c r="X91">
        <f>HYPERLINK("https://klasma.github.io/Logging_2321/tillsyn/A 10501-2024 tillsynsbegäran.docx", "A 10501-2024")</f>
        <v/>
      </c>
      <c r="Y91">
        <f>HYPERLINK("https://klasma.github.io/Logging_2321/tillsynsmail/A 10501-2024 tillsynsbegäran mail.docx", "A 10501-2024")</f>
        <v/>
      </c>
    </row>
    <row r="92" ht="15" customHeight="1">
      <c r="A92" t="inlineStr">
        <is>
          <t>A 12269-2022</t>
        </is>
      </c>
      <c r="B92" s="1" t="n">
        <v>44637</v>
      </c>
      <c r="C92" s="1" t="n">
        <v>45983</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61875-2024</t>
        </is>
      </c>
      <c r="B93" s="1" t="n">
        <v>45651</v>
      </c>
      <c r="C93" s="1" t="n">
        <v>45983</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72934-2021</t>
        </is>
      </c>
      <c r="B94" s="1" t="n">
        <v>44547</v>
      </c>
      <c r="C94" s="1" t="n">
        <v>45983</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58387-2023</t>
        </is>
      </c>
      <c r="B95" s="1" t="n">
        <v>45250</v>
      </c>
      <c r="C95" s="1" t="n">
        <v>45983</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45983</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45983</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45983</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23572-2021</t>
        </is>
      </c>
      <c r="B99" s="1" t="n">
        <v>44334</v>
      </c>
      <c r="C99" s="1" t="n">
        <v>45983</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40386-2025</t>
        </is>
      </c>
      <c r="B100" s="1" t="n">
        <v>45895</v>
      </c>
      <c r="C100" s="1" t="n">
        <v>45983</v>
      </c>
      <c r="D100" t="inlineStr">
        <is>
          <t>JÄMTLANDS LÄN</t>
        </is>
      </c>
      <c r="E100" t="inlineStr">
        <is>
          <t>ÅRE</t>
        </is>
      </c>
      <c r="F100" t="inlineStr">
        <is>
          <t>Övriga Aktiebolag</t>
        </is>
      </c>
      <c r="G100" t="n">
        <v>7.5</v>
      </c>
      <c r="H100" t="n">
        <v>3</v>
      </c>
      <c r="I100" t="n">
        <v>0</v>
      </c>
      <c r="J100" t="n">
        <v>1</v>
      </c>
      <c r="K100" t="n">
        <v>0</v>
      </c>
      <c r="L100" t="n">
        <v>0</v>
      </c>
      <c r="M100" t="n">
        <v>0</v>
      </c>
      <c r="N100" t="n">
        <v>0</v>
      </c>
      <c r="O100" t="n">
        <v>1</v>
      </c>
      <c r="P100" t="n">
        <v>0</v>
      </c>
      <c r="Q100" t="n">
        <v>3</v>
      </c>
      <c r="R100" s="2" t="inlineStr">
        <is>
          <t>Tretåig hackspett
Lavskrika
Tjäder</t>
        </is>
      </c>
      <c r="S100">
        <f>HYPERLINK("https://klasma.github.io/Logging_2321/artfynd/A 40386-2025 artfynd.xlsx", "A 40386-2025")</f>
        <v/>
      </c>
      <c r="T100">
        <f>HYPERLINK("https://klasma.github.io/Logging_2321/kartor/A 40386-2025 karta.png", "A 40386-2025")</f>
        <v/>
      </c>
      <c r="V100">
        <f>HYPERLINK("https://klasma.github.io/Logging_2321/klagomål/A 40386-2025 FSC-klagomål.docx", "A 40386-2025")</f>
        <v/>
      </c>
      <c r="W100">
        <f>HYPERLINK("https://klasma.github.io/Logging_2321/klagomålsmail/A 40386-2025 FSC-klagomål mail.docx", "A 40386-2025")</f>
        <v/>
      </c>
      <c r="X100">
        <f>HYPERLINK("https://klasma.github.io/Logging_2321/tillsyn/A 40386-2025 tillsynsbegäran.docx", "A 40386-2025")</f>
        <v/>
      </c>
      <c r="Y100">
        <f>HYPERLINK("https://klasma.github.io/Logging_2321/tillsynsmail/A 40386-2025 tillsynsbegäran mail.docx", "A 40386-2025")</f>
        <v/>
      </c>
      <c r="Z100">
        <f>HYPERLINK("https://klasma.github.io/Logging_2321/fåglar/A 40386-2025 prioriterade fågelarter.docx", "A 40386-2025")</f>
        <v/>
      </c>
    </row>
    <row r="101" ht="15" customHeight="1">
      <c r="A101" t="inlineStr">
        <is>
          <t>A 57918-2024</t>
        </is>
      </c>
      <c r="B101" s="1" t="n">
        <v>45631</v>
      </c>
      <c r="C101" s="1" t="n">
        <v>45983</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56549-2025</t>
        </is>
      </c>
      <c r="B102" s="1" t="n">
        <v>45975.48099537037</v>
      </c>
      <c r="C102" s="1" t="n">
        <v>45983</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10627-2023</t>
        </is>
      </c>
      <c r="B103" s="1" t="n">
        <v>44984</v>
      </c>
      <c r="C103" s="1" t="n">
        <v>45983</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45983</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22601-2024</t>
        </is>
      </c>
      <c r="B105" s="1" t="n">
        <v>45447</v>
      </c>
      <c r="C105" s="1" t="n">
        <v>45983</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59237-2022</t>
        </is>
      </c>
      <c r="B106" s="1" t="n">
        <v>44904</v>
      </c>
      <c r="C106" s="1" t="n">
        <v>45983</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52588-2024</t>
        </is>
      </c>
      <c r="B107" s="1" t="n">
        <v>45609.69825231482</v>
      </c>
      <c r="C107" s="1" t="n">
        <v>45983</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40245-2023</t>
        </is>
      </c>
      <c r="B108" s="1" t="n">
        <v>45167</v>
      </c>
      <c r="C108" s="1" t="n">
        <v>45983</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14198-2021</t>
        </is>
      </c>
      <c r="B109" s="1" t="n">
        <v>44278</v>
      </c>
      <c r="C109" s="1" t="n">
        <v>45983</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23638-2023</t>
        </is>
      </c>
      <c r="B110" s="1" t="n">
        <v>45072</v>
      </c>
      <c r="C110" s="1" t="n">
        <v>45983</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45983</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36260-2023</t>
        </is>
      </c>
      <c r="B112" s="1" t="n">
        <v>45151</v>
      </c>
      <c r="C112" s="1" t="n">
        <v>45983</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13625-2023</t>
        </is>
      </c>
      <c r="B113" s="1" t="n">
        <v>45006</v>
      </c>
      <c r="C113" s="1" t="n">
        <v>45983</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20124-2023</t>
        </is>
      </c>
      <c r="B114" s="1" t="n">
        <v>45055</v>
      </c>
      <c r="C114" s="1" t="n">
        <v>45983</v>
      </c>
      <c r="D114" t="inlineStr">
        <is>
          <t>JÄMTLANDS LÄN</t>
        </is>
      </c>
      <c r="E114" t="inlineStr">
        <is>
          <t>ÅRE</t>
        </is>
      </c>
      <c r="G114" t="n">
        <v>3.4</v>
      </c>
      <c r="H114" t="n">
        <v>0</v>
      </c>
      <c r="I114" t="n">
        <v>3</v>
      </c>
      <c r="J114" t="n">
        <v>0</v>
      </c>
      <c r="K114" t="n">
        <v>0</v>
      </c>
      <c r="L114" t="n">
        <v>0</v>
      </c>
      <c r="M114" t="n">
        <v>0</v>
      </c>
      <c r="N114" t="n">
        <v>0</v>
      </c>
      <c r="O114" t="n">
        <v>0</v>
      </c>
      <c r="P114" t="n">
        <v>0</v>
      </c>
      <c r="Q114" t="n">
        <v>3</v>
      </c>
      <c r="R114" s="2" t="inlineStr">
        <is>
          <t>Finbräken
Svart trolldruva
Underviol</t>
        </is>
      </c>
      <c r="S114">
        <f>HYPERLINK("https://klasma.github.io/Logging_2321/artfynd/A 20124-2023 artfynd.xlsx", "A 20124-2023")</f>
        <v/>
      </c>
      <c r="T114">
        <f>HYPERLINK("https://klasma.github.io/Logging_2321/kartor/A 20124-2023 karta.png", "A 20124-2023")</f>
        <v/>
      </c>
      <c r="V114">
        <f>HYPERLINK("https://klasma.github.io/Logging_2321/klagomål/A 20124-2023 FSC-klagomål.docx", "A 20124-2023")</f>
        <v/>
      </c>
      <c r="W114">
        <f>HYPERLINK("https://klasma.github.io/Logging_2321/klagomålsmail/A 20124-2023 FSC-klagomål mail.docx", "A 20124-2023")</f>
        <v/>
      </c>
      <c r="X114">
        <f>HYPERLINK("https://klasma.github.io/Logging_2321/tillsyn/A 20124-2023 tillsynsbegäran.docx", "A 20124-2023")</f>
        <v/>
      </c>
      <c r="Y114">
        <f>HYPERLINK("https://klasma.github.io/Logging_2321/tillsynsmail/A 20124-2023 tillsynsbegäran mail.docx", "A 20124-2023")</f>
        <v/>
      </c>
    </row>
    <row r="115" ht="15" customHeight="1">
      <c r="A115" t="inlineStr">
        <is>
          <t>A 54128-2023</t>
        </is>
      </c>
      <c r="B115" s="1" t="n">
        <v>45232</v>
      </c>
      <c r="C115" s="1" t="n">
        <v>45983</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46984-2021</t>
        </is>
      </c>
      <c r="B116" s="1" t="n">
        <v>44446</v>
      </c>
      <c r="C116" s="1" t="n">
        <v>45983</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54055-2023</t>
        </is>
      </c>
      <c r="B117" s="1" t="n">
        <v>45231</v>
      </c>
      <c r="C117" s="1" t="n">
        <v>45983</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47993-2025</t>
        </is>
      </c>
      <c r="B118" s="1" t="n">
        <v>45931</v>
      </c>
      <c r="C118" s="1" t="n">
        <v>45983</v>
      </c>
      <c r="D118" t="inlineStr">
        <is>
          <t>JÄMTLANDS LÄN</t>
        </is>
      </c>
      <c r="E118" t="inlineStr">
        <is>
          <t>ÅRE</t>
        </is>
      </c>
      <c r="G118" t="n">
        <v>2.1</v>
      </c>
      <c r="H118" t="n">
        <v>0</v>
      </c>
      <c r="I118" t="n">
        <v>1</v>
      </c>
      <c r="J118" t="n">
        <v>1</v>
      </c>
      <c r="K118" t="n">
        <v>0</v>
      </c>
      <c r="L118" t="n">
        <v>0</v>
      </c>
      <c r="M118" t="n">
        <v>0</v>
      </c>
      <c r="N118" t="n">
        <v>0</v>
      </c>
      <c r="O118" t="n">
        <v>1</v>
      </c>
      <c r="P118" t="n">
        <v>0</v>
      </c>
      <c r="Q118" t="n">
        <v>2</v>
      </c>
      <c r="R118" s="2" t="inlineStr">
        <is>
          <t>Ullticka
Svart trolldruva</t>
        </is>
      </c>
      <c r="S118">
        <f>HYPERLINK("https://klasma.github.io/Logging_2321/artfynd/A 47993-2025 artfynd.xlsx", "A 47993-2025")</f>
        <v/>
      </c>
      <c r="T118">
        <f>HYPERLINK("https://klasma.github.io/Logging_2321/kartor/A 47993-2025 karta.png", "A 47993-2025")</f>
        <v/>
      </c>
      <c r="V118">
        <f>HYPERLINK("https://klasma.github.io/Logging_2321/klagomål/A 47993-2025 FSC-klagomål.docx", "A 47993-2025")</f>
        <v/>
      </c>
      <c r="W118">
        <f>HYPERLINK("https://klasma.github.io/Logging_2321/klagomålsmail/A 47993-2025 FSC-klagomål mail.docx", "A 47993-2025")</f>
        <v/>
      </c>
      <c r="X118">
        <f>HYPERLINK("https://klasma.github.io/Logging_2321/tillsyn/A 47993-2025 tillsynsbegäran.docx", "A 47993-2025")</f>
        <v/>
      </c>
      <c r="Y118">
        <f>HYPERLINK("https://klasma.github.io/Logging_2321/tillsynsmail/A 47993-2025 tillsynsbegäran mail.docx", "A 47993-2025")</f>
        <v/>
      </c>
    </row>
    <row r="119" ht="15" customHeight="1">
      <c r="A119" t="inlineStr">
        <is>
          <t>A 32207-2022</t>
        </is>
      </c>
      <c r="B119" s="1" t="n">
        <v>44781</v>
      </c>
      <c r="C119" s="1" t="n">
        <v>45983</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32114-2025</t>
        </is>
      </c>
      <c r="B120" s="1" t="n">
        <v>45835.48488425926</v>
      </c>
      <c r="C120" s="1" t="n">
        <v>45983</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36395-2025</t>
        </is>
      </c>
      <c r="B121" s="1" t="n">
        <v>45868.6211574074</v>
      </c>
      <c r="C121" s="1" t="n">
        <v>45983</v>
      </c>
      <c r="D121" t="inlineStr">
        <is>
          <t>JÄMTLANDS LÄN</t>
        </is>
      </c>
      <c r="E121" t="inlineStr">
        <is>
          <t>ÅRE</t>
        </is>
      </c>
      <c r="G121" t="n">
        <v>19.6</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HYPERLINK("https://klasma.github.io/Logging_2321/artfynd/A 36395-2025 artfynd.xlsx", "A 36395-2025")</f>
        <v/>
      </c>
      <c r="T121">
        <f>HYPERLINK("https://klasma.github.io/Logging_2321/kartor/A 36395-2025 karta.png", "A 36395-2025")</f>
        <v/>
      </c>
      <c r="V121">
        <f>HYPERLINK("https://klasma.github.io/Logging_2321/klagomål/A 36395-2025 FSC-klagomål.docx", "A 36395-2025")</f>
        <v/>
      </c>
      <c r="W121">
        <f>HYPERLINK("https://klasma.github.io/Logging_2321/klagomålsmail/A 36395-2025 FSC-klagomål mail.docx", "A 36395-2025")</f>
        <v/>
      </c>
      <c r="X121">
        <f>HYPERLINK("https://klasma.github.io/Logging_2321/tillsyn/A 36395-2025 tillsynsbegäran.docx", "A 36395-2025")</f>
        <v/>
      </c>
      <c r="Y121">
        <f>HYPERLINK("https://klasma.github.io/Logging_2321/tillsynsmail/A 36395-2025 tillsynsbegäran mail.docx", "A 36395-2025")</f>
        <v/>
      </c>
      <c r="Z121">
        <f>HYPERLINK("https://klasma.github.io/Logging_2321/fåglar/A 36395-2025 prioriterade fågelarter.docx", "A 36395-2025")</f>
        <v/>
      </c>
    </row>
    <row r="122" ht="15" customHeight="1">
      <c r="A122" t="inlineStr">
        <is>
          <t>A 23566-2021</t>
        </is>
      </c>
      <c r="B122" s="1" t="n">
        <v>44334</v>
      </c>
      <c r="C122" s="1" t="n">
        <v>45983</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41280-2025</t>
        </is>
      </c>
      <c r="B123" s="1" t="n">
        <v>45898</v>
      </c>
      <c r="C123" s="1" t="n">
        <v>45983</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45983</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22231-2022</t>
        </is>
      </c>
      <c r="B125" s="1" t="n">
        <v>44712</v>
      </c>
      <c r="C125" s="1" t="n">
        <v>45983</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23706-2023</t>
        </is>
      </c>
      <c r="B126" s="1" t="n">
        <v>45072</v>
      </c>
      <c r="C126" s="1" t="n">
        <v>45983</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45983</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23625-2024</t>
        </is>
      </c>
      <c r="B128" s="1" t="n">
        <v>45454</v>
      </c>
      <c r="C128" s="1" t="n">
        <v>45983</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17489-2024</t>
        </is>
      </c>
      <c r="B129" s="1" t="n">
        <v>45415</v>
      </c>
      <c r="C129" s="1" t="n">
        <v>45983</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64668-2021</t>
        </is>
      </c>
      <c r="B130" s="1" t="n">
        <v>44512</v>
      </c>
      <c r="C130" s="1" t="n">
        <v>45983</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45983</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45983</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45983</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45983</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5388-2021</t>
        </is>
      </c>
      <c r="B135" s="1" t="n">
        <v>44229</v>
      </c>
      <c r="C135" s="1" t="n">
        <v>45983</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6108-2023</t>
        </is>
      </c>
      <c r="B136" s="1" t="n">
        <v>44964</v>
      </c>
      <c r="C136" s="1" t="n">
        <v>45983</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45983</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45983</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45983</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45983</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58239-2021</t>
        </is>
      </c>
      <c r="B141" s="1" t="n">
        <v>44487</v>
      </c>
      <c r="C141" s="1" t="n">
        <v>45983</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45983</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45983</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45983</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45983</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45983</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45983</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45983</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45983</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11781-2021</t>
        </is>
      </c>
      <c r="B150" s="1" t="n">
        <v>44265</v>
      </c>
      <c r="C150" s="1" t="n">
        <v>45983</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23818-2025</t>
        </is>
      </c>
      <c r="B151" s="1" t="n">
        <v>45793.58469907408</v>
      </c>
      <c r="C151" s="1" t="n">
        <v>45983</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55194-2022</t>
        </is>
      </c>
      <c r="B152" s="1" t="n">
        <v>44886</v>
      </c>
      <c r="C152" s="1" t="n">
        <v>45983</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45983</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45983</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45983</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45983</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50321-2024</t>
        </is>
      </c>
      <c r="B157" s="1" t="n">
        <v>45600</v>
      </c>
      <c r="C157" s="1" t="n">
        <v>45983</v>
      </c>
      <c r="D157" t="inlineStr">
        <is>
          <t>JÄMTLANDS LÄN</t>
        </is>
      </c>
      <c r="E157" t="inlineStr">
        <is>
          <t>ÅRE</t>
        </is>
      </c>
      <c r="F157" t="inlineStr">
        <is>
          <t>Övriga Aktiebolag</t>
        </is>
      </c>
      <c r="G157" t="n">
        <v>2.6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50321-2024 artfynd.xlsx", "A 50321-2024")</f>
        <v/>
      </c>
      <c r="T157">
        <f>HYPERLINK("https://klasma.github.io/Logging_2321/kartor/A 50321-2024 karta.png", "A 50321-2024")</f>
        <v/>
      </c>
      <c r="V157">
        <f>HYPERLINK("https://klasma.github.io/Logging_2321/klagomål/A 50321-2024 FSC-klagomål.docx", "A 50321-2024")</f>
        <v/>
      </c>
      <c r="W157">
        <f>HYPERLINK("https://klasma.github.io/Logging_2321/klagomålsmail/A 50321-2024 FSC-klagomål mail.docx", "A 50321-2024")</f>
        <v/>
      </c>
      <c r="X157">
        <f>HYPERLINK("https://klasma.github.io/Logging_2321/tillsyn/A 50321-2024 tillsynsbegäran.docx", "A 50321-2024")</f>
        <v/>
      </c>
      <c r="Y157">
        <f>HYPERLINK("https://klasma.github.io/Logging_2321/tillsynsmail/A 50321-2024 tillsynsbegäran mail.docx", "A 50321-2024")</f>
        <v/>
      </c>
      <c r="Z157">
        <f>HYPERLINK("https://klasma.github.io/Logging_2321/fåglar/A 50321-2024 prioriterade fågelarter.docx", "A 50321-2024")</f>
        <v/>
      </c>
    </row>
    <row r="158" ht="15" customHeight="1">
      <c r="A158" t="inlineStr">
        <is>
          <t>A 4937-2025</t>
        </is>
      </c>
      <c r="B158" s="1" t="n">
        <v>45688</v>
      </c>
      <c r="C158" s="1" t="n">
        <v>45983</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17692-2022</t>
        </is>
      </c>
      <c r="B159" s="1" t="n">
        <v>44680</v>
      </c>
      <c r="C159" s="1" t="n">
        <v>45983</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45983</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21939-2025</t>
        </is>
      </c>
      <c r="B161" s="1" t="n">
        <v>45784.58445601852</v>
      </c>
      <c r="C161" s="1" t="n">
        <v>45983</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55718-2025</t>
        </is>
      </c>
      <c r="B162" s="1" t="n">
        <v>45972.49988425926</v>
      </c>
      <c r="C162" s="1" t="n">
        <v>45983</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23556-2021</t>
        </is>
      </c>
      <c r="B163" s="1" t="n">
        <v>44334</v>
      </c>
      <c r="C163" s="1" t="n">
        <v>45983</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15909-2025</t>
        </is>
      </c>
      <c r="B164" s="1" t="n">
        <v>45749</v>
      </c>
      <c r="C164" s="1" t="n">
        <v>45983</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30032-2024</t>
        </is>
      </c>
      <c r="B165" s="1" t="n">
        <v>45485</v>
      </c>
      <c r="C165" s="1" t="n">
        <v>45983</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53462-2024</t>
        </is>
      </c>
      <c r="B166" s="1" t="n">
        <v>45614.55241898148</v>
      </c>
      <c r="C166" s="1" t="n">
        <v>45983</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45983</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5611-2023</t>
        </is>
      </c>
      <c r="B168" s="1" t="n">
        <v>44958</v>
      </c>
      <c r="C168" s="1" t="n">
        <v>45983</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37082-2021</t>
        </is>
      </c>
      <c r="B169" s="1" t="n">
        <v>44395</v>
      </c>
      <c r="C169" s="1" t="n">
        <v>45983</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74392-2021</t>
        </is>
      </c>
      <c r="B170" s="1" t="n">
        <v>44559</v>
      </c>
      <c r="C170" s="1" t="n">
        <v>45983</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45983</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32216-2022</t>
        </is>
      </c>
      <c r="B172" s="1" t="n">
        <v>44781</v>
      </c>
      <c r="C172" s="1" t="n">
        <v>45983</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45983</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45983</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45983</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45983</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14826-2021</t>
        </is>
      </c>
      <c r="B177" s="1" t="n">
        <v>44280</v>
      </c>
      <c r="C177" s="1" t="n">
        <v>45983</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45983</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45983</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45983</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45983</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45983</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45983</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45983</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45983</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45983</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45983</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45983</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45983</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45983</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45983</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45983</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45983</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45983</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45983</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45983</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45983</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45983</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45983</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45983</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45983</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45983</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45983</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45983</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45983</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45983</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45983</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45983</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45983</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45983</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45983</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45983</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45983</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45983</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45983</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45983</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45983</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45983</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45983</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45983</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45983</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45983</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45983</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45983</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45983</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45983</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45983</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45983</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45983</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45983</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54175-2023</t>
        </is>
      </c>
      <c r="B231" s="1" t="n">
        <v>45232</v>
      </c>
      <c r="C231" s="1" t="n">
        <v>45983</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45983</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54615-2022</t>
        </is>
      </c>
      <c r="B233" s="1" t="n">
        <v>44883.36125</v>
      </c>
      <c r="C233" s="1" t="n">
        <v>45983</v>
      </c>
      <c r="D233" t="inlineStr">
        <is>
          <t>JÄMTLANDS LÄN</t>
        </is>
      </c>
      <c r="E233" t="inlineStr">
        <is>
          <t>ÅRE</t>
        </is>
      </c>
      <c r="F233" t="inlineStr">
        <is>
          <t>Övriga Aktiebolag</t>
        </is>
      </c>
      <c r="G233" t="n">
        <v>5.1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45983</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6113-2024</t>
        </is>
      </c>
      <c r="B235" s="1" t="n">
        <v>45337</v>
      </c>
      <c r="C235" s="1" t="n">
        <v>45983</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45983</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45983</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45983</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45983</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45983</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45983</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45983</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45983</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38285-2025</t>
        </is>
      </c>
      <c r="B244" s="1" t="n">
        <v>45883.43145833333</v>
      </c>
      <c r="C244" s="1" t="n">
        <v>45983</v>
      </c>
      <c r="D244" t="inlineStr">
        <is>
          <t>JÄMTLANDS LÄN</t>
        </is>
      </c>
      <c r="E244" t="inlineStr">
        <is>
          <t>ÅRE</t>
        </is>
      </c>
      <c r="G244" t="n">
        <v>2.6</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45983</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45983</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45983</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55944-2022</t>
        </is>
      </c>
      <c r="B248" s="1" t="n">
        <v>44889</v>
      </c>
      <c r="C248" s="1" t="n">
        <v>45983</v>
      </c>
      <c r="D248" t="inlineStr">
        <is>
          <t>JÄMTLANDS LÄN</t>
        </is>
      </c>
      <c r="E248" t="inlineStr">
        <is>
          <t>ÅRE</t>
        </is>
      </c>
      <c r="G248" t="n">
        <v>11.1</v>
      </c>
      <c r="H248" t="n">
        <v>0</v>
      </c>
      <c r="I248" t="n">
        <v>0</v>
      </c>
      <c r="J248" t="n">
        <v>0</v>
      </c>
      <c r="K248" t="n">
        <v>0</v>
      </c>
      <c r="L248" t="n">
        <v>0</v>
      </c>
      <c r="M248" t="n">
        <v>0</v>
      </c>
      <c r="N248" t="n">
        <v>0</v>
      </c>
      <c r="O248" t="n">
        <v>0</v>
      </c>
      <c r="P248" t="n">
        <v>0</v>
      </c>
      <c r="Q248" t="n">
        <v>0</v>
      </c>
      <c r="R248" s="2" t="inlineStr"/>
    </row>
    <row r="249" ht="15" customHeight="1">
      <c r="A249" t="inlineStr">
        <is>
          <t>A 58232-2021</t>
        </is>
      </c>
      <c r="B249" s="1" t="n">
        <v>44487</v>
      </c>
      <c r="C249" s="1" t="n">
        <v>45983</v>
      </c>
      <c r="D249" t="inlineStr">
        <is>
          <t>JÄMTLANDS LÄN</t>
        </is>
      </c>
      <c r="E249" t="inlineStr">
        <is>
          <t>ÅRE</t>
        </is>
      </c>
      <c r="G249" t="n">
        <v>43.7</v>
      </c>
      <c r="H249" t="n">
        <v>0</v>
      </c>
      <c r="I249" t="n">
        <v>0</v>
      </c>
      <c r="J249" t="n">
        <v>0</v>
      </c>
      <c r="K249" t="n">
        <v>0</v>
      </c>
      <c r="L249" t="n">
        <v>0</v>
      </c>
      <c r="M249" t="n">
        <v>0</v>
      </c>
      <c r="N249" t="n">
        <v>0</v>
      </c>
      <c r="O249" t="n">
        <v>0</v>
      </c>
      <c r="P249" t="n">
        <v>0</v>
      </c>
      <c r="Q249" t="n">
        <v>0</v>
      </c>
      <c r="R249" s="2" t="inlineStr"/>
    </row>
    <row r="250" ht="15" customHeight="1">
      <c r="A250" t="inlineStr">
        <is>
          <t>A 46559-2024</t>
        </is>
      </c>
      <c r="B250" s="1" t="n">
        <v>45582</v>
      </c>
      <c r="C250" s="1" t="n">
        <v>45983</v>
      </c>
      <c r="D250" t="inlineStr">
        <is>
          <t>JÄMTLANDS LÄN</t>
        </is>
      </c>
      <c r="E250" t="inlineStr">
        <is>
          <t>ÅRE</t>
        </is>
      </c>
      <c r="G250" t="n">
        <v>6.2</v>
      </c>
      <c r="H250" t="n">
        <v>0</v>
      </c>
      <c r="I250" t="n">
        <v>0</v>
      </c>
      <c r="J250" t="n">
        <v>0</v>
      </c>
      <c r="K250" t="n">
        <v>0</v>
      </c>
      <c r="L250" t="n">
        <v>0</v>
      </c>
      <c r="M250" t="n">
        <v>0</v>
      </c>
      <c r="N250" t="n">
        <v>0</v>
      </c>
      <c r="O250" t="n">
        <v>0</v>
      </c>
      <c r="P250" t="n">
        <v>0</v>
      </c>
      <c r="Q250" t="n">
        <v>0</v>
      </c>
      <c r="R250" s="2" t="inlineStr"/>
    </row>
    <row r="251" ht="15" customHeight="1">
      <c r="A251" t="inlineStr">
        <is>
          <t>A 59968-2023</t>
        </is>
      </c>
      <c r="B251" s="1" t="n">
        <v>45254</v>
      </c>
      <c r="C251" s="1" t="n">
        <v>45983</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49296-2024</t>
        </is>
      </c>
      <c r="B252" s="1" t="n">
        <v>45595</v>
      </c>
      <c r="C252" s="1" t="n">
        <v>45983</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64237-2021</t>
        </is>
      </c>
      <c r="B253" s="1" t="n">
        <v>44510</v>
      </c>
      <c r="C253" s="1" t="n">
        <v>45983</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64758-2023</t>
        </is>
      </c>
      <c r="B254" s="1" t="n">
        <v>45281</v>
      </c>
      <c r="C254" s="1" t="n">
        <v>45983</v>
      </c>
      <c r="D254" t="inlineStr">
        <is>
          <t>JÄMTLANDS LÄN</t>
        </is>
      </c>
      <c r="E254" t="inlineStr">
        <is>
          <t>ÅRE</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43324-2022</t>
        </is>
      </c>
      <c r="B255" s="1" t="n">
        <v>44834</v>
      </c>
      <c r="C255" s="1" t="n">
        <v>45983</v>
      </c>
      <c r="D255" t="inlineStr">
        <is>
          <t>JÄMTLANDS LÄN</t>
        </is>
      </c>
      <c r="E255" t="inlineStr">
        <is>
          <t>ÅRE</t>
        </is>
      </c>
      <c r="F255" t="inlineStr">
        <is>
          <t>Bergvik skog öst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7970-2023</t>
        </is>
      </c>
      <c r="B256" s="1" t="n">
        <v>44970</v>
      </c>
      <c r="C256" s="1" t="n">
        <v>45983</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58758-2022</t>
        </is>
      </c>
      <c r="B257" s="1" t="n">
        <v>44903</v>
      </c>
      <c r="C257" s="1" t="n">
        <v>45983</v>
      </c>
      <c r="D257" t="inlineStr">
        <is>
          <t>JÄMTLANDS LÄN</t>
        </is>
      </c>
      <c r="E257" t="inlineStr">
        <is>
          <t>ÅRE</t>
        </is>
      </c>
      <c r="F257" t="inlineStr">
        <is>
          <t>Övriga Aktiebolag</t>
        </is>
      </c>
      <c r="G257" t="n">
        <v>42.9</v>
      </c>
      <c r="H257" t="n">
        <v>0</v>
      </c>
      <c r="I257" t="n">
        <v>0</v>
      </c>
      <c r="J257" t="n">
        <v>0</v>
      </c>
      <c r="K257" t="n">
        <v>0</v>
      </c>
      <c r="L257" t="n">
        <v>0</v>
      </c>
      <c r="M257" t="n">
        <v>0</v>
      </c>
      <c r="N257" t="n">
        <v>0</v>
      </c>
      <c r="O257" t="n">
        <v>0</v>
      </c>
      <c r="P257" t="n">
        <v>0</v>
      </c>
      <c r="Q257" t="n">
        <v>0</v>
      </c>
      <c r="R257" s="2" t="inlineStr"/>
    </row>
    <row r="258" ht="15" customHeight="1">
      <c r="A258" t="inlineStr">
        <is>
          <t>A 60122-2021</t>
        </is>
      </c>
      <c r="B258" s="1" t="n">
        <v>44495</v>
      </c>
      <c r="C258" s="1" t="n">
        <v>45983</v>
      </c>
      <c r="D258" t="inlineStr">
        <is>
          <t>JÄMTLANDS LÄN</t>
        </is>
      </c>
      <c r="E258" t="inlineStr">
        <is>
          <t>ÅRE</t>
        </is>
      </c>
      <c r="G258" t="n">
        <v>46.7</v>
      </c>
      <c r="H258" t="n">
        <v>0</v>
      </c>
      <c r="I258" t="n">
        <v>0</v>
      </c>
      <c r="J258" t="n">
        <v>0</v>
      </c>
      <c r="K258" t="n">
        <v>0</v>
      </c>
      <c r="L258" t="n">
        <v>0</v>
      </c>
      <c r="M258" t="n">
        <v>0</v>
      </c>
      <c r="N258" t="n">
        <v>0</v>
      </c>
      <c r="O258" t="n">
        <v>0</v>
      </c>
      <c r="P258" t="n">
        <v>0</v>
      </c>
      <c r="Q258" t="n">
        <v>0</v>
      </c>
      <c r="R258" s="2" t="inlineStr"/>
    </row>
    <row r="259" ht="15" customHeight="1">
      <c r="A259" t="inlineStr">
        <is>
          <t>A 40336-2021</t>
        </is>
      </c>
      <c r="B259" s="1" t="n">
        <v>44419</v>
      </c>
      <c r="C259" s="1" t="n">
        <v>45983</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61622-2023</t>
        </is>
      </c>
      <c r="B260" s="1" t="n">
        <v>45261</v>
      </c>
      <c r="C260" s="1" t="n">
        <v>45983</v>
      </c>
      <c r="D260" t="inlineStr">
        <is>
          <t>JÄMTLANDS LÄN</t>
        </is>
      </c>
      <c r="E260" t="inlineStr">
        <is>
          <t>ÅRE</t>
        </is>
      </c>
      <c r="G260" t="n">
        <v>1.6</v>
      </c>
      <c r="H260" t="n">
        <v>0</v>
      </c>
      <c r="I260" t="n">
        <v>0</v>
      </c>
      <c r="J260" t="n">
        <v>0</v>
      </c>
      <c r="K260" t="n">
        <v>0</v>
      </c>
      <c r="L260" t="n">
        <v>0</v>
      </c>
      <c r="M260" t="n">
        <v>0</v>
      </c>
      <c r="N260" t="n">
        <v>0</v>
      </c>
      <c r="O260" t="n">
        <v>0</v>
      </c>
      <c r="P260" t="n">
        <v>0</v>
      </c>
      <c r="Q260" t="n">
        <v>0</v>
      </c>
      <c r="R260" s="2" t="inlineStr"/>
    </row>
    <row r="261" ht="15" customHeight="1">
      <c r="A261" t="inlineStr">
        <is>
          <t>A 25200-2025</t>
        </is>
      </c>
      <c r="B261" s="1" t="n">
        <v>45800.4615625</v>
      </c>
      <c r="C261" s="1" t="n">
        <v>45983</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25208-2025</t>
        </is>
      </c>
      <c r="B262" s="1" t="n">
        <v>45800.46927083333</v>
      </c>
      <c r="C262" s="1" t="n">
        <v>45983</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56736-2023</t>
        </is>
      </c>
      <c r="B263" s="1" t="n">
        <v>45244</v>
      </c>
      <c r="C263" s="1" t="n">
        <v>45983</v>
      </c>
      <c r="D263" t="inlineStr">
        <is>
          <t>JÄMTLANDS LÄN</t>
        </is>
      </c>
      <c r="E263" t="inlineStr">
        <is>
          <t>ÅRE</t>
        </is>
      </c>
      <c r="F263" t="inlineStr">
        <is>
          <t>Övriga Aktiebolag</t>
        </is>
      </c>
      <c r="G263" t="n">
        <v>10.7</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45983</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41266-2024</t>
        </is>
      </c>
      <c r="B265" s="1" t="n">
        <v>45559</v>
      </c>
      <c r="C265" s="1" t="n">
        <v>45983</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29177-2024</t>
        </is>
      </c>
      <c r="B266" s="1" t="n">
        <v>45482.53859953704</v>
      </c>
      <c r="C266" s="1" t="n">
        <v>45983</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50203-2025</t>
        </is>
      </c>
      <c r="B267" s="1" t="n">
        <v>45943.65641203704</v>
      </c>
      <c r="C267" s="1" t="n">
        <v>45983</v>
      </c>
      <c r="D267" t="inlineStr">
        <is>
          <t>JÄMTLANDS LÄN</t>
        </is>
      </c>
      <c r="E267" t="inlineStr">
        <is>
          <t>ÅRE</t>
        </is>
      </c>
      <c r="G267" t="n">
        <v>7.2</v>
      </c>
      <c r="H267" t="n">
        <v>0</v>
      </c>
      <c r="I267" t="n">
        <v>0</v>
      </c>
      <c r="J267" t="n">
        <v>0</v>
      </c>
      <c r="K267" t="n">
        <v>0</v>
      </c>
      <c r="L267" t="n">
        <v>0</v>
      </c>
      <c r="M267" t="n">
        <v>0</v>
      </c>
      <c r="N267" t="n">
        <v>0</v>
      </c>
      <c r="O267" t="n">
        <v>0</v>
      </c>
      <c r="P267" t="n">
        <v>0</v>
      </c>
      <c r="Q267" t="n">
        <v>0</v>
      </c>
      <c r="R267" s="2" t="inlineStr"/>
    </row>
    <row r="268" ht="15" customHeight="1">
      <c r="A268" t="inlineStr">
        <is>
          <t>A 9775-2023</t>
        </is>
      </c>
      <c r="B268" s="1" t="n">
        <v>44984.60255787037</v>
      </c>
      <c r="C268" s="1" t="n">
        <v>45983</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22707-2021</t>
        </is>
      </c>
      <c r="B269" s="1" t="n">
        <v>44323</v>
      </c>
      <c r="C269" s="1" t="n">
        <v>45983</v>
      </c>
      <c r="D269" t="inlineStr">
        <is>
          <t>JÄMTLANDS LÄN</t>
        </is>
      </c>
      <c r="E269" t="inlineStr">
        <is>
          <t>ÅRE</t>
        </is>
      </c>
      <c r="G269" t="n">
        <v>6.3</v>
      </c>
      <c r="H269" t="n">
        <v>0</v>
      </c>
      <c r="I269" t="n">
        <v>0</v>
      </c>
      <c r="J269" t="n">
        <v>0</v>
      </c>
      <c r="K269" t="n">
        <v>0</v>
      </c>
      <c r="L269" t="n">
        <v>0</v>
      </c>
      <c r="M269" t="n">
        <v>0</v>
      </c>
      <c r="N269" t="n">
        <v>0</v>
      </c>
      <c r="O269" t="n">
        <v>0</v>
      </c>
      <c r="P269" t="n">
        <v>0</v>
      </c>
      <c r="Q269" t="n">
        <v>0</v>
      </c>
      <c r="R269" s="2" t="inlineStr"/>
    </row>
    <row r="270" ht="15" customHeight="1">
      <c r="A270" t="inlineStr">
        <is>
          <t>A 32241-2021</t>
        </is>
      </c>
      <c r="B270" s="1" t="n">
        <v>44371</v>
      </c>
      <c r="C270" s="1" t="n">
        <v>45983</v>
      </c>
      <c r="D270" t="inlineStr">
        <is>
          <t>JÄMTLANDS LÄN</t>
        </is>
      </c>
      <c r="E270" t="inlineStr">
        <is>
          <t>ÅRE</t>
        </is>
      </c>
      <c r="G270" t="n">
        <v>2.3</v>
      </c>
      <c r="H270" t="n">
        <v>0</v>
      </c>
      <c r="I270" t="n">
        <v>0</v>
      </c>
      <c r="J270" t="n">
        <v>0</v>
      </c>
      <c r="K270" t="n">
        <v>0</v>
      </c>
      <c r="L270" t="n">
        <v>0</v>
      </c>
      <c r="M270" t="n">
        <v>0</v>
      </c>
      <c r="N270" t="n">
        <v>0</v>
      </c>
      <c r="O270" t="n">
        <v>0</v>
      </c>
      <c r="P270" t="n">
        <v>0</v>
      </c>
      <c r="Q270" t="n">
        <v>0</v>
      </c>
      <c r="R270" s="2" t="inlineStr"/>
    </row>
    <row r="271" ht="15" customHeight="1">
      <c r="A271" t="inlineStr">
        <is>
          <t>A 54904-2022</t>
        </is>
      </c>
      <c r="B271" s="1" t="n">
        <v>44886</v>
      </c>
      <c r="C271" s="1" t="n">
        <v>45983</v>
      </c>
      <c r="D271" t="inlineStr">
        <is>
          <t>JÄMTLANDS LÄN</t>
        </is>
      </c>
      <c r="E271" t="inlineStr">
        <is>
          <t>ÅRE</t>
        </is>
      </c>
      <c r="F271" t="inlineStr">
        <is>
          <t>Övriga Aktiebolag</t>
        </is>
      </c>
      <c r="G271" t="n">
        <v>12.2</v>
      </c>
      <c r="H271" t="n">
        <v>0</v>
      </c>
      <c r="I271" t="n">
        <v>0</v>
      </c>
      <c r="J271" t="n">
        <v>0</v>
      </c>
      <c r="K271" t="n">
        <v>0</v>
      </c>
      <c r="L271" t="n">
        <v>0</v>
      </c>
      <c r="M271" t="n">
        <v>0</v>
      </c>
      <c r="N271" t="n">
        <v>0</v>
      </c>
      <c r="O271" t="n">
        <v>0</v>
      </c>
      <c r="P271" t="n">
        <v>0</v>
      </c>
      <c r="Q271" t="n">
        <v>0</v>
      </c>
      <c r="R271" s="2" t="inlineStr"/>
    </row>
    <row r="272" ht="15" customHeight="1">
      <c r="A272" t="inlineStr">
        <is>
          <t>A 1460-2024</t>
        </is>
      </c>
      <c r="B272" s="1" t="n">
        <v>45303.93322916667</v>
      </c>
      <c r="C272" s="1" t="n">
        <v>45983</v>
      </c>
      <c r="D272" t="inlineStr">
        <is>
          <t>JÄMTLANDS LÄN</t>
        </is>
      </c>
      <c r="E272" t="inlineStr">
        <is>
          <t>ÅRE</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60426-2022</t>
        </is>
      </c>
      <c r="B273" s="1" t="n">
        <v>44911.32092592592</v>
      </c>
      <c r="C273" s="1" t="n">
        <v>45983</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45324-2024</t>
        </is>
      </c>
      <c r="B274" s="1" t="n">
        <v>45576</v>
      </c>
      <c r="C274" s="1" t="n">
        <v>45983</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56556-2022</t>
        </is>
      </c>
      <c r="B275" s="1" t="n">
        <v>44893.48930555556</v>
      </c>
      <c r="C275" s="1" t="n">
        <v>45983</v>
      </c>
      <c r="D275" t="inlineStr">
        <is>
          <t>JÄMTLANDS LÄN</t>
        </is>
      </c>
      <c r="E275" t="inlineStr">
        <is>
          <t>ÅRE</t>
        </is>
      </c>
      <c r="F275" t="inlineStr">
        <is>
          <t>Övriga Aktiebolag</t>
        </is>
      </c>
      <c r="G275" t="n">
        <v>4.9</v>
      </c>
      <c r="H275" t="n">
        <v>0</v>
      </c>
      <c r="I275" t="n">
        <v>0</v>
      </c>
      <c r="J275" t="n">
        <v>0</v>
      </c>
      <c r="K275" t="n">
        <v>0</v>
      </c>
      <c r="L275" t="n">
        <v>0</v>
      </c>
      <c r="M275" t="n">
        <v>0</v>
      </c>
      <c r="N275" t="n">
        <v>0</v>
      </c>
      <c r="O275" t="n">
        <v>0</v>
      </c>
      <c r="P275" t="n">
        <v>0</v>
      </c>
      <c r="Q275" t="n">
        <v>0</v>
      </c>
      <c r="R275" s="2" t="inlineStr"/>
    </row>
    <row r="276" ht="15" customHeight="1">
      <c r="A276" t="inlineStr">
        <is>
          <t>A 38268-2024</t>
        </is>
      </c>
      <c r="B276" s="1" t="n">
        <v>45545.59842592593</v>
      </c>
      <c r="C276" s="1" t="n">
        <v>45983</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45834-2024</t>
        </is>
      </c>
      <c r="B277" s="1" t="n">
        <v>45579.91509259259</v>
      </c>
      <c r="C277" s="1" t="n">
        <v>45983</v>
      </c>
      <c r="D277" t="inlineStr">
        <is>
          <t>JÄMTLANDS LÄN</t>
        </is>
      </c>
      <c r="E277" t="inlineStr">
        <is>
          <t>ÅRE</t>
        </is>
      </c>
      <c r="G277" t="n">
        <v>3.9</v>
      </c>
      <c r="H277" t="n">
        <v>0</v>
      </c>
      <c r="I277" t="n">
        <v>0</v>
      </c>
      <c r="J277" t="n">
        <v>0</v>
      </c>
      <c r="K277" t="n">
        <v>0</v>
      </c>
      <c r="L277" t="n">
        <v>0</v>
      </c>
      <c r="M277" t="n">
        <v>0</v>
      </c>
      <c r="N277" t="n">
        <v>0</v>
      </c>
      <c r="O277" t="n">
        <v>0</v>
      </c>
      <c r="P277" t="n">
        <v>0</v>
      </c>
      <c r="Q277" t="n">
        <v>0</v>
      </c>
      <c r="R277" s="2" t="inlineStr"/>
    </row>
    <row r="278" ht="15" customHeight="1">
      <c r="A278" t="inlineStr">
        <is>
          <t>A 25275-2025</t>
        </is>
      </c>
      <c r="B278" s="1" t="n">
        <v>45800.55372685185</v>
      </c>
      <c r="C278" s="1" t="n">
        <v>45983</v>
      </c>
      <c r="D278" t="inlineStr">
        <is>
          <t>JÄMTLANDS LÄN</t>
        </is>
      </c>
      <c r="E278" t="inlineStr">
        <is>
          <t>ÅRE</t>
        </is>
      </c>
      <c r="G278" t="n">
        <v>1.1</v>
      </c>
      <c r="H278" t="n">
        <v>0</v>
      </c>
      <c r="I278" t="n">
        <v>0</v>
      </c>
      <c r="J278" t="n">
        <v>0</v>
      </c>
      <c r="K278" t="n">
        <v>0</v>
      </c>
      <c r="L278" t="n">
        <v>0</v>
      </c>
      <c r="M278" t="n">
        <v>0</v>
      </c>
      <c r="N278" t="n">
        <v>0</v>
      </c>
      <c r="O278" t="n">
        <v>0</v>
      </c>
      <c r="P278" t="n">
        <v>0</v>
      </c>
      <c r="Q278" t="n">
        <v>0</v>
      </c>
      <c r="R278" s="2" t="inlineStr"/>
    </row>
    <row r="279" ht="15" customHeight="1">
      <c r="A279" t="inlineStr">
        <is>
          <t>A 50574-2025</t>
        </is>
      </c>
      <c r="B279" s="1" t="n">
        <v>45945</v>
      </c>
      <c r="C279" s="1" t="n">
        <v>45983</v>
      </c>
      <c r="D279" t="inlineStr">
        <is>
          <t>JÄMTLANDS LÄN</t>
        </is>
      </c>
      <c r="E279" t="inlineStr">
        <is>
          <t>ÅRE</t>
        </is>
      </c>
      <c r="G279" t="n">
        <v>16.1</v>
      </c>
      <c r="H279" t="n">
        <v>0</v>
      </c>
      <c r="I279" t="n">
        <v>0</v>
      </c>
      <c r="J279" t="n">
        <v>0</v>
      </c>
      <c r="K279" t="n">
        <v>0</v>
      </c>
      <c r="L279" t="n">
        <v>0</v>
      </c>
      <c r="M279" t="n">
        <v>0</v>
      </c>
      <c r="N279" t="n">
        <v>0</v>
      </c>
      <c r="O279" t="n">
        <v>0</v>
      </c>
      <c r="P279" t="n">
        <v>0</v>
      </c>
      <c r="Q279" t="n">
        <v>0</v>
      </c>
      <c r="R279" s="2" t="inlineStr"/>
    </row>
    <row r="280" ht="15" customHeight="1">
      <c r="A280" t="inlineStr">
        <is>
          <t>A 57102-2024</t>
        </is>
      </c>
      <c r="B280" s="1" t="n">
        <v>45629.35856481481</v>
      </c>
      <c r="C280" s="1" t="n">
        <v>45983</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59352-2021</t>
        </is>
      </c>
      <c r="B281" s="1" t="n">
        <v>44490</v>
      </c>
      <c r="C281" s="1" t="n">
        <v>45983</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50488-2025</t>
        </is>
      </c>
      <c r="B282" s="1" t="n">
        <v>45945.39144675926</v>
      </c>
      <c r="C282" s="1" t="n">
        <v>45983</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5651-2023</t>
        </is>
      </c>
      <c r="B283" s="1" t="n">
        <v>44958</v>
      </c>
      <c r="C283" s="1" t="n">
        <v>45983</v>
      </c>
      <c r="D283" t="inlineStr">
        <is>
          <t>JÄMTLANDS LÄN</t>
        </is>
      </c>
      <c r="E283" t="inlineStr">
        <is>
          <t>ÅRE</t>
        </is>
      </c>
      <c r="G283" t="n">
        <v>5.7</v>
      </c>
      <c r="H283" t="n">
        <v>0</v>
      </c>
      <c r="I283" t="n">
        <v>0</v>
      </c>
      <c r="J283" t="n">
        <v>0</v>
      </c>
      <c r="K283" t="n">
        <v>0</v>
      </c>
      <c r="L283" t="n">
        <v>0</v>
      </c>
      <c r="M283" t="n">
        <v>0</v>
      </c>
      <c r="N283" t="n">
        <v>0</v>
      </c>
      <c r="O283" t="n">
        <v>0</v>
      </c>
      <c r="P283" t="n">
        <v>0</v>
      </c>
      <c r="Q283" t="n">
        <v>0</v>
      </c>
      <c r="R283" s="2" t="inlineStr"/>
    </row>
    <row r="284" ht="15" customHeight="1">
      <c r="A284" t="inlineStr">
        <is>
          <t>A 61331-2021</t>
        </is>
      </c>
      <c r="B284" s="1" t="n">
        <v>44498</v>
      </c>
      <c r="C284" s="1" t="n">
        <v>45983</v>
      </c>
      <c r="D284" t="inlineStr">
        <is>
          <t>JÄMTLANDS LÄN</t>
        </is>
      </c>
      <c r="E284" t="inlineStr">
        <is>
          <t>ÅRE</t>
        </is>
      </c>
      <c r="G284" t="n">
        <v>8.4</v>
      </c>
      <c r="H284" t="n">
        <v>0</v>
      </c>
      <c r="I284" t="n">
        <v>0</v>
      </c>
      <c r="J284" t="n">
        <v>0</v>
      </c>
      <c r="K284" t="n">
        <v>0</v>
      </c>
      <c r="L284" t="n">
        <v>0</v>
      </c>
      <c r="M284" t="n">
        <v>0</v>
      </c>
      <c r="N284" t="n">
        <v>0</v>
      </c>
      <c r="O284" t="n">
        <v>0</v>
      </c>
      <c r="P284" t="n">
        <v>0</v>
      </c>
      <c r="Q284" t="n">
        <v>0</v>
      </c>
      <c r="R284" s="2" t="inlineStr"/>
    </row>
    <row r="285" ht="15" customHeight="1">
      <c r="A285" t="inlineStr">
        <is>
          <t>A 40339-2021</t>
        </is>
      </c>
      <c r="B285" s="1" t="n">
        <v>44419</v>
      </c>
      <c r="C285" s="1" t="n">
        <v>45983</v>
      </c>
      <c r="D285" t="inlineStr">
        <is>
          <t>JÄMTLANDS LÄN</t>
        </is>
      </c>
      <c r="E285" t="inlineStr">
        <is>
          <t>ÅRE</t>
        </is>
      </c>
      <c r="G285" t="n">
        <v>6.4</v>
      </c>
      <c r="H285" t="n">
        <v>0</v>
      </c>
      <c r="I285" t="n">
        <v>0</v>
      </c>
      <c r="J285" t="n">
        <v>0</v>
      </c>
      <c r="K285" t="n">
        <v>0</v>
      </c>
      <c r="L285" t="n">
        <v>0</v>
      </c>
      <c r="M285" t="n">
        <v>0</v>
      </c>
      <c r="N285" t="n">
        <v>0</v>
      </c>
      <c r="O285" t="n">
        <v>0</v>
      </c>
      <c r="P285" t="n">
        <v>0</v>
      </c>
      <c r="Q285" t="n">
        <v>0</v>
      </c>
      <c r="R285" s="2" t="inlineStr"/>
    </row>
    <row r="286" ht="15" customHeight="1">
      <c r="A286" t="inlineStr">
        <is>
          <t>A 33230-2024</t>
        </is>
      </c>
      <c r="B286" s="1" t="n">
        <v>45518.57418981481</v>
      </c>
      <c r="C286" s="1" t="n">
        <v>45983</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43446-2023</t>
        </is>
      </c>
      <c r="B287" s="1" t="n">
        <v>45184.35760416667</v>
      </c>
      <c r="C287" s="1" t="n">
        <v>45983</v>
      </c>
      <c r="D287" t="inlineStr">
        <is>
          <t>JÄMTLANDS LÄN</t>
        </is>
      </c>
      <c r="E287" t="inlineStr">
        <is>
          <t>ÅRE</t>
        </is>
      </c>
      <c r="F287" t="inlineStr">
        <is>
          <t>Övriga Aktiebolag</t>
        </is>
      </c>
      <c r="G287" t="n">
        <v>6.4</v>
      </c>
      <c r="H287" t="n">
        <v>0</v>
      </c>
      <c r="I287" t="n">
        <v>0</v>
      </c>
      <c r="J287" t="n">
        <v>0</v>
      </c>
      <c r="K287" t="n">
        <v>0</v>
      </c>
      <c r="L287" t="n">
        <v>0</v>
      </c>
      <c r="M287" t="n">
        <v>0</v>
      </c>
      <c r="N287" t="n">
        <v>0</v>
      </c>
      <c r="O287" t="n">
        <v>0</v>
      </c>
      <c r="P287" t="n">
        <v>0</v>
      </c>
      <c r="Q287" t="n">
        <v>0</v>
      </c>
      <c r="R287" s="2" t="inlineStr"/>
    </row>
    <row r="288" ht="15" customHeight="1">
      <c r="A288" t="inlineStr">
        <is>
          <t>A 43449-2023</t>
        </is>
      </c>
      <c r="B288" s="1" t="n">
        <v>45184.36697916667</v>
      </c>
      <c r="C288" s="1" t="n">
        <v>45983</v>
      </c>
      <c r="D288" t="inlineStr">
        <is>
          <t>JÄMTLANDS LÄN</t>
        </is>
      </c>
      <c r="E288" t="inlineStr">
        <is>
          <t>ÅRE</t>
        </is>
      </c>
      <c r="F288" t="inlineStr">
        <is>
          <t>Övriga Aktiebolag</t>
        </is>
      </c>
      <c r="G288" t="n">
        <v>3.1</v>
      </c>
      <c r="H288" t="n">
        <v>0</v>
      </c>
      <c r="I288" t="n">
        <v>0</v>
      </c>
      <c r="J288" t="n">
        <v>0</v>
      </c>
      <c r="K288" t="n">
        <v>0</v>
      </c>
      <c r="L288" t="n">
        <v>0</v>
      </c>
      <c r="M288" t="n">
        <v>0</v>
      </c>
      <c r="N288" t="n">
        <v>0</v>
      </c>
      <c r="O288" t="n">
        <v>0</v>
      </c>
      <c r="P288" t="n">
        <v>0</v>
      </c>
      <c r="Q288" t="n">
        <v>0</v>
      </c>
      <c r="R288" s="2" t="inlineStr"/>
    </row>
    <row r="289" ht="15" customHeight="1">
      <c r="A289" t="inlineStr">
        <is>
          <t>A 51183-2025</t>
        </is>
      </c>
      <c r="B289" s="1" t="n">
        <v>45947.62087962963</v>
      </c>
      <c r="C289" s="1" t="n">
        <v>45983</v>
      </c>
      <c r="D289" t="inlineStr">
        <is>
          <t>JÄMTLANDS LÄN</t>
        </is>
      </c>
      <c r="E289" t="inlineStr">
        <is>
          <t>ÅRE</t>
        </is>
      </c>
      <c r="F289" t="inlineStr">
        <is>
          <t>Övriga statliga verk och myndigheter</t>
        </is>
      </c>
      <c r="G289" t="n">
        <v>2</v>
      </c>
      <c r="H289" t="n">
        <v>0</v>
      </c>
      <c r="I289" t="n">
        <v>0</v>
      </c>
      <c r="J289" t="n">
        <v>0</v>
      </c>
      <c r="K289" t="n">
        <v>0</v>
      </c>
      <c r="L289" t="n">
        <v>0</v>
      </c>
      <c r="M289" t="n">
        <v>0</v>
      </c>
      <c r="N289" t="n">
        <v>0</v>
      </c>
      <c r="O289" t="n">
        <v>0</v>
      </c>
      <c r="P289" t="n">
        <v>0</v>
      </c>
      <c r="Q289" t="n">
        <v>0</v>
      </c>
      <c r="R289" s="2" t="inlineStr"/>
    </row>
    <row r="290" ht="15" customHeight="1">
      <c r="A290" t="inlineStr">
        <is>
          <t>A 42244-2024</t>
        </is>
      </c>
      <c r="B290" s="1" t="n">
        <v>45562.56747685185</v>
      </c>
      <c r="C290" s="1" t="n">
        <v>45983</v>
      </c>
      <c r="D290" t="inlineStr">
        <is>
          <t>JÄMTLANDS LÄN</t>
        </is>
      </c>
      <c r="E290" t="inlineStr">
        <is>
          <t>ÅRE</t>
        </is>
      </c>
      <c r="F290" t="inlineStr">
        <is>
          <t>Övriga Aktiebolag</t>
        </is>
      </c>
      <c r="G290" t="n">
        <v>6</v>
      </c>
      <c r="H290" t="n">
        <v>0</v>
      </c>
      <c r="I290" t="n">
        <v>0</v>
      </c>
      <c r="J290" t="n">
        <v>0</v>
      </c>
      <c r="K290" t="n">
        <v>0</v>
      </c>
      <c r="L290" t="n">
        <v>0</v>
      </c>
      <c r="M290" t="n">
        <v>0</v>
      </c>
      <c r="N290" t="n">
        <v>0</v>
      </c>
      <c r="O290" t="n">
        <v>0</v>
      </c>
      <c r="P290" t="n">
        <v>0</v>
      </c>
      <c r="Q290" t="n">
        <v>0</v>
      </c>
      <c r="R290" s="2" t="inlineStr"/>
    </row>
    <row r="291" ht="15" customHeight="1">
      <c r="A291" t="inlineStr">
        <is>
          <t>A 51444-2024</t>
        </is>
      </c>
      <c r="B291" s="1" t="n">
        <v>45604.48304398148</v>
      </c>
      <c r="C291" s="1" t="n">
        <v>45983</v>
      </c>
      <c r="D291" t="inlineStr">
        <is>
          <t>JÄMTLANDS LÄN</t>
        </is>
      </c>
      <c r="E291" t="inlineStr">
        <is>
          <t>ÅRE</t>
        </is>
      </c>
      <c r="G291" t="n">
        <v>2.2</v>
      </c>
      <c r="H291" t="n">
        <v>0</v>
      </c>
      <c r="I291" t="n">
        <v>0</v>
      </c>
      <c r="J291" t="n">
        <v>0</v>
      </c>
      <c r="K291" t="n">
        <v>0</v>
      </c>
      <c r="L291" t="n">
        <v>0</v>
      </c>
      <c r="M291" t="n">
        <v>0</v>
      </c>
      <c r="N291" t="n">
        <v>0</v>
      </c>
      <c r="O291" t="n">
        <v>0</v>
      </c>
      <c r="P291" t="n">
        <v>0</v>
      </c>
      <c r="Q291" t="n">
        <v>0</v>
      </c>
      <c r="R291" s="2" t="inlineStr"/>
    </row>
    <row r="292" ht="15" customHeight="1">
      <c r="A292" t="inlineStr">
        <is>
          <t>A 51876-2025</t>
        </is>
      </c>
      <c r="B292" s="1" t="n">
        <v>45952.39850694445</v>
      </c>
      <c r="C292" s="1" t="n">
        <v>45983</v>
      </c>
      <c r="D292" t="inlineStr">
        <is>
          <t>JÄMTLANDS LÄN</t>
        </is>
      </c>
      <c r="E292" t="inlineStr">
        <is>
          <t>ÅRE</t>
        </is>
      </c>
      <c r="F292" t="inlineStr">
        <is>
          <t>Övriga Aktiebolag</t>
        </is>
      </c>
      <c r="G292" t="n">
        <v>2.2</v>
      </c>
      <c r="H292" t="n">
        <v>0</v>
      </c>
      <c r="I292" t="n">
        <v>0</v>
      </c>
      <c r="J292" t="n">
        <v>0</v>
      </c>
      <c r="K292" t="n">
        <v>0</v>
      </c>
      <c r="L292" t="n">
        <v>0</v>
      </c>
      <c r="M292" t="n">
        <v>0</v>
      </c>
      <c r="N292" t="n">
        <v>0</v>
      </c>
      <c r="O292" t="n">
        <v>0</v>
      </c>
      <c r="P292" t="n">
        <v>0</v>
      </c>
      <c r="Q292" t="n">
        <v>0</v>
      </c>
      <c r="R292" s="2" t="inlineStr"/>
    </row>
    <row r="293" ht="15" customHeight="1">
      <c r="A293" t="inlineStr">
        <is>
          <t>A 278-2023</t>
        </is>
      </c>
      <c r="B293" s="1" t="n">
        <v>44928</v>
      </c>
      <c r="C293" s="1" t="n">
        <v>45983</v>
      </c>
      <c r="D293" t="inlineStr">
        <is>
          <t>JÄMTLANDS LÄN</t>
        </is>
      </c>
      <c r="E293" t="inlineStr">
        <is>
          <t>ÅRE</t>
        </is>
      </c>
      <c r="G293" t="n">
        <v>2.4</v>
      </c>
      <c r="H293" t="n">
        <v>0</v>
      </c>
      <c r="I293" t="n">
        <v>0</v>
      </c>
      <c r="J293" t="n">
        <v>0</v>
      </c>
      <c r="K293" t="n">
        <v>0</v>
      </c>
      <c r="L293" t="n">
        <v>0</v>
      </c>
      <c r="M293" t="n">
        <v>0</v>
      </c>
      <c r="N293" t="n">
        <v>0</v>
      </c>
      <c r="O293" t="n">
        <v>0</v>
      </c>
      <c r="P293" t="n">
        <v>0</v>
      </c>
      <c r="Q293" t="n">
        <v>0</v>
      </c>
      <c r="R293" s="2" t="inlineStr"/>
    </row>
    <row r="294" ht="15" customHeight="1">
      <c r="A294" t="inlineStr">
        <is>
          <t>A 6232-2021</t>
        </is>
      </c>
      <c r="B294" s="1" t="n">
        <v>44231</v>
      </c>
      <c r="C294" s="1" t="n">
        <v>45983</v>
      </c>
      <c r="D294" t="inlineStr">
        <is>
          <t>JÄMTLANDS LÄN</t>
        </is>
      </c>
      <c r="E294" t="inlineStr">
        <is>
          <t>ÅRE</t>
        </is>
      </c>
      <c r="G294" t="n">
        <v>4.8</v>
      </c>
      <c r="H294" t="n">
        <v>0</v>
      </c>
      <c r="I294" t="n">
        <v>0</v>
      </c>
      <c r="J294" t="n">
        <v>0</v>
      </c>
      <c r="K294" t="n">
        <v>0</v>
      </c>
      <c r="L294" t="n">
        <v>0</v>
      </c>
      <c r="M294" t="n">
        <v>0</v>
      </c>
      <c r="N294" t="n">
        <v>0</v>
      </c>
      <c r="O294" t="n">
        <v>0</v>
      </c>
      <c r="P294" t="n">
        <v>0</v>
      </c>
      <c r="Q294" t="n">
        <v>0</v>
      </c>
      <c r="R294" s="2" t="inlineStr"/>
    </row>
    <row r="295" ht="15" customHeight="1">
      <c r="A295" t="inlineStr">
        <is>
          <t>A 14283-2025</t>
        </is>
      </c>
      <c r="B295" s="1" t="n">
        <v>45740.65851851852</v>
      </c>
      <c r="C295" s="1" t="n">
        <v>45983</v>
      </c>
      <c r="D295" t="inlineStr">
        <is>
          <t>JÄMTLANDS LÄN</t>
        </is>
      </c>
      <c r="E295" t="inlineStr">
        <is>
          <t>ÅRE</t>
        </is>
      </c>
      <c r="G295" t="n">
        <v>4.6</v>
      </c>
      <c r="H295" t="n">
        <v>0</v>
      </c>
      <c r="I295" t="n">
        <v>0</v>
      </c>
      <c r="J295" t="n">
        <v>0</v>
      </c>
      <c r="K295" t="n">
        <v>0</v>
      </c>
      <c r="L295" t="n">
        <v>0</v>
      </c>
      <c r="M295" t="n">
        <v>0</v>
      </c>
      <c r="N295" t="n">
        <v>0</v>
      </c>
      <c r="O295" t="n">
        <v>0</v>
      </c>
      <c r="P295" t="n">
        <v>0</v>
      </c>
      <c r="Q295" t="n">
        <v>0</v>
      </c>
      <c r="R295" s="2" t="inlineStr"/>
    </row>
    <row r="296" ht="15" customHeight="1">
      <c r="A296" t="inlineStr">
        <is>
          <t>A 45453-2024</t>
        </is>
      </c>
      <c r="B296" s="1" t="n">
        <v>45576.66674768519</v>
      </c>
      <c r="C296" s="1" t="n">
        <v>45983</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54116-2023</t>
        </is>
      </c>
      <c r="B297" s="1" t="n">
        <v>45232</v>
      </c>
      <c r="C297" s="1" t="n">
        <v>45983</v>
      </c>
      <c r="D297" t="inlineStr">
        <is>
          <t>JÄMTLANDS LÄN</t>
        </is>
      </c>
      <c r="E297" t="inlineStr">
        <is>
          <t>ÅRE</t>
        </is>
      </c>
      <c r="G297" t="n">
        <v>3.8</v>
      </c>
      <c r="H297" t="n">
        <v>0</v>
      </c>
      <c r="I297" t="n">
        <v>0</v>
      </c>
      <c r="J297" t="n">
        <v>0</v>
      </c>
      <c r="K297" t="n">
        <v>0</v>
      </c>
      <c r="L297" t="n">
        <v>0</v>
      </c>
      <c r="M297" t="n">
        <v>0</v>
      </c>
      <c r="N297" t="n">
        <v>0</v>
      </c>
      <c r="O297" t="n">
        <v>0</v>
      </c>
      <c r="P297" t="n">
        <v>0</v>
      </c>
      <c r="Q297" t="n">
        <v>0</v>
      </c>
      <c r="R297" s="2" t="inlineStr"/>
    </row>
    <row r="298" ht="15" customHeight="1">
      <c r="A298" t="inlineStr">
        <is>
          <t>A 52607-2025</t>
        </is>
      </c>
      <c r="B298" s="1" t="n">
        <v>45954.66291666667</v>
      </c>
      <c r="C298" s="1" t="n">
        <v>45983</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45983</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71043-2021</t>
        </is>
      </c>
      <c r="B300" s="1" t="n">
        <v>44538</v>
      </c>
      <c r="C300" s="1" t="n">
        <v>45983</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52597-2025</t>
        </is>
      </c>
      <c r="B301" s="1" t="n">
        <v>45954.65364583334</v>
      </c>
      <c r="C301" s="1" t="n">
        <v>45983</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52604-2025</t>
        </is>
      </c>
      <c r="B302" s="1" t="n">
        <v>45954.65774305556</v>
      </c>
      <c r="C302" s="1" t="n">
        <v>45983</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52606-2025</t>
        </is>
      </c>
      <c r="B303" s="1" t="n">
        <v>45954.66020833333</v>
      </c>
      <c r="C303" s="1" t="n">
        <v>45983</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43768-2025</t>
        </is>
      </c>
      <c r="B304" s="1" t="n">
        <v>45912.49289351852</v>
      </c>
      <c r="C304" s="1" t="n">
        <v>45983</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45983</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51500-2024</t>
        </is>
      </c>
      <c r="B306" s="1" t="n">
        <v>45604.54693287037</v>
      </c>
      <c r="C306" s="1" t="n">
        <v>45983</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45983</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66083-2020</t>
        </is>
      </c>
      <c r="B308" s="1" t="n">
        <v>44172</v>
      </c>
      <c r="C308" s="1" t="n">
        <v>45983</v>
      </c>
      <c r="D308" t="inlineStr">
        <is>
          <t>JÄMTLANDS LÄN</t>
        </is>
      </c>
      <c r="E308" t="inlineStr">
        <is>
          <t>ÅRE</t>
        </is>
      </c>
      <c r="G308" t="n">
        <v>213.4</v>
      </c>
      <c r="H308" t="n">
        <v>0</v>
      </c>
      <c r="I308" t="n">
        <v>0</v>
      </c>
      <c r="J308" t="n">
        <v>0</v>
      </c>
      <c r="K308" t="n">
        <v>0</v>
      </c>
      <c r="L308" t="n">
        <v>0</v>
      </c>
      <c r="M308" t="n">
        <v>0</v>
      </c>
      <c r="N308" t="n">
        <v>0</v>
      </c>
      <c r="O308" t="n">
        <v>0</v>
      </c>
      <c r="P308" t="n">
        <v>0</v>
      </c>
      <c r="Q308" t="n">
        <v>0</v>
      </c>
      <c r="R308" s="2" t="inlineStr"/>
    </row>
    <row r="309" ht="15" customHeight="1">
      <c r="A309" t="inlineStr">
        <is>
          <t>A 52946-2025</t>
        </is>
      </c>
      <c r="B309" s="1" t="n">
        <v>45957.64819444445</v>
      </c>
      <c r="C309" s="1" t="n">
        <v>45983</v>
      </c>
      <c r="D309" t="inlineStr">
        <is>
          <t>JÄMTLANDS LÄN</t>
        </is>
      </c>
      <c r="E309" t="inlineStr">
        <is>
          <t>ÅRE</t>
        </is>
      </c>
      <c r="G309" t="n">
        <v>2.6</v>
      </c>
      <c r="H309" t="n">
        <v>0</v>
      </c>
      <c r="I309" t="n">
        <v>0</v>
      </c>
      <c r="J309" t="n">
        <v>0</v>
      </c>
      <c r="K309" t="n">
        <v>0</v>
      </c>
      <c r="L309" t="n">
        <v>0</v>
      </c>
      <c r="M309" t="n">
        <v>0</v>
      </c>
      <c r="N309" t="n">
        <v>0</v>
      </c>
      <c r="O309" t="n">
        <v>0</v>
      </c>
      <c r="P309" t="n">
        <v>0</v>
      </c>
      <c r="Q309" t="n">
        <v>0</v>
      </c>
      <c r="R309" s="2" t="inlineStr"/>
    </row>
    <row r="310" ht="15" customHeight="1">
      <c r="A310" t="inlineStr">
        <is>
          <t>A 45161-2024</t>
        </is>
      </c>
      <c r="B310" s="1" t="n">
        <v>45575.64982638889</v>
      </c>
      <c r="C310" s="1" t="n">
        <v>45983</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15480-2024</t>
        </is>
      </c>
      <c r="B311" s="1" t="n">
        <v>45401.49065972222</v>
      </c>
      <c r="C311" s="1" t="n">
        <v>45983</v>
      </c>
      <c r="D311" t="inlineStr">
        <is>
          <t>JÄMTLANDS LÄN</t>
        </is>
      </c>
      <c r="E311" t="inlineStr">
        <is>
          <t>ÅRE</t>
        </is>
      </c>
      <c r="G311" t="n">
        <v>11.8</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45983</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47963-2025</t>
        </is>
      </c>
      <c r="B313" s="1" t="n">
        <v>45931</v>
      </c>
      <c r="C313" s="1" t="n">
        <v>45983</v>
      </c>
      <c r="D313" t="inlineStr">
        <is>
          <t>JÄMTLANDS LÄN</t>
        </is>
      </c>
      <c r="E313" t="inlineStr">
        <is>
          <t>ÅRE</t>
        </is>
      </c>
      <c r="G313" t="n">
        <v>0.3</v>
      </c>
      <c r="H313" t="n">
        <v>0</v>
      </c>
      <c r="I313" t="n">
        <v>0</v>
      </c>
      <c r="J313" t="n">
        <v>0</v>
      </c>
      <c r="K313" t="n">
        <v>0</v>
      </c>
      <c r="L313" t="n">
        <v>0</v>
      </c>
      <c r="M313" t="n">
        <v>0</v>
      </c>
      <c r="N313" t="n">
        <v>0</v>
      </c>
      <c r="O313" t="n">
        <v>0</v>
      </c>
      <c r="P313" t="n">
        <v>0</v>
      </c>
      <c r="Q313" t="n">
        <v>0</v>
      </c>
      <c r="R313" s="2" t="inlineStr"/>
    </row>
    <row r="314" ht="15" customHeight="1">
      <c r="A314" t="inlineStr">
        <is>
          <t>A 68537-2020</t>
        </is>
      </c>
      <c r="B314" s="1" t="n">
        <v>44186</v>
      </c>
      <c r="C314" s="1" t="n">
        <v>45983</v>
      </c>
      <c r="D314" t="inlineStr">
        <is>
          <t>JÄMTLANDS LÄN</t>
        </is>
      </c>
      <c r="E314" t="inlineStr">
        <is>
          <t>ÅRE</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68545-2020</t>
        </is>
      </c>
      <c r="B315" s="1" t="n">
        <v>44186</v>
      </c>
      <c r="C315" s="1" t="n">
        <v>45983</v>
      </c>
      <c r="D315" t="inlineStr">
        <is>
          <t>JÄMTLANDS LÄN</t>
        </is>
      </c>
      <c r="E315" t="inlineStr">
        <is>
          <t>ÅRE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4777-2025</t>
        </is>
      </c>
      <c r="B316" s="1" t="n">
        <v>45688</v>
      </c>
      <c r="C316" s="1" t="n">
        <v>45983</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43342-2024</t>
        </is>
      </c>
      <c r="B317" s="1" t="n">
        <v>45568.55114583333</v>
      </c>
      <c r="C317" s="1" t="n">
        <v>45983</v>
      </c>
      <c r="D317" t="inlineStr">
        <is>
          <t>JÄMTLANDS LÄN</t>
        </is>
      </c>
      <c r="E317" t="inlineStr">
        <is>
          <t>ÅRE</t>
        </is>
      </c>
      <c r="F317" t="inlineStr">
        <is>
          <t>Övriga Aktiebolag</t>
        </is>
      </c>
      <c r="G317" t="n">
        <v>4.8</v>
      </c>
      <c r="H317" t="n">
        <v>0</v>
      </c>
      <c r="I317" t="n">
        <v>0</v>
      </c>
      <c r="J317" t="n">
        <v>0</v>
      </c>
      <c r="K317" t="n">
        <v>0</v>
      </c>
      <c r="L317" t="n">
        <v>0</v>
      </c>
      <c r="M317" t="n">
        <v>0</v>
      </c>
      <c r="N317" t="n">
        <v>0</v>
      </c>
      <c r="O317" t="n">
        <v>0</v>
      </c>
      <c r="P317" t="n">
        <v>0</v>
      </c>
      <c r="Q317" t="n">
        <v>0</v>
      </c>
      <c r="R317" s="2" t="inlineStr"/>
    </row>
    <row r="318" ht="15" customHeight="1">
      <c r="A318" t="inlineStr">
        <is>
          <t>A 53134-2025</t>
        </is>
      </c>
      <c r="B318" s="1" t="n">
        <v>45958.46826388889</v>
      </c>
      <c r="C318" s="1" t="n">
        <v>45983</v>
      </c>
      <c r="D318" t="inlineStr">
        <is>
          <t>JÄMTLANDS LÄN</t>
        </is>
      </c>
      <c r="E318" t="inlineStr">
        <is>
          <t>ÅRE</t>
        </is>
      </c>
      <c r="G318" t="n">
        <v>13.8</v>
      </c>
      <c r="H318" t="n">
        <v>0</v>
      </c>
      <c r="I318" t="n">
        <v>0</v>
      </c>
      <c r="J318" t="n">
        <v>0</v>
      </c>
      <c r="K318" t="n">
        <v>0</v>
      </c>
      <c r="L318" t="n">
        <v>0</v>
      </c>
      <c r="M318" t="n">
        <v>0</v>
      </c>
      <c r="N318" t="n">
        <v>0</v>
      </c>
      <c r="O318" t="n">
        <v>0</v>
      </c>
      <c r="P318" t="n">
        <v>0</v>
      </c>
      <c r="Q318" t="n">
        <v>0</v>
      </c>
      <c r="R318" s="2" t="inlineStr"/>
    </row>
    <row r="319" ht="15" customHeight="1">
      <c r="A319" t="inlineStr">
        <is>
          <t>A 61183-2023</t>
        </is>
      </c>
      <c r="B319" s="1" t="n">
        <v>45263</v>
      </c>
      <c r="C319" s="1" t="n">
        <v>45983</v>
      </c>
      <c r="D319" t="inlineStr">
        <is>
          <t>JÄMTLANDS LÄN</t>
        </is>
      </c>
      <c r="E319" t="inlineStr">
        <is>
          <t>ÅRE</t>
        </is>
      </c>
      <c r="G319" t="n">
        <v>8.4</v>
      </c>
      <c r="H319" t="n">
        <v>0</v>
      </c>
      <c r="I319" t="n">
        <v>0</v>
      </c>
      <c r="J319" t="n">
        <v>0</v>
      </c>
      <c r="K319" t="n">
        <v>0</v>
      </c>
      <c r="L319" t="n">
        <v>0</v>
      </c>
      <c r="M319" t="n">
        <v>0</v>
      </c>
      <c r="N319" t="n">
        <v>0</v>
      </c>
      <c r="O319" t="n">
        <v>0</v>
      </c>
      <c r="P319" t="n">
        <v>0</v>
      </c>
      <c r="Q319" t="n">
        <v>0</v>
      </c>
      <c r="R319" s="2" t="inlineStr"/>
    </row>
    <row r="320" ht="15" customHeight="1">
      <c r="A320" t="inlineStr">
        <is>
          <t>A 44418-2025</t>
        </is>
      </c>
      <c r="B320" s="1" t="n">
        <v>45916.54578703704</v>
      </c>
      <c r="C320" s="1" t="n">
        <v>45983</v>
      </c>
      <c r="D320" t="inlineStr">
        <is>
          <t>JÄMTLANDS LÄN</t>
        </is>
      </c>
      <c r="E320" t="inlineStr">
        <is>
          <t>ÅRE</t>
        </is>
      </c>
      <c r="G320" t="n">
        <v>3.3</v>
      </c>
      <c r="H320" t="n">
        <v>0</v>
      </c>
      <c r="I320" t="n">
        <v>0</v>
      </c>
      <c r="J320" t="n">
        <v>0</v>
      </c>
      <c r="K320" t="n">
        <v>0</v>
      </c>
      <c r="L320" t="n">
        <v>0</v>
      </c>
      <c r="M320" t="n">
        <v>0</v>
      </c>
      <c r="N320" t="n">
        <v>0</v>
      </c>
      <c r="O320" t="n">
        <v>0</v>
      </c>
      <c r="P320" t="n">
        <v>0</v>
      </c>
      <c r="Q320" t="n">
        <v>0</v>
      </c>
      <c r="R320" s="2" t="inlineStr"/>
    </row>
    <row r="321" ht="15" customHeight="1">
      <c r="A321" t="inlineStr">
        <is>
          <t>A 52944-2025</t>
        </is>
      </c>
      <c r="B321" s="1" t="n">
        <v>45957.6437037037</v>
      </c>
      <c r="C321" s="1" t="n">
        <v>45983</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53133-2025</t>
        </is>
      </c>
      <c r="B322" s="1" t="n">
        <v>45958.46806712963</v>
      </c>
      <c r="C322" s="1" t="n">
        <v>45983</v>
      </c>
      <c r="D322" t="inlineStr">
        <is>
          <t>JÄMTLANDS LÄN</t>
        </is>
      </c>
      <c r="E322" t="inlineStr">
        <is>
          <t>ÅRE</t>
        </is>
      </c>
      <c r="G322" t="n">
        <v>13.8</v>
      </c>
      <c r="H322" t="n">
        <v>0</v>
      </c>
      <c r="I322" t="n">
        <v>0</v>
      </c>
      <c r="J322" t="n">
        <v>0</v>
      </c>
      <c r="K322" t="n">
        <v>0</v>
      </c>
      <c r="L322" t="n">
        <v>0</v>
      </c>
      <c r="M322" t="n">
        <v>0</v>
      </c>
      <c r="N322" t="n">
        <v>0</v>
      </c>
      <c r="O322" t="n">
        <v>0</v>
      </c>
      <c r="P322" t="n">
        <v>0</v>
      </c>
      <c r="Q322" t="n">
        <v>0</v>
      </c>
      <c r="R322" s="2" t="inlineStr"/>
    </row>
    <row r="323" ht="15" customHeight="1">
      <c r="A323" t="inlineStr">
        <is>
          <t>A 44251-2025</t>
        </is>
      </c>
      <c r="B323" s="1" t="n">
        <v>45915.69837962963</v>
      </c>
      <c r="C323" s="1" t="n">
        <v>45983</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61481-2022</t>
        </is>
      </c>
      <c r="B324" s="1" t="n">
        <v>44910</v>
      </c>
      <c r="C324" s="1" t="n">
        <v>45983</v>
      </c>
      <c r="D324" t="inlineStr">
        <is>
          <t>JÄMTLANDS LÄN</t>
        </is>
      </c>
      <c r="E324" t="inlineStr">
        <is>
          <t>ÅRE</t>
        </is>
      </c>
      <c r="G324" t="n">
        <v>0.4</v>
      </c>
      <c r="H324" t="n">
        <v>0</v>
      </c>
      <c r="I324" t="n">
        <v>0</v>
      </c>
      <c r="J324" t="n">
        <v>0</v>
      </c>
      <c r="K324" t="n">
        <v>0</v>
      </c>
      <c r="L324" t="n">
        <v>0</v>
      </c>
      <c r="M324" t="n">
        <v>0</v>
      </c>
      <c r="N324" t="n">
        <v>0</v>
      </c>
      <c r="O324" t="n">
        <v>0</v>
      </c>
      <c r="P324" t="n">
        <v>0</v>
      </c>
      <c r="Q324" t="n">
        <v>0</v>
      </c>
      <c r="R324" s="2" t="inlineStr"/>
    </row>
    <row r="325" ht="15" customHeight="1">
      <c r="A325" t="inlineStr">
        <is>
          <t>A 43307-2024</t>
        </is>
      </c>
      <c r="B325" s="1" t="n">
        <v>45568.44303240741</v>
      </c>
      <c r="C325" s="1" t="n">
        <v>45983</v>
      </c>
      <c r="D325" t="inlineStr">
        <is>
          <t>JÄMTLANDS LÄN</t>
        </is>
      </c>
      <c r="E325" t="inlineStr">
        <is>
          <t>ÅRE</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45983</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45983</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44668-2025</t>
        </is>
      </c>
      <c r="B328" s="1" t="n">
        <v>45917.56306712963</v>
      </c>
      <c r="C328" s="1" t="n">
        <v>45983</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44685-2025</t>
        </is>
      </c>
      <c r="B329" s="1" t="n">
        <v>45917.58569444445</v>
      </c>
      <c r="C329" s="1" t="n">
        <v>45983</v>
      </c>
      <c r="D329" t="inlineStr">
        <is>
          <t>JÄMTLANDS LÄN</t>
        </is>
      </c>
      <c r="E329" t="inlineStr">
        <is>
          <t>ÅRE</t>
        </is>
      </c>
      <c r="G329" t="n">
        <v>2.2</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45983</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53873-2025</t>
        </is>
      </c>
      <c r="B331" s="1" t="n">
        <v>45961.39340277778</v>
      </c>
      <c r="C331" s="1" t="n">
        <v>45983</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13383-2022</t>
        </is>
      </c>
      <c r="B332" s="1" t="n">
        <v>44637</v>
      </c>
      <c r="C332" s="1" t="n">
        <v>45983</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45983</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45614-2025</t>
        </is>
      </c>
      <c r="B334" s="1" t="n">
        <v>45922.719375</v>
      </c>
      <c r="C334" s="1" t="n">
        <v>45983</v>
      </c>
      <c r="D334" t="inlineStr">
        <is>
          <t>JÄMTLANDS LÄN</t>
        </is>
      </c>
      <c r="E334" t="inlineStr">
        <is>
          <t>ÅRE</t>
        </is>
      </c>
      <c r="G334" t="n">
        <v>2.4</v>
      </c>
      <c r="H334" t="n">
        <v>0</v>
      </c>
      <c r="I334" t="n">
        <v>0</v>
      </c>
      <c r="J334" t="n">
        <v>0</v>
      </c>
      <c r="K334" t="n">
        <v>0</v>
      </c>
      <c r="L334" t="n">
        <v>0</v>
      </c>
      <c r="M334" t="n">
        <v>0</v>
      </c>
      <c r="N334" t="n">
        <v>0</v>
      </c>
      <c r="O334" t="n">
        <v>0</v>
      </c>
      <c r="P334" t="n">
        <v>0</v>
      </c>
      <c r="Q334" t="n">
        <v>0</v>
      </c>
      <c r="R334" s="2" t="inlineStr"/>
    </row>
    <row r="335" ht="15" customHeight="1">
      <c r="A335" t="inlineStr">
        <is>
          <t>A 9777-2021</t>
        </is>
      </c>
      <c r="B335" s="1" t="n">
        <v>44252</v>
      </c>
      <c r="C335" s="1" t="n">
        <v>45983</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54131-2025</t>
        </is>
      </c>
      <c r="B336" s="1" t="n">
        <v>45964.46167824074</v>
      </c>
      <c r="C336" s="1" t="n">
        <v>45983</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54136-2025</t>
        </is>
      </c>
      <c r="B337" s="1" t="n">
        <v>45964.47177083333</v>
      </c>
      <c r="C337" s="1" t="n">
        <v>45983</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54139-2025</t>
        </is>
      </c>
      <c r="B338" s="1" t="n">
        <v>45964.47564814815</v>
      </c>
      <c r="C338" s="1" t="n">
        <v>45983</v>
      </c>
      <c r="D338" t="inlineStr">
        <is>
          <t>JÄMTLANDS LÄN</t>
        </is>
      </c>
      <c r="E338" t="inlineStr">
        <is>
          <t>ÅRE</t>
        </is>
      </c>
      <c r="G338" t="n">
        <v>0.5</v>
      </c>
      <c r="H338" t="n">
        <v>0</v>
      </c>
      <c r="I338" t="n">
        <v>0</v>
      </c>
      <c r="J338" t="n">
        <v>0</v>
      </c>
      <c r="K338" t="n">
        <v>0</v>
      </c>
      <c r="L338" t="n">
        <v>0</v>
      </c>
      <c r="M338" t="n">
        <v>0</v>
      </c>
      <c r="N338" t="n">
        <v>0</v>
      </c>
      <c r="O338" t="n">
        <v>0</v>
      </c>
      <c r="P338" t="n">
        <v>0</v>
      </c>
      <c r="Q338" t="n">
        <v>0</v>
      </c>
      <c r="R338" s="2" t="inlineStr"/>
    </row>
    <row r="339" ht="15" customHeight="1">
      <c r="A339" t="inlineStr">
        <is>
          <t>A 45605-2025</t>
        </is>
      </c>
      <c r="B339" s="1" t="n">
        <v>45922.69826388889</v>
      </c>
      <c r="C339" s="1" t="n">
        <v>45983</v>
      </c>
      <c r="D339" t="inlineStr">
        <is>
          <t>JÄMTLANDS LÄN</t>
        </is>
      </c>
      <c r="E339" t="inlineStr">
        <is>
          <t>ÅRE</t>
        </is>
      </c>
      <c r="G339" t="n">
        <v>1.9</v>
      </c>
      <c r="H339" t="n">
        <v>0</v>
      </c>
      <c r="I339" t="n">
        <v>0</v>
      </c>
      <c r="J339" t="n">
        <v>0</v>
      </c>
      <c r="K339" t="n">
        <v>0</v>
      </c>
      <c r="L339" t="n">
        <v>0</v>
      </c>
      <c r="M339" t="n">
        <v>0</v>
      </c>
      <c r="N339" t="n">
        <v>0</v>
      </c>
      <c r="O339" t="n">
        <v>0</v>
      </c>
      <c r="P339" t="n">
        <v>0</v>
      </c>
      <c r="Q339" t="n">
        <v>0</v>
      </c>
      <c r="R339" s="2" t="inlineStr"/>
    </row>
    <row r="340" ht="15" customHeight="1">
      <c r="A340" t="inlineStr">
        <is>
          <t>A 54211-2025</t>
        </is>
      </c>
      <c r="B340" s="1" t="n">
        <v>45964.59214120371</v>
      </c>
      <c r="C340" s="1" t="n">
        <v>45983</v>
      </c>
      <c r="D340" t="inlineStr">
        <is>
          <t>JÄMTLANDS LÄN</t>
        </is>
      </c>
      <c r="E340" t="inlineStr">
        <is>
          <t>ÅRE</t>
        </is>
      </c>
      <c r="G340" t="n">
        <v>4.3</v>
      </c>
      <c r="H340" t="n">
        <v>0</v>
      </c>
      <c r="I340" t="n">
        <v>0</v>
      </c>
      <c r="J340" t="n">
        <v>0</v>
      </c>
      <c r="K340" t="n">
        <v>0</v>
      </c>
      <c r="L340" t="n">
        <v>0</v>
      </c>
      <c r="M340" t="n">
        <v>0</v>
      </c>
      <c r="N340" t="n">
        <v>0</v>
      </c>
      <c r="O340" t="n">
        <v>0</v>
      </c>
      <c r="P340" t="n">
        <v>0</v>
      </c>
      <c r="Q340" t="n">
        <v>0</v>
      </c>
      <c r="R340" s="2" t="inlineStr"/>
    </row>
    <row r="341" ht="15" customHeight="1">
      <c r="A341" t="inlineStr">
        <is>
          <t>A 54213-2025</t>
        </is>
      </c>
      <c r="B341" s="1" t="n">
        <v>45964.59420138889</v>
      </c>
      <c r="C341" s="1" t="n">
        <v>45983</v>
      </c>
      <c r="D341" t="inlineStr">
        <is>
          <t>JÄMTLANDS LÄN</t>
        </is>
      </c>
      <c r="E341" t="inlineStr">
        <is>
          <t>ÅRE</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45983</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39202-2025</t>
        </is>
      </c>
      <c r="B343" s="1" t="n">
        <v>45888.72116898148</v>
      </c>
      <c r="C343" s="1" t="n">
        <v>45983</v>
      </c>
      <c r="D343" t="inlineStr">
        <is>
          <t>JÄMTLANDS LÄN</t>
        </is>
      </c>
      <c r="E343" t="inlineStr">
        <is>
          <t>ÅRE</t>
        </is>
      </c>
      <c r="G343" t="n">
        <v>4.4</v>
      </c>
      <c r="H343" t="n">
        <v>0</v>
      </c>
      <c r="I343" t="n">
        <v>0</v>
      </c>
      <c r="J343" t="n">
        <v>0</v>
      </c>
      <c r="K343" t="n">
        <v>0</v>
      </c>
      <c r="L343" t="n">
        <v>0</v>
      </c>
      <c r="M343" t="n">
        <v>0</v>
      </c>
      <c r="N343" t="n">
        <v>0</v>
      </c>
      <c r="O343" t="n">
        <v>0</v>
      </c>
      <c r="P343" t="n">
        <v>0</v>
      </c>
      <c r="Q343" t="n">
        <v>0</v>
      </c>
      <c r="R343" s="2" t="inlineStr"/>
    </row>
    <row r="344" ht="15" customHeight="1">
      <c r="A344" t="inlineStr">
        <is>
          <t>A 53862-2025</t>
        </is>
      </c>
      <c r="B344" s="1" t="n">
        <v>45961.38105324074</v>
      </c>
      <c r="C344" s="1" t="n">
        <v>45983</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45983</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54225-2025</t>
        </is>
      </c>
      <c r="B346" s="1" t="n">
        <v>45964.60839120371</v>
      </c>
      <c r="C346" s="1" t="n">
        <v>45983</v>
      </c>
      <c r="D346" t="inlineStr">
        <is>
          <t>JÄMTLANDS LÄN</t>
        </is>
      </c>
      <c r="E346" t="inlineStr">
        <is>
          <t>ÅRE</t>
        </is>
      </c>
      <c r="G346" t="n">
        <v>0.8</v>
      </c>
      <c r="H346" t="n">
        <v>0</v>
      </c>
      <c r="I346" t="n">
        <v>0</v>
      </c>
      <c r="J346" t="n">
        <v>0</v>
      </c>
      <c r="K346" t="n">
        <v>0</v>
      </c>
      <c r="L346" t="n">
        <v>0</v>
      </c>
      <c r="M346" t="n">
        <v>0</v>
      </c>
      <c r="N346" t="n">
        <v>0</v>
      </c>
      <c r="O346" t="n">
        <v>0</v>
      </c>
      <c r="P346" t="n">
        <v>0</v>
      </c>
      <c r="Q346" t="n">
        <v>0</v>
      </c>
      <c r="R346" s="2" t="inlineStr"/>
    </row>
    <row r="347" ht="15" customHeight="1">
      <c r="A347" t="inlineStr">
        <is>
          <t>A 54137-2025</t>
        </is>
      </c>
      <c r="B347" s="1" t="n">
        <v>45964.47275462963</v>
      </c>
      <c r="C347" s="1" t="n">
        <v>45983</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2374-2023</t>
        </is>
      </c>
      <c r="B348" s="1" t="n">
        <v>44942.69005787037</v>
      </c>
      <c r="C348" s="1" t="n">
        <v>45983</v>
      </c>
      <c r="D348" t="inlineStr">
        <is>
          <t>JÄMTLANDS LÄN</t>
        </is>
      </c>
      <c r="E348" t="inlineStr">
        <is>
          <t>ÅRE</t>
        </is>
      </c>
      <c r="G348" t="n">
        <v>0.6</v>
      </c>
      <c r="H348" t="n">
        <v>0</v>
      </c>
      <c r="I348" t="n">
        <v>0</v>
      </c>
      <c r="J348" t="n">
        <v>0</v>
      </c>
      <c r="K348" t="n">
        <v>0</v>
      </c>
      <c r="L348" t="n">
        <v>0</v>
      </c>
      <c r="M348" t="n">
        <v>0</v>
      </c>
      <c r="N348" t="n">
        <v>0</v>
      </c>
      <c r="O348" t="n">
        <v>0</v>
      </c>
      <c r="P348" t="n">
        <v>0</v>
      </c>
      <c r="Q348" t="n">
        <v>0</v>
      </c>
      <c r="R348" s="2" t="inlineStr"/>
    </row>
    <row r="349" ht="15" customHeight="1">
      <c r="A349" t="inlineStr">
        <is>
          <t>A 45796-2025</t>
        </is>
      </c>
      <c r="B349" s="1" t="n">
        <v>45923.57418981481</v>
      </c>
      <c r="C349" s="1" t="n">
        <v>45983</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54580-2025</t>
        </is>
      </c>
      <c r="B350" s="1" t="n">
        <v>45965.70755787037</v>
      </c>
      <c r="C350" s="1" t="n">
        <v>45983</v>
      </c>
      <c r="D350" t="inlineStr">
        <is>
          <t>JÄMTLANDS LÄN</t>
        </is>
      </c>
      <c r="E350" t="inlineStr">
        <is>
          <t>ÅRE</t>
        </is>
      </c>
      <c r="G350" t="n">
        <v>5</v>
      </c>
      <c r="H350" t="n">
        <v>0</v>
      </c>
      <c r="I350" t="n">
        <v>0</v>
      </c>
      <c r="J350" t="n">
        <v>0</v>
      </c>
      <c r="K350" t="n">
        <v>0</v>
      </c>
      <c r="L350" t="n">
        <v>0</v>
      </c>
      <c r="M350" t="n">
        <v>0</v>
      </c>
      <c r="N350" t="n">
        <v>0</v>
      </c>
      <c r="O350" t="n">
        <v>0</v>
      </c>
      <c r="P350" t="n">
        <v>0</v>
      </c>
      <c r="Q350" t="n">
        <v>0</v>
      </c>
      <c r="R350" s="2" t="inlineStr"/>
    </row>
    <row r="351" ht="15" customHeight="1">
      <c r="A351" t="inlineStr">
        <is>
          <t>A 54838-2025</t>
        </is>
      </c>
      <c r="B351" s="1" t="n">
        <v>45966.68252314815</v>
      </c>
      <c r="C351" s="1" t="n">
        <v>45983</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54444-2025</t>
        </is>
      </c>
      <c r="B352" s="1" t="n">
        <v>45965.51078703703</v>
      </c>
      <c r="C352" s="1" t="n">
        <v>45983</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46041-2025</t>
        </is>
      </c>
      <c r="B353" s="1" t="n">
        <v>45924</v>
      </c>
      <c r="C353" s="1" t="n">
        <v>45983</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65239-2021</t>
        </is>
      </c>
      <c r="B354" s="1" t="n">
        <v>44515</v>
      </c>
      <c r="C354" s="1" t="n">
        <v>45983</v>
      </c>
      <c r="D354" t="inlineStr">
        <is>
          <t>JÄMTLANDS LÄN</t>
        </is>
      </c>
      <c r="E354" t="inlineStr">
        <is>
          <t>ÅRE</t>
        </is>
      </c>
      <c r="G354" t="n">
        <v>0</v>
      </c>
      <c r="H354" t="n">
        <v>0</v>
      </c>
      <c r="I354" t="n">
        <v>0</v>
      </c>
      <c r="J354" t="n">
        <v>0</v>
      </c>
      <c r="K354" t="n">
        <v>0</v>
      </c>
      <c r="L354" t="n">
        <v>0</v>
      </c>
      <c r="M354" t="n">
        <v>0</v>
      </c>
      <c r="N354" t="n">
        <v>0</v>
      </c>
      <c r="O354" t="n">
        <v>0</v>
      </c>
      <c r="P354" t="n">
        <v>0</v>
      </c>
      <c r="Q354" t="n">
        <v>0</v>
      </c>
      <c r="R354" s="2" t="inlineStr"/>
    </row>
    <row r="355" ht="15" customHeight="1">
      <c r="A355" t="inlineStr">
        <is>
          <t>A 34925-2025</t>
        </is>
      </c>
      <c r="B355" s="1" t="n">
        <v>45849</v>
      </c>
      <c r="C355" s="1" t="n">
        <v>45983</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23651-2025</t>
        </is>
      </c>
      <c r="B356" s="1" t="n">
        <v>45792</v>
      </c>
      <c r="C356" s="1" t="n">
        <v>45983</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54445-2025</t>
        </is>
      </c>
      <c r="B357" s="1" t="n">
        <v>45965.51081018519</v>
      </c>
      <c r="C357" s="1" t="n">
        <v>45983</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35058-2025</t>
        </is>
      </c>
      <c r="B358" s="1" t="n">
        <v>45849</v>
      </c>
      <c r="C358" s="1" t="n">
        <v>45983</v>
      </c>
      <c r="D358" t="inlineStr">
        <is>
          <t>JÄMTLANDS LÄN</t>
        </is>
      </c>
      <c r="E358" t="inlineStr">
        <is>
          <t>ÅRE</t>
        </is>
      </c>
      <c r="G358" t="n">
        <v>2.5</v>
      </c>
      <c r="H358" t="n">
        <v>0</v>
      </c>
      <c r="I358" t="n">
        <v>0</v>
      </c>
      <c r="J358" t="n">
        <v>0</v>
      </c>
      <c r="K358" t="n">
        <v>0</v>
      </c>
      <c r="L358" t="n">
        <v>0</v>
      </c>
      <c r="M358" t="n">
        <v>0</v>
      </c>
      <c r="N358" t="n">
        <v>0</v>
      </c>
      <c r="O358" t="n">
        <v>0</v>
      </c>
      <c r="P358" t="n">
        <v>0</v>
      </c>
      <c r="Q358" t="n">
        <v>0</v>
      </c>
      <c r="R358" s="2" t="inlineStr"/>
    </row>
    <row r="359" ht="15" customHeight="1">
      <c r="A359" t="inlineStr">
        <is>
          <t>A 39742-2025</t>
        </is>
      </c>
      <c r="B359" s="1" t="n">
        <v>45891.37998842593</v>
      </c>
      <c r="C359" s="1" t="n">
        <v>45983</v>
      </c>
      <c r="D359" t="inlineStr">
        <is>
          <t>JÄMTLANDS LÄN</t>
        </is>
      </c>
      <c r="E359" t="inlineStr">
        <is>
          <t>ÅRE</t>
        </is>
      </c>
      <c r="F359" t="inlineStr">
        <is>
          <t>Övriga statliga verk och myndigheter</t>
        </is>
      </c>
      <c r="G359" t="n">
        <v>6.2</v>
      </c>
      <c r="H359" t="n">
        <v>0</v>
      </c>
      <c r="I359" t="n">
        <v>0</v>
      </c>
      <c r="J359" t="n">
        <v>0</v>
      </c>
      <c r="K359" t="n">
        <v>0</v>
      </c>
      <c r="L359" t="n">
        <v>0</v>
      </c>
      <c r="M359" t="n">
        <v>0</v>
      </c>
      <c r="N359" t="n">
        <v>0</v>
      </c>
      <c r="O359" t="n">
        <v>0</v>
      </c>
      <c r="P359" t="n">
        <v>0</v>
      </c>
      <c r="Q359" t="n">
        <v>0</v>
      </c>
      <c r="R359" s="2" t="inlineStr"/>
    </row>
    <row r="360" ht="15" customHeight="1">
      <c r="A360" t="inlineStr">
        <is>
          <t>A 34805-2025</t>
        </is>
      </c>
      <c r="B360" s="1" t="n">
        <v>45849.33071759259</v>
      </c>
      <c r="C360" s="1" t="n">
        <v>45983</v>
      </c>
      <c r="D360" t="inlineStr">
        <is>
          <t>JÄMTLANDS LÄN</t>
        </is>
      </c>
      <c r="E360" t="inlineStr">
        <is>
          <t>ÅRE</t>
        </is>
      </c>
      <c r="G360" t="n">
        <v>2.2</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45983</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35054-2025</t>
        </is>
      </c>
      <c r="B362" s="1" t="n">
        <v>45849</v>
      </c>
      <c r="C362" s="1" t="n">
        <v>45983</v>
      </c>
      <c r="D362" t="inlineStr">
        <is>
          <t>JÄMTLANDS LÄN</t>
        </is>
      </c>
      <c r="E362" t="inlineStr">
        <is>
          <t>ÅRE</t>
        </is>
      </c>
      <c r="G362" t="n">
        <v>5.3</v>
      </c>
      <c r="H362" t="n">
        <v>0</v>
      </c>
      <c r="I362" t="n">
        <v>0</v>
      </c>
      <c r="J362" t="n">
        <v>0</v>
      </c>
      <c r="K362" t="n">
        <v>0</v>
      </c>
      <c r="L362" t="n">
        <v>0</v>
      </c>
      <c r="M362" t="n">
        <v>0</v>
      </c>
      <c r="N362" t="n">
        <v>0</v>
      </c>
      <c r="O362" t="n">
        <v>0</v>
      </c>
      <c r="P362" t="n">
        <v>0</v>
      </c>
      <c r="Q362" t="n">
        <v>0</v>
      </c>
      <c r="R362" s="2" t="inlineStr"/>
    </row>
    <row r="363" ht="15" customHeight="1">
      <c r="A363" t="inlineStr">
        <is>
          <t>A 46789-2024</t>
        </is>
      </c>
      <c r="B363" s="1" t="n">
        <v>45583.53219907408</v>
      </c>
      <c r="C363" s="1" t="n">
        <v>45983</v>
      </c>
      <c r="D363" t="inlineStr">
        <is>
          <t>JÄMTLANDS LÄN</t>
        </is>
      </c>
      <c r="E363" t="inlineStr">
        <is>
          <t>ÅRE</t>
        </is>
      </c>
      <c r="F363" t="inlineStr">
        <is>
          <t>Övriga Aktiebolag</t>
        </is>
      </c>
      <c r="G363" t="n">
        <v>2.7</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45891.38489583333</v>
      </c>
      <c r="C364" s="1" t="n">
        <v>45983</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17751-2025</t>
        </is>
      </c>
      <c r="B365" s="1" t="n">
        <v>45758</v>
      </c>
      <c r="C365" s="1" t="n">
        <v>45983</v>
      </c>
      <c r="D365" t="inlineStr">
        <is>
          <t>JÄMTLANDS LÄN</t>
        </is>
      </c>
      <c r="E365" t="inlineStr">
        <is>
          <t>ÅRE</t>
        </is>
      </c>
      <c r="G365" t="n">
        <v>1.8</v>
      </c>
      <c r="H365" t="n">
        <v>0</v>
      </c>
      <c r="I365" t="n">
        <v>0</v>
      </c>
      <c r="J365" t="n">
        <v>0</v>
      </c>
      <c r="K365" t="n">
        <v>0</v>
      </c>
      <c r="L365" t="n">
        <v>0</v>
      </c>
      <c r="M365" t="n">
        <v>0</v>
      </c>
      <c r="N365" t="n">
        <v>0</v>
      </c>
      <c r="O365" t="n">
        <v>0</v>
      </c>
      <c r="P365" t="n">
        <v>0</v>
      </c>
      <c r="Q365" t="n">
        <v>0</v>
      </c>
      <c r="R365" s="2" t="inlineStr"/>
    </row>
    <row r="366" ht="15" customHeight="1">
      <c r="A366" t="inlineStr">
        <is>
          <t>A 54937-2025</t>
        </is>
      </c>
      <c r="B366" s="1" t="n">
        <v>45967.43244212963</v>
      </c>
      <c r="C366" s="1" t="n">
        <v>45983</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39509-2025</t>
        </is>
      </c>
      <c r="B367" s="1" t="n">
        <v>45890.40737268519</v>
      </c>
      <c r="C367" s="1" t="n">
        <v>45983</v>
      </c>
      <c r="D367" t="inlineStr">
        <is>
          <t>JÄMTLANDS LÄN</t>
        </is>
      </c>
      <c r="E367" t="inlineStr">
        <is>
          <t>ÅRE</t>
        </is>
      </c>
      <c r="G367" t="n">
        <v>5.6</v>
      </c>
      <c r="H367" t="n">
        <v>0</v>
      </c>
      <c r="I367" t="n">
        <v>0</v>
      </c>
      <c r="J367" t="n">
        <v>0</v>
      </c>
      <c r="K367" t="n">
        <v>0</v>
      </c>
      <c r="L367" t="n">
        <v>0</v>
      </c>
      <c r="M367" t="n">
        <v>0</v>
      </c>
      <c r="N367" t="n">
        <v>0</v>
      </c>
      <c r="O367" t="n">
        <v>0</v>
      </c>
      <c r="P367" t="n">
        <v>0</v>
      </c>
      <c r="Q367" t="n">
        <v>0</v>
      </c>
      <c r="R367" s="2" t="inlineStr"/>
    </row>
    <row r="368" ht="15" customHeight="1">
      <c r="A368" t="inlineStr">
        <is>
          <t>A 8294-2021</t>
        </is>
      </c>
      <c r="B368" s="1" t="n">
        <v>44243</v>
      </c>
      <c r="C368" s="1" t="n">
        <v>45983</v>
      </c>
      <c r="D368" t="inlineStr">
        <is>
          <t>JÄMTLANDS LÄN</t>
        </is>
      </c>
      <c r="E368" t="inlineStr">
        <is>
          <t>ÅRE</t>
        </is>
      </c>
      <c r="G368" t="n">
        <v>16.5</v>
      </c>
      <c r="H368" t="n">
        <v>0</v>
      </c>
      <c r="I368" t="n">
        <v>0</v>
      </c>
      <c r="J368" t="n">
        <v>0</v>
      </c>
      <c r="K368" t="n">
        <v>0</v>
      </c>
      <c r="L368" t="n">
        <v>0</v>
      </c>
      <c r="M368" t="n">
        <v>0</v>
      </c>
      <c r="N368" t="n">
        <v>0</v>
      </c>
      <c r="O368" t="n">
        <v>0</v>
      </c>
      <c r="P368" t="n">
        <v>0</v>
      </c>
      <c r="Q368" t="n">
        <v>0</v>
      </c>
      <c r="R368" s="2" t="inlineStr"/>
    </row>
    <row r="369" ht="15" customHeight="1">
      <c r="A369" t="inlineStr">
        <is>
          <t>A 54823-2025</t>
        </is>
      </c>
      <c r="B369" s="1" t="n">
        <v>45966.66451388889</v>
      </c>
      <c r="C369" s="1" t="n">
        <v>45983</v>
      </c>
      <c r="D369" t="inlineStr">
        <is>
          <t>JÄMTLANDS LÄN</t>
        </is>
      </c>
      <c r="E369" t="inlineStr">
        <is>
          <t>ÅRE</t>
        </is>
      </c>
      <c r="G369" t="n">
        <v>5.2</v>
      </c>
      <c r="H369" t="n">
        <v>0</v>
      </c>
      <c r="I369" t="n">
        <v>0</v>
      </c>
      <c r="J369" t="n">
        <v>0</v>
      </c>
      <c r="K369" t="n">
        <v>0</v>
      </c>
      <c r="L369" t="n">
        <v>0</v>
      </c>
      <c r="M369" t="n">
        <v>0</v>
      </c>
      <c r="N369" t="n">
        <v>0</v>
      </c>
      <c r="O369" t="n">
        <v>0</v>
      </c>
      <c r="P369" t="n">
        <v>0</v>
      </c>
      <c r="Q369" t="n">
        <v>0</v>
      </c>
      <c r="R369" s="2" t="inlineStr"/>
    </row>
    <row r="370" ht="15" customHeight="1">
      <c r="A370" t="inlineStr">
        <is>
          <t>A 54988-2025</t>
        </is>
      </c>
      <c r="B370" s="1" t="n">
        <v>45967.57096064815</v>
      </c>
      <c r="C370" s="1" t="n">
        <v>45983</v>
      </c>
      <c r="D370" t="inlineStr">
        <is>
          <t>JÄMTLANDS LÄN</t>
        </is>
      </c>
      <c r="E370" t="inlineStr">
        <is>
          <t>ÅRE</t>
        </is>
      </c>
      <c r="G370" t="n">
        <v>22.3</v>
      </c>
      <c r="H370" t="n">
        <v>0</v>
      </c>
      <c r="I370" t="n">
        <v>0</v>
      </c>
      <c r="J370" t="n">
        <v>0</v>
      </c>
      <c r="K370" t="n">
        <v>0</v>
      </c>
      <c r="L370" t="n">
        <v>0</v>
      </c>
      <c r="M370" t="n">
        <v>0</v>
      </c>
      <c r="N370" t="n">
        <v>0</v>
      </c>
      <c r="O370" t="n">
        <v>0</v>
      </c>
      <c r="P370" t="n">
        <v>0</v>
      </c>
      <c r="Q370" t="n">
        <v>0</v>
      </c>
      <c r="R370" s="2" t="inlineStr"/>
    </row>
    <row r="371" ht="15" customHeight="1">
      <c r="A371" t="inlineStr">
        <is>
          <t>A 13370-2024</t>
        </is>
      </c>
      <c r="B371" s="1" t="n">
        <v>45387</v>
      </c>
      <c r="C371" s="1" t="n">
        <v>45983</v>
      </c>
      <c r="D371" t="inlineStr">
        <is>
          <t>JÄMTLANDS LÄN</t>
        </is>
      </c>
      <c r="E371" t="inlineStr">
        <is>
          <t>ÅRE</t>
        </is>
      </c>
      <c r="G371" t="n">
        <v>8.5</v>
      </c>
      <c r="H371" t="n">
        <v>0</v>
      </c>
      <c r="I371" t="n">
        <v>0</v>
      </c>
      <c r="J371" t="n">
        <v>0</v>
      </c>
      <c r="K371" t="n">
        <v>0</v>
      </c>
      <c r="L371" t="n">
        <v>0</v>
      </c>
      <c r="M371" t="n">
        <v>0</v>
      </c>
      <c r="N371" t="n">
        <v>0</v>
      </c>
      <c r="O371" t="n">
        <v>0</v>
      </c>
      <c r="P371" t="n">
        <v>0</v>
      </c>
      <c r="Q371" t="n">
        <v>0</v>
      </c>
      <c r="R371" s="2" t="inlineStr"/>
    </row>
    <row r="372" ht="15" customHeight="1">
      <c r="A372" t="inlineStr">
        <is>
          <t>A 44889-2023</t>
        </is>
      </c>
      <c r="B372" s="1" t="n">
        <v>45190</v>
      </c>
      <c r="C372" s="1" t="n">
        <v>45983</v>
      </c>
      <c r="D372" t="inlineStr">
        <is>
          <t>JÄMTLANDS LÄN</t>
        </is>
      </c>
      <c r="E372" t="inlineStr">
        <is>
          <t>ÅRE</t>
        </is>
      </c>
      <c r="G372" t="n">
        <v>1.3</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45983</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55129-2025</t>
        </is>
      </c>
      <c r="B374" s="1" t="n">
        <v>45968.41502314815</v>
      </c>
      <c r="C374" s="1" t="n">
        <v>45983</v>
      </c>
      <c r="D374" t="inlineStr">
        <is>
          <t>JÄMTLANDS LÄN</t>
        </is>
      </c>
      <c r="E374" t="inlineStr">
        <is>
          <t>ÅRE</t>
        </is>
      </c>
      <c r="F374" t="inlineStr">
        <is>
          <t>Övriga Aktiebolag</t>
        </is>
      </c>
      <c r="G374" t="n">
        <v>103.3</v>
      </c>
      <c r="H374" t="n">
        <v>0</v>
      </c>
      <c r="I374" t="n">
        <v>0</v>
      </c>
      <c r="J374" t="n">
        <v>0</v>
      </c>
      <c r="K374" t="n">
        <v>0</v>
      </c>
      <c r="L374" t="n">
        <v>0</v>
      </c>
      <c r="M374" t="n">
        <v>0</v>
      </c>
      <c r="N374" t="n">
        <v>0</v>
      </c>
      <c r="O374" t="n">
        <v>0</v>
      </c>
      <c r="P374" t="n">
        <v>0</v>
      </c>
      <c r="Q374" t="n">
        <v>0</v>
      </c>
      <c r="R374" s="2" t="inlineStr"/>
    </row>
    <row r="375" ht="15" customHeight="1">
      <c r="A375" t="inlineStr">
        <is>
          <t>A 27390-2021</t>
        </is>
      </c>
      <c r="B375" s="1" t="n">
        <v>44351</v>
      </c>
      <c r="C375" s="1" t="n">
        <v>45983</v>
      </c>
      <c r="D375" t="inlineStr">
        <is>
          <t>JÄMTLANDS LÄN</t>
        </is>
      </c>
      <c r="E375" t="inlineStr">
        <is>
          <t>ÅRE</t>
        </is>
      </c>
      <c r="G375" t="n">
        <v>14.9</v>
      </c>
      <c r="H375" t="n">
        <v>0</v>
      </c>
      <c r="I375" t="n">
        <v>0</v>
      </c>
      <c r="J375" t="n">
        <v>0</v>
      </c>
      <c r="K375" t="n">
        <v>0</v>
      </c>
      <c r="L375" t="n">
        <v>0</v>
      </c>
      <c r="M375" t="n">
        <v>0</v>
      </c>
      <c r="N375" t="n">
        <v>0</v>
      </c>
      <c r="O375" t="n">
        <v>0</v>
      </c>
      <c r="P375" t="n">
        <v>0</v>
      </c>
      <c r="Q375" t="n">
        <v>0</v>
      </c>
      <c r="R375" s="2" t="inlineStr"/>
    </row>
    <row r="376" ht="15" customHeight="1">
      <c r="A376" t="inlineStr">
        <is>
          <t>A 55411-2025</t>
        </is>
      </c>
      <c r="B376" s="1" t="n">
        <v>45971.46741898148</v>
      </c>
      <c r="C376" s="1" t="n">
        <v>45983</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55413-2025</t>
        </is>
      </c>
      <c r="B377" s="1" t="n">
        <v>45971.46915509259</v>
      </c>
      <c r="C377" s="1" t="n">
        <v>45983</v>
      </c>
      <c r="D377" t="inlineStr">
        <is>
          <t>JÄMTLANDS LÄN</t>
        </is>
      </c>
      <c r="E377" t="inlineStr">
        <is>
          <t>ÅRE</t>
        </is>
      </c>
      <c r="G377" t="n">
        <v>7.2</v>
      </c>
      <c r="H377" t="n">
        <v>0</v>
      </c>
      <c r="I377" t="n">
        <v>0</v>
      </c>
      <c r="J377" t="n">
        <v>0</v>
      </c>
      <c r="K377" t="n">
        <v>0</v>
      </c>
      <c r="L377" t="n">
        <v>0</v>
      </c>
      <c r="M377" t="n">
        <v>0</v>
      </c>
      <c r="N377" t="n">
        <v>0</v>
      </c>
      <c r="O377" t="n">
        <v>0</v>
      </c>
      <c r="P377" t="n">
        <v>0</v>
      </c>
      <c r="Q377" t="n">
        <v>0</v>
      </c>
      <c r="R377" s="2" t="inlineStr"/>
    </row>
    <row r="378" ht="15" customHeight="1">
      <c r="A378" t="inlineStr">
        <is>
          <t>A 36015-2025</t>
        </is>
      </c>
      <c r="B378" s="1" t="n">
        <v>45863.61373842593</v>
      </c>
      <c r="C378" s="1" t="n">
        <v>45983</v>
      </c>
      <c r="D378" t="inlineStr">
        <is>
          <t>JÄMTLANDS LÄN</t>
        </is>
      </c>
      <c r="E378" t="inlineStr">
        <is>
          <t>ÅRE</t>
        </is>
      </c>
      <c r="G378" t="n">
        <v>0.7</v>
      </c>
      <c r="H378" t="n">
        <v>0</v>
      </c>
      <c r="I378" t="n">
        <v>0</v>
      </c>
      <c r="J378" t="n">
        <v>0</v>
      </c>
      <c r="K378" t="n">
        <v>0</v>
      </c>
      <c r="L378" t="n">
        <v>0</v>
      </c>
      <c r="M378" t="n">
        <v>0</v>
      </c>
      <c r="N378" t="n">
        <v>0</v>
      </c>
      <c r="O378" t="n">
        <v>0</v>
      </c>
      <c r="P378" t="n">
        <v>0</v>
      </c>
      <c r="Q378" t="n">
        <v>0</v>
      </c>
      <c r="R378" s="2" t="inlineStr"/>
    </row>
    <row r="379" ht="15" customHeight="1">
      <c r="A379" t="inlineStr">
        <is>
          <t>A 12193-2023</t>
        </is>
      </c>
      <c r="B379" s="1" t="n">
        <v>44998</v>
      </c>
      <c r="C379" s="1" t="n">
        <v>45983</v>
      </c>
      <c r="D379" t="inlineStr">
        <is>
          <t>JÄMTLANDS LÄN</t>
        </is>
      </c>
      <c r="E379" t="inlineStr">
        <is>
          <t>ÅRE</t>
        </is>
      </c>
      <c r="G379" t="n">
        <v>14.7</v>
      </c>
      <c r="H379" t="n">
        <v>0</v>
      </c>
      <c r="I379" t="n">
        <v>0</v>
      </c>
      <c r="J379" t="n">
        <v>0</v>
      </c>
      <c r="K379" t="n">
        <v>0</v>
      </c>
      <c r="L379" t="n">
        <v>0</v>
      </c>
      <c r="M379" t="n">
        <v>0</v>
      </c>
      <c r="N379" t="n">
        <v>0</v>
      </c>
      <c r="O379" t="n">
        <v>0</v>
      </c>
      <c r="P379" t="n">
        <v>0</v>
      </c>
      <c r="Q379" t="n">
        <v>0</v>
      </c>
      <c r="R379" s="2" t="inlineStr"/>
    </row>
    <row r="380" ht="15" customHeight="1">
      <c r="A380" t="inlineStr">
        <is>
          <t>A 36013-2025</t>
        </is>
      </c>
      <c r="B380" s="1" t="n">
        <v>45863.60643518518</v>
      </c>
      <c r="C380" s="1" t="n">
        <v>45983</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55416-2025</t>
        </is>
      </c>
      <c r="B381" s="1" t="n">
        <v>45971.46951388889</v>
      </c>
      <c r="C381" s="1" t="n">
        <v>45983</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55389-2025</t>
        </is>
      </c>
      <c r="B382" s="1" t="n">
        <v>45971.4482175926</v>
      </c>
      <c r="C382" s="1" t="n">
        <v>45983</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17566-2023</t>
        </is>
      </c>
      <c r="B383" s="1" t="n">
        <v>45034</v>
      </c>
      <c r="C383" s="1" t="n">
        <v>45983</v>
      </c>
      <c r="D383" t="inlineStr">
        <is>
          <t>JÄMTLANDS LÄN</t>
        </is>
      </c>
      <c r="E383" t="inlineStr">
        <is>
          <t>ÅRE</t>
        </is>
      </c>
      <c r="G383" t="n">
        <v>4.8</v>
      </c>
      <c r="H383" t="n">
        <v>0</v>
      </c>
      <c r="I383" t="n">
        <v>0</v>
      </c>
      <c r="J383" t="n">
        <v>0</v>
      </c>
      <c r="K383" t="n">
        <v>0</v>
      </c>
      <c r="L383" t="n">
        <v>0</v>
      </c>
      <c r="M383" t="n">
        <v>0</v>
      </c>
      <c r="N383" t="n">
        <v>0</v>
      </c>
      <c r="O383" t="n">
        <v>0</v>
      </c>
      <c r="P383" t="n">
        <v>0</v>
      </c>
      <c r="Q383" t="n">
        <v>0</v>
      </c>
      <c r="R383" s="2" t="inlineStr"/>
    </row>
    <row r="384" ht="15" customHeight="1">
      <c r="A384" t="inlineStr">
        <is>
          <t>A 42876-2025</t>
        </is>
      </c>
      <c r="B384" s="1" t="n">
        <v>45908</v>
      </c>
      <c r="C384" s="1" t="n">
        <v>45983</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55379-2025</t>
        </is>
      </c>
      <c r="B385" s="1" t="n">
        <v>45971.42776620371</v>
      </c>
      <c r="C385" s="1" t="n">
        <v>45983</v>
      </c>
      <c r="D385" t="inlineStr">
        <is>
          <t>JÄMTLANDS LÄN</t>
        </is>
      </c>
      <c r="E385" t="inlineStr">
        <is>
          <t>ÅRE</t>
        </is>
      </c>
      <c r="G385" t="n">
        <v>4.6</v>
      </c>
      <c r="H385" t="n">
        <v>0</v>
      </c>
      <c r="I385" t="n">
        <v>0</v>
      </c>
      <c r="J385" t="n">
        <v>0</v>
      </c>
      <c r="K385" t="n">
        <v>0</v>
      </c>
      <c r="L385" t="n">
        <v>0</v>
      </c>
      <c r="M385" t="n">
        <v>0</v>
      </c>
      <c r="N385" t="n">
        <v>0</v>
      </c>
      <c r="O385" t="n">
        <v>0</v>
      </c>
      <c r="P385" t="n">
        <v>0</v>
      </c>
      <c r="Q385" t="n">
        <v>0</v>
      </c>
      <c r="R385" s="2" t="inlineStr"/>
    </row>
    <row r="386" ht="15" customHeight="1">
      <c r="A386" t="inlineStr">
        <is>
          <t>A 61014-2024</t>
        </is>
      </c>
      <c r="B386" s="1" t="n">
        <v>45645.449375</v>
      </c>
      <c r="C386" s="1" t="n">
        <v>45983</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20485-2024</t>
        </is>
      </c>
      <c r="B387" s="1" t="n">
        <v>45435.7403125</v>
      </c>
      <c r="C387" s="1" t="n">
        <v>45983</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34931-2025</t>
        </is>
      </c>
      <c r="B388" s="1" t="n">
        <v>45849</v>
      </c>
      <c r="C388" s="1" t="n">
        <v>45983</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37739-2023</t>
        </is>
      </c>
      <c r="B389" s="1" t="n">
        <v>45159</v>
      </c>
      <c r="C389" s="1" t="n">
        <v>45983</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37758-2023</t>
        </is>
      </c>
      <c r="B390" s="1" t="n">
        <v>45159</v>
      </c>
      <c r="C390" s="1" t="n">
        <v>45983</v>
      </c>
      <c r="D390" t="inlineStr">
        <is>
          <t>JÄMTLANDS LÄN</t>
        </is>
      </c>
      <c r="E390" t="inlineStr">
        <is>
          <t>ÅRE</t>
        </is>
      </c>
      <c r="G390" t="n">
        <v>20.1</v>
      </c>
      <c r="H390" t="n">
        <v>0</v>
      </c>
      <c r="I390" t="n">
        <v>0</v>
      </c>
      <c r="J390" t="n">
        <v>0</v>
      </c>
      <c r="K390" t="n">
        <v>0</v>
      </c>
      <c r="L390" t="n">
        <v>0</v>
      </c>
      <c r="M390" t="n">
        <v>0</v>
      </c>
      <c r="N390" t="n">
        <v>0</v>
      </c>
      <c r="O390" t="n">
        <v>0</v>
      </c>
      <c r="P390" t="n">
        <v>0</v>
      </c>
      <c r="Q390" t="n">
        <v>0</v>
      </c>
      <c r="R390" s="2" t="inlineStr"/>
    </row>
    <row r="391" ht="15" customHeight="1">
      <c r="A391" t="inlineStr">
        <is>
          <t>A 23561-2021</t>
        </is>
      </c>
      <c r="B391" s="1" t="n">
        <v>44334</v>
      </c>
      <c r="C391" s="1" t="n">
        <v>45983</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36975-2025</t>
        </is>
      </c>
      <c r="B392" s="1" t="n">
        <v>45874.63773148148</v>
      </c>
      <c r="C392" s="1" t="n">
        <v>45983</v>
      </c>
      <c r="D392" t="inlineStr">
        <is>
          <t>JÄMTLANDS LÄN</t>
        </is>
      </c>
      <c r="E392" t="inlineStr">
        <is>
          <t>ÅRE</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12168-2023</t>
        </is>
      </c>
      <c r="B393" s="1" t="n">
        <v>44998</v>
      </c>
      <c r="C393" s="1" t="n">
        <v>45983</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12173-2023</t>
        </is>
      </c>
      <c r="B394" s="1" t="n">
        <v>44998</v>
      </c>
      <c r="C394" s="1" t="n">
        <v>45983</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48211-2025</t>
        </is>
      </c>
      <c r="B395" s="1" t="n">
        <v>45931</v>
      </c>
      <c r="C395" s="1" t="n">
        <v>45983</v>
      </c>
      <c r="D395" t="inlineStr">
        <is>
          <t>JÄMTLANDS LÄN</t>
        </is>
      </c>
      <c r="E395" t="inlineStr">
        <is>
          <t>ÅRE</t>
        </is>
      </c>
      <c r="G395" t="n">
        <v>6.6</v>
      </c>
      <c r="H395" t="n">
        <v>0</v>
      </c>
      <c r="I395" t="n">
        <v>0</v>
      </c>
      <c r="J395" t="n">
        <v>0</v>
      </c>
      <c r="K395" t="n">
        <v>0</v>
      </c>
      <c r="L395" t="n">
        <v>0</v>
      </c>
      <c r="M395" t="n">
        <v>0</v>
      </c>
      <c r="N395" t="n">
        <v>0</v>
      </c>
      <c r="O395" t="n">
        <v>0</v>
      </c>
      <c r="P395" t="n">
        <v>0</v>
      </c>
      <c r="Q395" t="n">
        <v>0</v>
      </c>
      <c r="R395" s="2" t="inlineStr"/>
    </row>
    <row r="396" ht="15" customHeight="1">
      <c r="A396" t="inlineStr">
        <is>
          <t>A 33379-2024</t>
        </is>
      </c>
      <c r="B396" s="1" t="n">
        <v>45519.4495949074</v>
      </c>
      <c r="C396" s="1" t="n">
        <v>45983</v>
      </c>
      <c r="D396" t="inlineStr">
        <is>
          <t>JÄMTLANDS LÄN</t>
        </is>
      </c>
      <c r="E396" t="inlineStr">
        <is>
          <t>ÅRE</t>
        </is>
      </c>
      <c r="G396" t="n">
        <v>1.5</v>
      </c>
      <c r="H396" t="n">
        <v>0</v>
      </c>
      <c r="I396" t="n">
        <v>0</v>
      </c>
      <c r="J396" t="n">
        <v>0</v>
      </c>
      <c r="K396" t="n">
        <v>0</v>
      </c>
      <c r="L396" t="n">
        <v>0</v>
      </c>
      <c r="M396" t="n">
        <v>0</v>
      </c>
      <c r="N396" t="n">
        <v>0</v>
      </c>
      <c r="O396" t="n">
        <v>0</v>
      </c>
      <c r="P396" t="n">
        <v>0</v>
      </c>
      <c r="Q396" t="n">
        <v>0</v>
      </c>
      <c r="R396" s="2" t="inlineStr"/>
    </row>
    <row r="397" ht="15" customHeight="1">
      <c r="A397" t="inlineStr">
        <is>
          <t>A 22602-2025</t>
        </is>
      </c>
      <c r="B397" s="1" t="n">
        <v>45786</v>
      </c>
      <c r="C397" s="1" t="n">
        <v>45983</v>
      </c>
      <c r="D397" t="inlineStr">
        <is>
          <t>JÄMTLANDS LÄN</t>
        </is>
      </c>
      <c r="E397" t="inlineStr">
        <is>
          <t>ÅRE</t>
        </is>
      </c>
      <c r="G397" t="n">
        <v>13.1</v>
      </c>
      <c r="H397" t="n">
        <v>0</v>
      </c>
      <c r="I397" t="n">
        <v>0</v>
      </c>
      <c r="J397" t="n">
        <v>0</v>
      </c>
      <c r="K397" t="n">
        <v>0</v>
      </c>
      <c r="L397" t="n">
        <v>0</v>
      </c>
      <c r="M397" t="n">
        <v>0</v>
      </c>
      <c r="N397" t="n">
        <v>0</v>
      </c>
      <c r="O397" t="n">
        <v>0</v>
      </c>
      <c r="P397" t="n">
        <v>0</v>
      </c>
      <c r="Q397" t="n">
        <v>0</v>
      </c>
      <c r="R397" s="2" t="inlineStr"/>
    </row>
    <row r="398" ht="15" customHeight="1">
      <c r="A398" t="inlineStr">
        <is>
          <t>A 22603-2025</t>
        </is>
      </c>
      <c r="B398" s="1" t="n">
        <v>45786</v>
      </c>
      <c r="C398" s="1" t="n">
        <v>45983</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37178-2025</t>
        </is>
      </c>
      <c r="B399" s="1" t="n">
        <v>45875</v>
      </c>
      <c r="C399" s="1" t="n">
        <v>45983</v>
      </c>
      <c r="D399" t="inlineStr">
        <is>
          <t>JÄMTLANDS LÄN</t>
        </is>
      </c>
      <c r="E399" t="inlineStr">
        <is>
          <t>ÅRE</t>
        </is>
      </c>
      <c r="G399" t="n">
        <v>5</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45983</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56204-2025</t>
        </is>
      </c>
      <c r="B401" s="1" t="n">
        <v>45974.46935185185</v>
      </c>
      <c r="C401" s="1" t="n">
        <v>45983</v>
      </c>
      <c r="D401" t="inlineStr">
        <is>
          <t>JÄMTLANDS LÄN</t>
        </is>
      </c>
      <c r="E401" t="inlineStr">
        <is>
          <t>ÅRE</t>
        </is>
      </c>
      <c r="G401" t="n">
        <v>3.2</v>
      </c>
      <c r="H401" t="n">
        <v>0</v>
      </c>
      <c r="I401" t="n">
        <v>0</v>
      </c>
      <c r="J401" t="n">
        <v>0</v>
      </c>
      <c r="K401" t="n">
        <v>0</v>
      </c>
      <c r="L401" t="n">
        <v>0</v>
      </c>
      <c r="M401" t="n">
        <v>0</v>
      </c>
      <c r="N401" t="n">
        <v>0</v>
      </c>
      <c r="O401" t="n">
        <v>0</v>
      </c>
      <c r="P401" t="n">
        <v>0</v>
      </c>
      <c r="Q401" t="n">
        <v>0</v>
      </c>
      <c r="R401" s="2" t="inlineStr"/>
    </row>
    <row r="402" ht="15" customHeight="1">
      <c r="A402" t="inlineStr">
        <is>
          <t>A 56205-2025</t>
        </is>
      </c>
      <c r="B402" s="1" t="n">
        <v>45974.469375</v>
      </c>
      <c r="C402" s="1" t="n">
        <v>45983</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41273-2025</t>
        </is>
      </c>
      <c r="B403" s="1" t="n">
        <v>45898</v>
      </c>
      <c r="C403" s="1" t="n">
        <v>45983</v>
      </c>
      <c r="D403" t="inlineStr">
        <is>
          <t>JÄMTLANDS LÄN</t>
        </is>
      </c>
      <c r="E403" t="inlineStr">
        <is>
          <t>ÅRE</t>
        </is>
      </c>
      <c r="F403" t="inlineStr">
        <is>
          <t>Övriga Aktiebolag</t>
        </is>
      </c>
      <c r="G403" t="n">
        <v>3.1</v>
      </c>
      <c r="H403" t="n">
        <v>0</v>
      </c>
      <c r="I403" t="n">
        <v>0</v>
      </c>
      <c r="J403" t="n">
        <v>0</v>
      </c>
      <c r="K403" t="n">
        <v>0</v>
      </c>
      <c r="L403" t="n">
        <v>0</v>
      </c>
      <c r="M403" t="n">
        <v>0</v>
      </c>
      <c r="N403" t="n">
        <v>0</v>
      </c>
      <c r="O403" t="n">
        <v>0</v>
      </c>
      <c r="P403" t="n">
        <v>0</v>
      </c>
      <c r="Q403" t="n">
        <v>0</v>
      </c>
      <c r="R403" s="2" t="inlineStr"/>
    </row>
    <row r="404" ht="15" customHeight="1">
      <c r="A404" t="inlineStr">
        <is>
          <t>A 27630-2025</t>
        </is>
      </c>
      <c r="B404" s="1" t="n">
        <v>45813</v>
      </c>
      <c r="C404" s="1" t="n">
        <v>45983</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37249-2025</t>
        </is>
      </c>
      <c r="B405" s="1" t="n">
        <v>45876.40699074074</v>
      </c>
      <c r="C405" s="1" t="n">
        <v>45983</v>
      </c>
      <c r="D405" t="inlineStr">
        <is>
          <t>JÄMTLANDS LÄN</t>
        </is>
      </c>
      <c r="E405" t="inlineStr">
        <is>
          <t>ÅRE</t>
        </is>
      </c>
      <c r="G405" t="n">
        <v>1.9</v>
      </c>
      <c r="H405" t="n">
        <v>0</v>
      </c>
      <c r="I405" t="n">
        <v>0</v>
      </c>
      <c r="J405" t="n">
        <v>0</v>
      </c>
      <c r="K405" t="n">
        <v>0</v>
      </c>
      <c r="L405" t="n">
        <v>0</v>
      </c>
      <c r="M405" t="n">
        <v>0</v>
      </c>
      <c r="N405" t="n">
        <v>0</v>
      </c>
      <c r="O405" t="n">
        <v>0</v>
      </c>
      <c r="P405" t="n">
        <v>0</v>
      </c>
      <c r="Q405" t="n">
        <v>0</v>
      </c>
      <c r="R405" s="2" t="inlineStr"/>
    </row>
    <row r="406" ht="15" customHeight="1">
      <c r="A406" t="inlineStr">
        <is>
          <t>A 37158-2025</t>
        </is>
      </c>
      <c r="B406" s="1" t="n">
        <v>45875</v>
      </c>
      <c r="C406" s="1" t="n">
        <v>45983</v>
      </c>
      <c r="D406" t="inlineStr">
        <is>
          <t>JÄMTLANDS LÄN</t>
        </is>
      </c>
      <c r="E406" t="inlineStr">
        <is>
          <t>ÅRE</t>
        </is>
      </c>
      <c r="G406" t="n">
        <v>4.7</v>
      </c>
      <c r="H406" t="n">
        <v>0</v>
      </c>
      <c r="I406" t="n">
        <v>0</v>
      </c>
      <c r="J406" t="n">
        <v>0</v>
      </c>
      <c r="K406" t="n">
        <v>0</v>
      </c>
      <c r="L406" t="n">
        <v>0</v>
      </c>
      <c r="M406" t="n">
        <v>0</v>
      </c>
      <c r="N406" t="n">
        <v>0</v>
      </c>
      <c r="O406" t="n">
        <v>0</v>
      </c>
      <c r="P406" t="n">
        <v>0</v>
      </c>
      <c r="Q406" t="n">
        <v>0</v>
      </c>
      <c r="R406" s="2" t="inlineStr"/>
    </row>
    <row r="407" ht="15" customHeight="1">
      <c r="A407" t="inlineStr">
        <is>
          <t>A 37118-2025</t>
        </is>
      </c>
      <c r="B407" s="1" t="n">
        <v>45875</v>
      </c>
      <c r="C407" s="1" t="n">
        <v>45983</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45983</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37159-2025</t>
        </is>
      </c>
      <c r="B409" s="1" t="n">
        <v>45875</v>
      </c>
      <c r="C409" s="1" t="n">
        <v>45983</v>
      </c>
      <c r="D409" t="inlineStr">
        <is>
          <t>JÄMTLANDS LÄN</t>
        </is>
      </c>
      <c r="E409" t="inlineStr">
        <is>
          <t>ÅRE</t>
        </is>
      </c>
      <c r="G409" t="n">
        <v>0.3</v>
      </c>
      <c r="H409" t="n">
        <v>0</v>
      </c>
      <c r="I409" t="n">
        <v>0</v>
      </c>
      <c r="J409" t="n">
        <v>0</v>
      </c>
      <c r="K409" t="n">
        <v>0</v>
      </c>
      <c r="L409" t="n">
        <v>0</v>
      </c>
      <c r="M409" t="n">
        <v>0</v>
      </c>
      <c r="N409" t="n">
        <v>0</v>
      </c>
      <c r="O409" t="n">
        <v>0</v>
      </c>
      <c r="P409" t="n">
        <v>0</v>
      </c>
      <c r="Q409" t="n">
        <v>0</v>
      </c>
      <c r="R409" s="2" t="inlineStr"/>
    </row>
    <row r="410" ht="15" customHeight="1">
      <c r="A410" t="inlineStr">
        <is>
          <t>A 24655-2023</t>
        </is>
      </c>
      <c r="B410" s="1" t="n">
        <v>45084.47790509259</v>
      </c>
      <c r="C410" s="1" t="n">
        <v>45983</v>
      </c>
      <c r="D410" t="inlineStr">
        <is>
          <t>JÄMTLANDS LÄN</t>
        </is>
      </c>
      <c r="E410" t="inlineStr">
        <is>
          <t>ÅRE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66790-2020</t>
        </is>
      </c>
      <c r="B411" s="1" t="n">
        <v>44179</v>
      </c>
      <c r="C411" s="1" t="n">
        <v>45983</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12669-2023</t>
        </is>
      </c>
      <c r="B412" s="1" t="n">
        <v>45000</v>
      </c>
      <c r="C412" s="1" t="n">
        <v>45983</v>
      </c>
      <c r="D412" t="inlineStr">
        <is>
          <t>JÄMTLANDS LÄN</t>
        </is>
      </c>
      <c r="E412" t="inlineStr">
        <is>
          <t>ÅRE</t>
        </is>
      </c>
      <c r="F412" t="inlineStr">
        <is>
          <t>Övriga Aktiebolag</t>
        </is>
      </c>
      <c r="G412" t="n">
        <v>2.8</v>
      </c>
      <c r="H412" t="n">
        <v>0</v>
      </c>
      <c r="I412" t="n">
        <v>0</v>
      </c>
      <c r="J412" t="n">
        <v>0</v>
      </c>
      <c r="K412" t="n">
        <v>0</v>
      </c>
      <c r="L412" t="n">
        <v>0</v>
      </c>
      <c r="M412" t="n">
        <v>0</v>
      </c>
      <c r="N412" t="n">
        <v>0</v>
      </c>
      <c r="O412" t="n">
        <v>0</v>
      </c>
      <c r="P412" t="n">
        <v>0</v>
      </c>
      <c r="Q412" t="n">
        <v>0</v>
      </c>
      <c r="R412" s="2" t="inlineStr"/>
    </row>
    <row r="413" ht="15" customHeight="1">
      <c r="A413" t="inlineStr">
        <is>
          <t>A 53156-2025</t>
        </is>
      </c>
      <c r="B413" s="1" t="n">
        <v>45958.49030092593</v>
      </c>
      <c r="C413" s="1" t="n">
        <v>45983</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45983</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30081-2024</t>
        </is>
      </c>
      <c r="B415" s="1" t="n">
        <v>45485</v>
      </c>
      <c r="C415" s="1" t="n">
        <v>45983</v>
      </c>
      <c r="D415" t="inlineStr">
        <is>
          <t>JÄMTLANDS LÄN</t>
        </is>
      </c>
      <c r="E415" t="inlineStr">
        <is>
          <t>ÅRE</t>
        </is>
      </c>
      <c r="G415" t="n">
        <v>17.8</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45983</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45378-2025</t>
        </is>
      </c>
      <c r="B417" s="1" t="n">
        <v>45922.39506944444</v>
      </c>
      <c r="C417" s="1" t="n">
        <v>45983</v>
      </c>
      <c r="D417" t="inlineStr">
        <is>
          <t>JÄMTLANDS LÄN</t>
        </is>
      </c>
      <c r="E417" t="inlineStr">
        <is>
          <t>ÅRE</t>
        </is>
      </c>
      <c r="G417" t="n">
        <v>15.7</v>
      </c>
      <c r="H417" t="n">
        <v>0</v>
      </c>
      <c r="I417" t="n">
        <v>0</v>
      </c>
      <c r="J417" t="n">
        <v>0</v>
      </c>
      <c r="K417" t="n">
        <v>0</v>
      </c>
      <c r="L417" t="n">
        <v>0</v>
      </c>
      <c r="M417" t="n">
        <v>0</v>
      </c>
      <c r="N417" t="n">
        <v>0</v>
      </c>
      <c r="O417" t="n">
        <v>0</v>
      </c>
      <c r="P417" t="n">
        <v>0</v>
      </c>
      <c r="Q417" t="n">
        <v>0</v>
      </c>
      <c r="R417" s="2" t="inlineStr"/>
    </row>
    <row r="418" ht="15" customHeight="1">
      <c r="A418" t="inlineStr">
        <is>
          <t>A 30080-2024</t>
        </is>
      </c>
      <c r="B418" s="1" t="n">
        <v>45485</v>
      </c>
      <c r="C418" s="1" t="n">
        <v>45983</v>
      </c>
      <c r="D418" t="inlineStr">
        <is>
          <t>JÄMTLANDS LÄN</t>
        </is>
      </c>
      <c r="E418" t="inlineStr">
        <is>
          <t>ÅRE</t>
        </is>
      </c>
      <c r="G418" t="n">
        <v>24.6</v>
      </c>
      <c r="H418" t="n">
        <v>0</v>
      </c>
      <c r="I418" t="n">
        <v>0</v>
      </c>
      <c r="J418" t="n">
        <v>0</v>
      </c>
      <c r="K418" t="n">
        <v>0</v>
      </c>
      <c r="L418" t="n">
        <v>0</v>
      </c>
      <c r="M418" t="n">
        <v>0</v>
      </c>
      <c r="N418" t="n">
        <v>0</v>
      </c>
      <c r="O418" t="n">
        <v>0</v>
      </c>
      <c r="P418" t="n">
        <v>0</v>
      </c>
      <c r="Q418" t="n">
        <v>0</v>
      </c>
      <c r="R418" s="2" t="inlineStr"/>
    </row>
    <row r="419" ht="15" customHeight="1">
      <c r="A419" t="inlineStr">
        <is>
          <t>A 13561-2025</t>
        </is>
      </c>
      <c r="B419" s="1" t="n">
        <v>45736.5587037037</v>
      </c>
      <c r="C419" s="1" t="n">
        <v>45983</v>
      </c>
      <c r="D419" t="inlineStr">
        <is>
          <t>JÄMTLANDS LÄN</t>
        </is>
      </c>
      <c r="E419" t="inlineStr">
        <is>
          <t>ÅRE</t>
        </is>
      </c>
      <c r="F419" t="inlineStr">
        <is>
          <t>Övriga statliga verk och myndigheter</t>
        </is>
      </c>
      <c r="G419" t="n">
        <v>3.8</v>
      </c>
      <c r="H419" t="n">
        <v>0</v>
      </c>
      <c r="I419" t="n">
        <v>0</v>
      </c>
      <c r="J419" t="n">
        <v>0</v>
      </c>
      <c r="K419" t="n">
        <v>0</v>
      </c>
      <c r="L419" t="n">
        <v>0</v>
      </c>
      <c r="M419" t="n">
        <v>0</v>
      </c>
      <c r="N419" t="n">
        <v>0</v>
      </c>
      <c r="O419" t="n">
        <v>0</v>
      </c>
      <c r="P419" t="n">
        <v>0</v>
      </c>
      <c r="Q419" t="n">
        <v>0</v>
      </c>
      <c r="R419" s="2" t="inlineStr"/>
    </row>
    <row r="420" ht="15" customHeight="1">
      <c r="A420" t="inlineStr">
        <is>
          <t>A 31388-2021</t>
        </is>
      </c>
      <c r="B420" s="1" t="n">
        <v>44369</v>
      </c>
      <c r="C420" s="1" t="n">
        <v>45983</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23805-2024</t>
        </is>
      </c>
      <c r="B421" s="1" t="n">
        <v>45455.44194444444</v>
      </c>
      <c r="C421" s="1" t="n">
        <v>45983</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25379-2024</t>
        </is>
      </c>
      <c r="B422" s="1" t="n">
        <v>45462</v>
      </c>
      <c r="C422" s="1" t="n">
        <v>45983</v>
      </c>
      <c r="D422" t="inlineStr">
        <is>
          <t>JÄMTLANDS LÄN</t>
        </is>
      </c>
      <c r="E422" t="inlineStr">
        <is>
          <t>ÅRE</t>
        </is>
      </c>
      <c r="G422" t="n">
        <v>4.5</v>
      </c>
      <c r="H422" t="n">
        <v>0</v>
      </c>
      <c r="I422" t="n">
        <v>0</v>
      </c>
      <c r="J422" t="n">
        <v>0</v>
      </c>
      <c r="K422" t="n">
        <v>0</v>
      </c>
      <c r="L422" t="n">
        <v>0</v>
      </c>
      <c r="M422" t="n">
        <v>0</v>
      </c>
      <c r="N422" t="n">
        <v>0</v>
      </c>
      <c r="O422" t="n">
        <v>0</v>
      </c>
      <c r="P422" t="n">
        <v>0</v>
      </c>
      <c r="Q422" t="n">
        <v>0</v>
      </c>
      <c r="R422" s="2" t="inlineStr"/>
    </row>
    <row r="423" ht="15" customHeight="1">
      <c r="A423" t="inlineStr">
        <is>
          <t>A 48571-2025</t>
        </is>
      </c>
      <c r="B423" s="1" t="n">
        <v>45936.44934027778</v>
      </c>
      <c r="C423" s="1" t="n">
        <v>45983</v>
      </c>
      <c r="D423" t="inlineStr">
        <is>
          <t>JÄMTLANDS LÄN</t>
        </is>
      </c>
      <c r="E423" t="inlineStr">
        <is>
          <t>ÅRE</t>
        </is>
      </c>
      <c r="G423" t="n">
        <v>5.2</v>
      </c>
      <c r="H423" t="n">
        <v>0</v>
      </c>
      <c r="I423" t="n">
        <v>0</v>
      </c>
      <c r="J423" t="n">
        <v>0</v>
      </c>
      <c r="K423" t="n">
        <v>0</v>
      </c>
      <c r="L423" t="n">
        <v>0</v>
      </c>
      <c r="M423" t="n">
        <v>0</v>
      </c>
      <c r="N423" t="n">
        <v>0</v>
      </c>
      <c r="O423" t="n">
        <v>0</v>
      </c>
      <c r="P423" t="n">
        <v>0</v>
      </c>
      <c r="Q423" t="n">
        <v>0</v>
      </c>
      <c r="R423" s="2" t="inlineStr"/>
    </row>
    <row r="424" ht="15" customHeight="1">
      <c r="A424" t="inlineStr">
        <is>
          <t>A 19275-2021</t>
        </is>
      </c>
      <c r="B424" s="1" t="n">
        <v>44309</v>
      </c>
      <c r="C424" s="1" t="n">
        <v>45983</v>
      </c>
      <c r="D424" t="inlineStr">
        <is>
          <t>JÄMTLANDS LÄN</t>
        </is>
      </c>
      <c r="E424" t="inlineStr">
        <is>
          <t>ÅRE</t>
        </is>
      </c>
      <c r="G424" t="n">
        <v>16.4</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45983</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66755-2020</t>
        </is>
      </c>
      <c r="B426" s="1" t="n">
        <v>44179</v>
      </c>
      <c r="C426" s="1" t="n">
        <v>45983</v>
      </c>
      <c r="D426" t="inlineStr">
        <is>
          <t>JÄMTLANDS LÄN</t>
        </is>
      </c>
      <c r="E426" t="inlineStr">
        <is>
          <t>ÅRE</t>
        </is>
      </c>
      <c r="G426" t="n">
        <v>3.5</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45925.66126157407</v>
      </c>
      <c r="C427" s="1" t="n">
        <v>45983</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56618-2025</t>
        </is>
      </c>
      <c r="B428" s="1" t="n">
        <v>45975.59444444445</v>
      </c>
      <c r="C428" s="1" t="n">
        <v>45983</v>
      </c>
      <c r="D428" t="inlineStr">
        <is>
          <t>JÄMTLANDS LÄN</t>
        </is>
      </c>
      <c r="E428" t="inlineStr">
        <is>
          <t>ÅRE</t>
        </is>
      </c>
      <c r="G428" t="n">
        <v>18.8</v>
      </c>
      <c r="H428" t="n">
        <v>0</v>
      </c>
      <c r="I428" t="n">
        <v>0</v>
      </c>
      <c r="J428" t="n">
        <v>0</v>
      </c>
      <c r="K428" t="n">
        <v>0</v>
      </c>
      <c r="L428" t="n">
        <v>0</v>
      </c>
      <c r="M428" t="n">
        <v>0</v>
      </c>
      <c r="N428" t="n">
        <v>0</v>
      </c>
      <c r="O428" t="n">
        <v>0</v>
      </c>
      <c r="P428" t="n">
        <v>0</v>
      </c>
      <c r="Q428" t="n">
        <v>0</v>
      </c>
      <c r="R428" s="2" t="inlineStr"/>
    </row>
    <row r="429" ht="15" customHeight="1">
      <c r="A429" t="inlineStr">
        <is>
          <t>A 56576-2025</t>
        </is>
      </c>
      <c r="B429" s="1" t="n">
        <v>45975.52893518518</v>
      </c>
      <c r="C429" s="1" t="n">
        <v>45983</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56601-2025</t>
        </is>
      </c>
      <c r="B430" s="1" t="n">
        <v>45975.57423611111</v>
      </c>
      <c r="C430" s="1" t="n">
        <v>45983</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48178-2025</t>
        </is>
      </c>
      <c r="B431" s="1" t="n">
        <v>45933.44865740741</v>
      </c>
      <c r="C431" s="1" t="n">
        <v>45983</v>
      </c>
      <c r="D431" t="inlineStr">
        <is>
          <t>JÄMTLANDS LÄN</t>
        </is>
      </c>
      <c r="E431" t="inlineStr">
        <is>
          <t>ÅRE</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56873-2025</t>
        </is>
      </c>
      <c r="B432" s="1" t="n">
        <v>45978.53459490741</v>
      </c>
      <c r="C432" s="1" t="n">
        <v>45983</v>
      </c>
      <c r="D432" t="inlineStr">
        <is>
          <t>JÄMTLANDS LÄN</t>
        </is>
      </c>
      <c r="E432" t="inlineStr">
        <is>
          <t>ÅRE</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47052-2022</t>
        </is>
      </c>
      <c r="B433" s="1" t="n">
        <v>44851</v>
      </c>
      <c r="C433" s="1" t="n">
        <v>45983</v>
      </c>
      <c r="D433" t="inlineStr">
        <is>
          <t>JÄMTLANDS LÄN</t>
        </is>
      </c>
      <c r="E433" t="inlineStr">
        <is>
          <t>ÅRE</t>
        </is>
      </c>
      <c r="G433" t="n">
        <v>90.8</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45983</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45983</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25710-2024</t>
        </is>
      </c>
      <c r="B436" s="1" t="n">
        <v>45463</v>
      </c>
      <c r="C436" s="1" t="n">
        <v>45983</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45983</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6049-2025</t>
        </is>
      </c>
      <c r="B438" s="1" t="n">
        <v>45695</v>
      </c>
      <c r="C438" s="1" t="n">
        <v>45983</v>
      </c>
      <c r="D438" t="inlineStr">
        <is>
          <t>JÄMTLANDS LÄN</t>
        </is>
      </c>
      <c r="E438" t="inlineStr">
        <is>
          <t>ÅRE</t>
        </is>
      </c>
      <c r="G438" t="n">
        <v>58.3</v>
      </c>
      <c r="H438" t="n">
        <v>0</v>
      </c>
      <c r="I438" t="n">
        <v>0</v>
      </c>
      <c r="J438" t="n">
        <v>0</v>
      </c>
      <c r="K438" t="n">
        <v>0</v>
      </c>
      <c r="L438" t="n">
        <v>0</v>
      </c>
      <c r="M438" t="n">
        <v>0</v>
      </c>
      <c r="N438" t="n">
        <v>0</v>
      </c>
      <c r="O438" t="n">
        <v>0</v>
      </c>
      <c r="P438" t="n">
        <v>0</v>
      </c>
      <c r="Q438" t="n">
        <v>0</v>
      </c>
      <c r="R438" s="2" t="inlineStr"/>
    </row>
    <row r="439" ht="15" customHeight="1">
      <c r="A439" t="inlineStr">
        <is>
          <t>A 13301-2024</t>
        </is>
      </c>
      <c r="B439" s="1" t="n">
        <v>45386</v>
      </c>
      <c r="C439" s="1" t="n">
        <v>45983</v>
      </c>
      <c r="D439" t="inlineStr">
        <is>
          <t>JÄMTLANDS LÄN</t>
        </is>
      </c>
      <c r="E439" t="inlineStr">
        <is>
          <t>ÅRE</t>
        </is>
      </c>
      <c r="G439" t="n">
        <v>9</v>
      </c>
      <c r="H439" t="n">
        <v>0</v>
      </c>
      <c r="I439" t="n">
        <v>0</v>
      </c>
      <c r="J439" t="n">
        <v>0</v>
      </c>
      <c r="K439" t="n">
        <v>0</v>
      </c>
      <c r="L439" t="n">
        <v>0</v>
      </c>
      <c r="M439" t="n">
        <v>0</v>
      </c>
      <c r="N439" t="n">
        <v>0</v>
      </c>
      <c r="O439" t="n">
        <v>0</v>
      </c>
      <c r="P439" t="n">
        <v>0</v>
      </c>
      <c r="Q439" t="n">
        <v>0</v>
      </c>
      <c r="R439" s="2" t="inlineStr"/>
    </row>
    <row r="440" ht="15" customHeight="1">
      <c r="A440" t="inlineStr">
        <is>
          <t>A 15889-2025</t>
        </is>
      </c>
      <c r="B440" s="1" t="n">
        <v>45749.4075</v>
      </c>
      <c r="C440" s="1" t="n">
        <v>45983</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46444-2024</t>
        </is>
      </c>
      <c r="B441" s="1" t="n">
        <v>45582</v>
      </c>
      <c r="C441" s="1" t="n">
        <v>45983</v>
      </c>
      <c r="D441" t="inlineStr">
        <is>
          <t>JÄMTLANDS LÄN</t>
        </is>
      </c>
      <c r="E441" t="inlineStr">
        <is>
          <t>ÅRE</t>
        </is>
      </c>
      <c r="G441" t="n">
        <v>19.6</v>
      </c>
      <c r="H441" t="n">
        <v>0</v>
      </c>
      <c r="I441" t="n">
        <v>0</v>
      </c>
      <c r="J441" t="n">
        <v>0</v>
      </c>
      <c r="K441" t="n">
        <v>0</v>
      </c>
      <c r="L441" t="n">
        <v>0</v>
      </c>
      <c r="M441" t="n">
        <v>0</v>
      </c>
      <c r="N441" t="n">
        <v>0</v>
      </c>
      <c r="O441" t="n">
        <v>0</v>
      </c>
      <c r="P441" t="n">
        <v>0</v>
      </c>
      <c r="Q441" t="n">
        <v>0</v>
      </c>
      <c r="R441" s="2" t="inlineStr"/>
    </row>
    <row r="442" ht="15" customHeight="1">
      <c r="A442" t="inlineStr">
        <is>
          <t>A 57286-2025</t>
        </is>
      </c>
      <c r="B442" s="1" t="n">
        <v>45979.74055555555</v>
      </c>
      <c r="C442" s="1" t="n">
        <v>45983</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18264-2023</t>
        </is>
      </c>
      <c r="B443" s="1" t="n">
        <v>45041</v>
      </c>
      <c r="C443" s="1" t="n">
        <v>45983</v>
      </c>
      <c r="D443" t="inlineStr">
        <is>
          <t>JÄMTLANDS LÄN</t>
        </is>
      </c>
      <c r="E443" t="inlineStr">
        <is>
          <t>ÅRE</t>
        </is>
      </c>
      <c r="G443" t="n">
        <v>0.2</v>
      </c>
      <c r="H443" t="n">
        <v>0</v>
      </c>
      <c r="I443" t="n">
        <v>0</v>
      </c>
      <c r="J443" t="n">
        <v>0</v>
      </c>
      <c r="K443" t="n">
        <v>0</v>
      </c>
      <c r="L443" t="n">
        <v>0</v>
      </c>
      <c r="M443" t="n">
        <v>0</v>
      </c>
      <c r="N443" t="n">
        <v>0</v>
      </c>
      <c r="O443" t="n">
        <v>0</v>
      </c>
      <c r="P443" t="n">
        <v>0</v>
      </c>
      <c r="Q443" t="n">
        <v>0</v>
      </c>
      <c r="R443" s="2" t="inlineStr"/>
    </row>
    <row r="444" ht="15" customHeight="1">
      <c r="A444" t="inlineStr">
        <is>
          <t>A 57285-2025</t>
        </is>
      </c>
      <c r="B444" s="1" t="n">
        <v>45979.73390046296</v>
      </c>
      <c r="C444" s="1" t="n">
        <v>45983</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57627-2025</t>
        </is>
      </c>
      <c r="B445" s="1" t="n">
        <v>45981.34583333333</v>
      </c>
      <c r="C445" s="1" t="n">
        <v>45983</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911-2022</t>
        </is>
      </c>
      <c r="B446" s="1" t="n">
        <v>44570</v>
      </c>
      <c r="C446" s="1" t="n">
        <v>45983</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57928-2025</t>
        </is>
      </c>
      <c r="B447" s="1" t="n">
        <v>45981.88722222222</v>
      </c>
      <c r="C447" s="1" t="n">
        <v>45983</v>
      </c>
      <c r="D447" t="inlineStr">
        <is>
          <t>JÄMTLANDS LÄN</t>
        </is>
      </c>
      <c r="E447" t="inlineStr">
        <is>
          <t>ÅRE</t>
        </is>
      </c>
      <c r="G447" t="n">
        <v>2.4</v>
      </c>
      <c r="H447" t="n">
        <v>0</v>
      </c>
      <c r="I447" t="n">
        <v>0</v>
      </c>
      <c r="J447" t="n">
        <v>0</v>
      </c>
      <c r="K447" t="n">
        <v>0</v>
      </c>
      <c r="L447" t="n">
        <v>0</v>
      </c>
      <c r="M447" t="n">
        <v>0</v>
      </c>
      <c r="N447" t="n">
        <v>0</v>
      </c>
      <c r="O447" t="n">
        <v>0</v>
      </c>
      <c r="P447" t="n">
        <v>0</v>
      </c>
      <c r="Q447" t="n">
        <v>0</v>
      </c>
      <c r="R447" s="2" t="inlineStr"/>
    </row>
    <row r="448" ht="15" customHeight="1">
      <c r="A448" t="inlineStr">
        <is>
          <t>A 57622-2025</t>
        </is>
      </c>
      <c r="B448" s="1" t="n">
        <v>45981.34545138889</v>
      </c>
      <c r="C448" s="1" t="n">
        <v>45983</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56910-2022</t>
        </is>
      </c>
      <c r="B449" s="1" t="n">
        <v>44894.59936342593</v>
      </c>
      <c r="C449" s="1" t="n">
        <v>45983</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49493-2025</t>
        </is>
      </c>
      <c r="B450" s="1" t="n">
        <v>45939.36626157408</v>
      </c>
      <c r="C450" s="1" t="n">
        <v>45983</v>
      </c>
      <c r="D450" t="inlineStr">
        <is>
          <t>JÄMTLANDS LÄN</t>
        </is>
      </c>
      <c r="E450" t="inlineStr">
        <is>
          <t>ÅRE</t>
        </is>
      </c>
      <c r="G450" t="n">
        <v>2.4</v>
      </c>
      <c r="H450" t="n">
        <v>0</v>
      </c>
      <c r="I450" t="n">
        <v>0</v>
      </c>
      <c r="J450" t="n">
        <v>0</v>
      </c>
      <c r="K450" t="n">
        <v>0</v>
      </c>
      <c r="L450" t="n">
        <v>0</v>
      </c>
      <c r="M450" t="n">
        <v>0</v>
      </c>
      <c r="N450" t="n">
        <v>0</v>
      </c>
      <c r="O450" t="n">
        <v>0</v>
      </c>
      <c r="P450" t="n">
        <v>0</v>
      </c>
      <c r="Q450" t="n">
        <v>0</v>
      </c>
      <c r="R450" s="2" t="inlineStr"/>
    </row>
    <row r="451" ht="15" customHeight="1">
      <c r="A451" t="inlineStr">
        <is>
          <t>A 56976-2023</t>
        </is>
      </c>
      <c r="B451" s="1" t="n">
        <v>45244.64202546296</v>
      </c>
      <c r="C451" s="1" t="n">
        <v>45983</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58006-2025</t>
        </is>
      </c>
      <c r="B452" s="1" t="n">
        <v>45982.44869212963</v>
      </c>
      <c r="C452" s="1" t="n">
        <v>45983</v>
      </c>
      <c r="D452" t="inlineStr">
        <is>
          <t>JÄMTLANDS LÄN</t>
        </is>
      </c>
      <c r="E452" t="inlineStr">
        <is>
          <t>ÅRE</t>
        </is>
      </c>
      <c r="G452" t="n">
        <v>4</v>
      </c>
      <c r="H452" t="n">
        <v>0</v>
      </c>
      <c r="I452" t="n">
        <v>0</v>
      </c>
      <c r="J452" t="n">
        <v>0</v>
      </c>
      <c r="K452" t="n">
        <v>0</v>
      </c>
      <c r="L452" t="n">
        <v>0</v>
      </c>
      <c r="M452" t="n">
        <v>0</v>
      </c>
      <c r="N452" t="n">
        <v>0</v>
      </c>
      <c r="O452" t="n">
        <v>0</v>
      </c>
      <c r="P452" t="n">
        <v>0</v>
      </c>
      <c r="Q452" t="n">
        <v>0</v>
      </c>
      <c r="R452" s="2" t="inlineStr"/>
    </row>
    <row r="453" ht="15" customHeight="1">
      <c r="A453" t="inlineStr">
        <is>
          <t>A 57816-2025</t>
        </is>
      </c>
      <c r="B453" s="1" t="n">
        <v>45981.59471064815</v>
      </c>
      <c r="C453" s="1" t="n">
        <v>45983</v>
      </c>
      <c r="D453" t="inlineStr">
        <is>
          <t>JÄMTLANDS LÄN</t>
        </is>
      </c>
      <c r="E453" t="inlineStr">
        <is>
          <t>ÅRE</t>
        </is>
      </c>
      <c r="G453" t="n">
        <v>5.8</v>
      </c>
      <c r="H453" t="n">
        <v>0</v>
      </c>
      <c r="I453" t="n">
        <v>0</v>
      </c>
      <c r="J453" t="n">
        <v>0</v>
      </c>
      <c r="K453" t="n">
        <v>0</v>
      </c>
      <c r="L453" t="n">
        <v>0</v>
      </c>
      <c r="M453" t="n">
        <v>0</v>
      </c>
      <c r="N453" t="n">
        <v>0</v>
      </c>
      <c r="O453" t="n">
        <v>0</v>
      </c>
      <c r="P453" t="n">
        <v>0</v>
      </c>
      <c r="Q453" t="n">
        <v>0</v>
      </c>
      <c r="R453" s="2" t="inlineStr"/>
    </row>
    <row r="454" ht="15" customHeight="1">
      <c r="A454" t="inlineStr">
        <is>
          <t>A 49593-2025</t>
        </is>
      </c>
      <c r="B454" s="1" t="n">
        <v>45939.53186342592</v>
      </c>
      <c r="C454" s="1" t="n">
        <v>45983</v>
      </c>
      <c r="D454" t="inlineStr">
        <is>
          <t>JÄMTLANDS LÄN</t>
        </is>
      </c>
      <c r="E454" t="inlineStr">
        <is>
          <t>ÅRE</t>
        </is>
      </c>
      <c r="G454" t="n">
        <v>7.9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45983</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57621-2025</t>
        </is>
      </c>
      <c r="B456" s="1" t="n">
        <v>45981.34539351852</v>
      </c>
      <c r="C456" s="1" t="n">
        <v>45983</v>
      </c>
      <c r="D456" t="inlineStr">
        <is>
          <t>JÄMTLANDS LÄN</t>
        </is>
      </c>
      <c r="E456" t="inlineStr">
        <is>
          <t>ÅRE</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45983</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49571-2025</t>
        </is>
      </c>
      <c r="B458" s="1" t="n">
        <v>45939.48998842593</v>
      </c>
      <c r="C458" s="1" t="n">
        <v>45983</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45983</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52470-2022</t>
        </is>
      </c>
      <c r="B460" s="1" t="n">
        <v>44874.48167824074</v>
      </c>
      <c r="C460" s="1" t="n">
        <v>45983</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13559-2025</t>
        </is>
      </c>
      <c r="B461" s="1" t="n">
        <v>45736.55288194444</v>
      </c>
      <c r="C461" s="1" t="n">
        <v>45983</v>
      </c>
      <c r="D461" t="inlineStr">
        <is>
          <t>JÄMTLANDS LÄN</t>
        </is>
      </c>
      <c r="E461" t="inlineStr">
        <is>
          <t>ÅRE</t>
        </is>
      </c>
      <c r="F461" t="inlineStr">
        <is>
          <t>Övriga statliga verk och myndigheter</t>
        </is>
      </c>
      <c r="G461" t="n">
        <v>0.4</v>
      </c>
      <c r="H461" t="n">
        <v>0</v>
      </c>
      <c r="I461" t="n">
        <v>0</v>
      </c>
      <c r="J461" t="n">
        <v>0</v>
      </c>
      <c r="K461" t="n">
        <v>0</v>
      </c>
      <c r="L461" t="n">
        <v>0</v>
      </c>
      <c r="M461" t="n">
        <v>0</v>
      </c>
      <c r="N461" t="n">
        <v>0</v>
      </c>
      <c r="O461" t="n">
        <v>0</v>
      </c>
      <c r="P461" t="n">
        <v>0</v>
      </c>
      <c r="Q461" t="n">
        <v>0</v>
      </c>
      <c r="R461" s="2" t="inlineStr"/>
    </row>
    <row r="462" ht="15" customHeight="1">
      <c r="A462" t="inlineStr">
        <is>
          <t>A 52707-2022</t>
        </is>
      </c>
      <c r="B462" s="1" t="n">
        <v>44874</v>
      </c>
      <c r="C462" s="1" t="n">
        <v>45983</v>
      </c>
      <c r="D462" t="inlineStr">
        <is>
          <t>JÄMTLANDS LÄN</t>
        </is>
      </c>
      <c r="E462" t="inlineStr">
        <is>
          <t>ÅRE</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46976-2024</t>
        </is>
      </c>
      <c r="B463" s="1" t="n">
        <v>45586</v>
      </c>
      <c r="C463" s="1" t="n">
        <v>45983</v>
      </c>
      <c r="D463" t="inlineStr">
        <is>
          <t>JÄMTLANDS LÄN</t>
        </is>
      </c>
      <c r="E463" t="inlineStr">
        <is>
          <t>ÅRE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3066-2023</t>
        </is>
      </c>
      <c r="B464" s="1" t="n">
        <v>44946</v>
      </c>
      <c r="C464" s="1" t="n">
        <v>45983</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3149-2023</t>
        </is>
      </c>
      <c r="B465" s="1" t="n">
        <v>44946.5500925926</v>
      </c>
      <c r="C465" s="1" t="n">
        <v>45983</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52427-2021</t>
        </is>
      </c>
      <c r="B466" s="1" t="n">
        <v>44466.34178240741</v>
      </c>
      <c r="C466" s="1" t="n">
        <v>45983</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54164-2023</t>
        </is>
      </c>
      <c r="B467" s="1" t="n">
        <v>45232.47815972222</v>
      </c>
      <c r="C467" s="1" t="n">
        <v>45983</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67270-2020</t>
        </is>
      </c>
      <c r="B468" s="1" t="n">
        <v>44179</v>
      </c>
      <c r="C468" s="1" t="n">
        <v>45983</v>
      </c>
      <c r="D468" t="inlineStr">
        <is>
          <t>JÄMTLANDS LÄN</t>
        </is>
      </c>
      <c r="E468" t="inlineStr">
        <is>
          <t>ÅRE</t>
        </is>
      </c>
      <c r="G468" t="n">
        <v>4.2</v>
      </c>
      <c r="H468" t="n">
        <v>0</v>
      </c>
      <c r="I468" t="n">
        <v>0</v>
      </c>
      <c r="J468" t="n">
        <v>0</v>
      </c>
      <c r="K468" t="n">
        <v>0</v>
      </c>
      <c r="L468" t="n">
        <v>0</v>
      </c>
      <c r="M468" t="n">
        <v>0</v>
      </c>
      <c r="N468" t="n">
        <v>0</v>
      </c>
      <c r="O468" t="n">
        <v>0</v>
      </c>
      <c r="P468" t="n">
        <v>0</v>
      </c>
      <c r="Q468" t="n">
        <v>0</v>
      </c>
      <c r="R468" s="2" t="inlineStr"/>
    </row>
    <row r="469" ht="15" customHeight="1">
      <c r="A469" t="inlineStr">
        <is>
          <t>A 39071-2024</t>
        </is>
      </c>
      <c r="B469" s="1" t="n">
        <v>45548.53193287037</v>
      </c>
      <c r="C469" s="1" t="n">
        <v>45983</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45983</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45983</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57710-2021</t>
        </is>
      </c>
      <c r="B472" s="1" t="n">
        <v>44484</v>
      </c>
      <c r="C472" s="1" t="n">
        <v>45983</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66083-2020</t>
        </is>
      </c>
      <c r="B473" s="1" t="n">
        <v>44172</v>
      </c>
      <c r="C473" s="1" t="n">
        <v>45983</v>
      </c>
      <c r="D473" t="inlineStr">
        <is>
          <t>JÄMTLANDS LÄN</t>
        </is>
      </c>
      <c r="E473" t="inlineStr">
        <is>
          <t>ÅRE</t>
        </is>
      </c>
      <c r="G473" t="n">
        <v>349.9</v>
      </c>
      <c r="H473" t="n">
        <v>0</v>
      </c>
      <c r="I473" t="n">
        <v>0</v>
      </c>
      <c r="J473" t="n">
        <v>0</v>
      </c>
      <c r="K473" t="n">
        <v>0</v>
      </c>
      <c r="L473" t="n">
        <v>0</v>
      </c>
      <c r="M473" t="n">
        <v>0</v>
      </c>
      <c r="N473" t="n">
        <v>0</v>
      </c>
      <c r="O473" t="n">
        <v>0</v>
      </c>
      <c r="P473" t="n">
        <v>0</v>
      </c>
      <c r="Q473" t="n">
        <v>0</v>
      </c>
      <c r="R473" s="2" t="inlineStr"/>
    </row>
    <row r="474" ht="15" customHeight="1">
      <c r="A474" t="inlineStr">
        <is>
          <t>A 53899-2023</t>
        </is>
      </c>
      <c r="B474" s="1" t="n">
        <v>45231.54160879629</v>
      </c>
      <c r="C474" s="1" t="n">
        <v>45983</v>
      </c>
      <c r="D474" t="inlineStr">
        <is>
          <t>JÄMTLANDS LÄN</t>
        </is>
      </c>
      <c r="E474" t="inlineStr">
        <is>
          <t>ÅRE</t>
        </is>
      </c>
      <c r="G474" t="n">
        <v>20.4</v>
      </c>
      <c r="H474" t="n">
        <v>0</v>
      </c>
      <c r="I474" t="n">
        <v>0</v>
      </c>
      <c r="J474" t="n">
        <v>0</v>
      </c>
      <c r="K474" t="n">
        <v>0</v>
      </c>
      <c r="L474" t="n">
        <v>0</v>
      </c>
      <c r="M474" t="n">
        <v>0</v>
      </c>
      <c r="N474" t="n">
        <v>0</v>
      </c>
      <c r="O474" t="n">
        <v>0</v>
      </c>
      <c r="P474" t="n">
        <v>0</v>
      </c>
      <c r="Q474" t="n">
        <v>0</v>
      </c>
      <c r="R474" s="2" t="inlineStr"/>
    </row>
    <row r="475" ht="15" customHeight="1">
      <c r="A475" t="inlineStr">
        <is>
          <t>A 34538-2023</t>
        </is>
      </c>
      <c r="B475" s="1" t="n">
        <v>45134</v>
      </c>
      <c r="C475" s="1" t="n">
        <v>45983</v>
      </c>
      <c r="D475" t="inlineStr">
        <is>
          <t>JÄMTLANDS LÄN</t>
        </is>
      </c>
      <c r="E475" t="inlineStr">
        <is>
          <t>ÅRE</t>
        </is>
      </c>
      <c r="G475" t="n">
        <v>1.3</v>
      </c>
      <c r="H475" t="n">
        <v>0</v>
      </c>
      <c r="I475" t="n">
        <v>0</v>
      </c>
      <c r="J475" t="n">
        <v>0</v>
      </c>
      <c r="K475" t="n">
        <v>0</v>
      </c>
      <c r="L475" t="n">
        <v>0</v>
      </c>
      <c r="M475" t="n">
        <v>0</v>
      </c>
      <c r="N475" t="n">
        <v>0</v>
      </c>
      <c r="O475" t="n">
        <v>0</v>
      </c>
      <c r="P475" t="n">
        <v>0</v>
      </c>
      <c r="Q475" t="n">
        <v>0</v>
      </c>
      <c r="R475" s="2" t="inlineStr"/>
    </row>
    <row r="476" ht="15" customHeight="1">
      <c r="A476" t="inlineStr">
        <is>
          <t>A 58889-2022</t>
        </is>
      </c>
      <c r="B476" s="1" t="n">
        <v>44896</v>
      </c>
      <c r="C476" s="1" t="n">
        <v>45983</v>
      </c>
      <c r="D476" t="inlineStr">
        <is>
          <t>JÄMTLANDS LÄN</t>
        </is>
      </c>
      <c r="E476" t="inlineStr">
        <is>
          <t>ÅRE</t>
        </is>
      </c>
      <c r="G476" t="n">
        <v>6.9</v>
      </c>
      <c r="H476" t="n">
        <v>0</v>
      </c>
      <c r="I476" t="n">
        <v>0</v>
      </c>
      <c r="J476" t="n">
        <v>0</v>
      </c>
      <c r="K476" t="n">
        <v>0</v>
      </c>
      <c r="L476" t="n">
        <v>0</v>
      </c>
      <c r="M476" t="n">
        <v>0</v>
      </c>
      <c r="N476" t="n">
        <v>0</v>
      </c>
      <c r="O476" t="n">
        <v>0</v>
      </c>
      <c r="P476" t="n">
        <v>0</v>
      </c>
      <c r="Q476" t="n">
        <v>0</v>
      </c>
      <c r="R476" s="2" t="inlineStr"/>
    </row>
    <row r="477" ht="15" customHeight="1">
      <c r="A477" t="inlineStr">
        <is>
          <t>A 61815-2021</t>
        </is>
      </c>
      <c r="B477" s="1" t="n">
        <v>44498</v>
      </c>
      <c r="C477" s="1" t="n">
        <v>45983</v>
      </c>
      <c r="D477" t="inlineStr">
        <is>
          <t>JÄMTLANDS LÄN</t>
        </is>
      </c>
      <c r="E477" t="inlineStr">
        <is>
          <t>ÅRE</t>
        </is>
      </c>
      <c r="G477" t="n">
        <v>7.4</v>
      </c>
      <c r="H477" t="n">
        <v>0</v>
      </c>
      <c r="I477" t="n">
        <v>0</v>
      </c>
      <c r="J477" t="n">
        <v>0</v>
      </c>
      <c r="K477" t="n">
        <v>0</v>
      </c>
      <c r="L477" t="n">
        <v>0</v>
      </c>
      <c r="M477" t="n">
        <v>0</v>
      </c>
      <c r="N477" t="n">
        <v>0</v>
      </c>
      <c r="O477" t="n">
        <v>0</v>
      </c>
      <c r="P477" t="n">
        <v>0</v>
      </c>
      <c r="Q477" t="n">
        <v>0</v>
      </c>
      <c r="R477" s="2" t="inlineStr"/>
    </row>
    <row r="478" ht="15" customHeight="1">
      <c r="A478" t="inlineStr">
        <is>
          <t>A 30263-2023</t>
        </is>
      </c>
      <c r="B478" s="1" t="n">
        <v>45099</v>
      </c>
      <c r="C478" s="1" t="n">
        <v>45983</v>
      </c>
      <c r="D478" t="inlineStr">
        <is>
          <t>JÄMTLANDS LÄN</t>
        </is>
      </c>
      <c r="E478" t="inlineStr">
        <is>
          <t>ÅRE</t>
        </is>
      </c>
      <c r="G478" t="n">
        <v>15.9</v>
      </c>
      <c r="H478" t="n">
        <v>0</v>
      </c>
      <c r="I478" t="n">
        <v>0</v>
      </c>
      <c r="J478" t="n">
        <v>0</v>
      </c>
      <c r="K478" t="n">
        <v>0</v>
      </c>
      <c r="L478" t="n">
        <v>0</v>
      </c>
      <c r="M478" t="n">
        <v>0</v>
      </c>
      <c r="N478" t="n">
        <v>0</v>
      </c>
      <c r="O478" t="n">
        <v>0</v>
      </c>
      <c r="P478" t="n">
        <v>0</v>
      </c>
      <c r="Q478" t="n">
        <v>0</v>
      </c>
      <c r="R478" s="2" t="inlineStr"/>
    </row>
    <row r="479" ht="15" customHeight="1">
      <c r="A479" t="inlineStr">
        <is>
          <t>A 59387-2022</t>
        </is>
      </c>
      <c r="B479" s="1" t="n">
        <v>44905</v>
      </c>
      <c r="C479" s="1" t="n">
        <v>45983</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8217-2021</t>
        </is>
      </c>
      <c r="B480" s="1" t="n">
        <v>44244</v>
      </c>
      <c r="C480" s="1" t="n">
        <v>45983</v>
      </c>
      <c r="D480" t="inlineStr">
        <is>
          <t>JÄMTLANDS LÄN</t>
        </is>
      </c>
      <c r="E480" t="inlineStr">
        <is>
          <t>ÅRE</t>
        </is>
      </c>
      <c r="G480" t="n">
        <v>51.8</v>
      </c>
      <c r="H480" t="n">
        <v>0</v>
      </c>
      <c r="I480" t="n">
        <v>0</v>
      </c>
      <c r="J480" t="n">
        <v>0</v>
      </c>
      <c r="K480" t="n">
        <v>0</v>
      </c>
      <c r="L480" t="n">
        <v>0</v>
      </c>
      <c r="M480" t="n">
        <v>0</v>
      </c>
      <c r="N480" t="n">
        <v>0</v>
      </c>
      <c r="O480" t="n">
        <v>0</v>
      </c>
      <c r="P480" t="n">
        <v>0</v>
      </c>
      <c r="Q480" t="n">
        <v>0</v>
      </c>
      <c r="R480" s="2" t="inlineStr"/>
    </row>
    <row r="481" ht="15" customHeight="1">
      <c r="A481" t="inlineStr">
        <is>
          <t>A 59397-2021</t>
        </is>
      </c>
      <c r="B481" s="1" t="n">
        <v>44491</v>
      </c>
      <c r="C481" s="1" t="n">
        <v>45983</v>
      </c>
      <c r="D481" t="inlineStr">
        <is>
          <t>JÄMTLANDS LÄN</t>
        </is>
      </c>
      <c r="E481" t="inlineStr">
        <is>
          <t>ÅRE</t>
        </is>
      </c>
      <c r="F481" t="inlineStr">
        <is>
          <t>Övriga Aktiebolag</t>
        </is>
      </c>
      <c r="G481" t="n">
        <v>7.6</v>
      </c>
      <c r="H481" t="n">
        <v>0</v>
      </c>
      <c r="I481" t="n">
        <v>0</v>
      </c>
      <c r="J481" t="n">
        <v>0</v>
      </c>
      <c r="K481" t="n">
        <v>0</v>
      </c>
      <c r="L481" t="n">
        <v>0</v>
      </c>
      <c r="M481" t="n">
        <v>0</v>
      </c>
      <c r="N481" t="n">
        <v>0</v>
      </c>
      <c r="O481" t="n">
        <v>0</v>
      </c>
      <c r="P481" t="n">
        <v>0</v>
      </c>
      <c r="Q481" t="n">
        <v>0</v>
      </c>
      <c r="R481" s="2" t="inlineStr"/>
    </row>
    <row r="482" ht="15" customHeight="1">
      <c r="A482" t="inlineStr">
        <is>
          <t>A 23159-2024</t>
        </is>
      </c>
      <c r="B482" s="1" t="n">
        <v>45450.7033912037</v>
      </c>
      <c r="C482" s="1" t="n">
        <v>45983</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73800-2021</t>
        </is>
      </c>
      <c r="B483" s="1" t="n">
        <v>44552</v>
      </c>
      <c r="C483" s="1" t="n">
        <v>45983</v>
      </c>
      <c r="D483" t="inlineStr">
        <is>
          <t>JÄMTLANDS LÄN</t>
        </is>
      </c>
      <c r="E483" t="inlineStr">
        <is>
          <t>ÅRE</t>
        </is>
      </c>
      <c r="G483" t="n">
        <v>8.6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45983</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64245-2021</t>
        </is>
      </c>
      <c r="B485" s="1" t="n">
        <v>44510</v>
      </c>
      <c r="C485" s="1" t="n">
        <v>45983</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9613-2021</t>
        </is>
      </c>
      <c r="B486" s="1" t="n">
        <v>44251</v>
      </c>
      <c r="C486" s="1" t="n">
        <v>45983</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45983</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37729-2023</t>
        </is>
      </c>
      <c r="B488" s="1" t="n">
        <v>45159</v>
      </c>
      <c r="C488" s="1" t="n">
        <v>45983</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50099-2021</t>
        </is>
      </c>
      <c r="B489" s="1" t="n">
        <v>44456</v>
      </c>
      <c r="C489" s="1" t="n">
        <v>45983</v>
      </c>
      <c r="D489" t="inlineStr">
        <is>
          <t>JÄMTLANDS LÄN</t>
        </is>
      </c>
      <c r="E489" t="inlineStr">
        <is>
          <t>ÅRE</t>
        </is>
      </c>
      <c r="G489" t="n">
        <v>6.2</v>
      </c>
      <c r="H489" t="n">
        <v>0</v>
      </c>
      <c r="I489" t="n">
        <v>0</v>
      </c>
      <c r="J489" t="n">
        <v>0</v>
      </c>
      <c r="K489" t="n">
        <v>0</v>
      </c>
      <c r="L489" t="n">
        <v>0</v>
      </c>
      <c r="M489" t="n">
        <v>0</v>
      </c>
      <c r="N489" t="n">
        <v>0</v>
      </c>
      <c r="O489" t="n">
        <v>0</v>
      </c>
      <c r="P489" t="n">
        <v>0</v>
      </c>
      <c r="Q489" t="n">
        <v>0</v>
      </c>
      <c r="R489" s="2" t="inlineStr"/>
    </row>
    <row r="490" ht="15" customHeight="1">
      <c r="A490" t="inlineStr">
        <is>
          <t>A 20480-2024</t>
        </is>
      </c>
      <c r="B490" s="1" t="n">
        <v>45435.71126157408</v>
      </c>
      <c r="C490" s="1" t="n">
        <v>45983</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59666-2023</t>
        </is>
      </c>
      <c r="B491" s="1" t="n">
        <v>45254.96476851852</v>
      </c>
      <c r="C491" s="1" t="n">
        <v>45983</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36048-2023</t>
        </is>
      </c>
      <c r="B492" s="1" t="n">
        <v>45149.42868055555</v>
      </c>
      <c r="C492" s="1" t="n">
        <v>45983</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45279-2024</t>
        </is>
      </c>
      <c r="B493" s="1" t="n">
        <v>45576.37496527778</v>
      </c>
      <c r="C493" s="1" t="n">
        <v>45983</v>
      </c>
      <c r="D493" t="inlineStr">
        <is>
          <t>JÄMTLANDS LÄN</t>
        </is>
      </c>
      <c r="E493" t="inlineStr">
        <is>
          <t>ÅRE</t>
        </is>
      </c>
      <c r="G493" t="n">
        <v>17.2</v>
      </c>
      <c r="H493" t="n">
        <v>0</v>
      </c>
      <c r="I493" t="n">
        <v>0</v>
      </c>
      <c r="J493" t="n">
        <v>0</v>
      </c>
      <c r="K493" t="n">
        <v>0</v>
      </c>
      <c r="L493" t="n">
        <v>0</v>
      </c>
      <c r="M493" t="n">
        <v>0</v>
      </c>
      <c r="N493" t="n">
        <v>0</v>
      </c>
      <c r="O493" t="n">
        <v>0</v>
      </c>
      <c r="P493" t="n">
        <v>0</v>
      </c>
      <c r="Q493" t="n">
        <v>0</v>
      </c>
      <c r="R493" s="2" t="inlineStr"/>
    </row>
    <row r="494" ht="15" customHeight="1">
      <c r="A494" t="inlineStr">
        <is>
          <t>A 3154-2023</t>
        </is>
      </c>
      <c r="B494" s="1" t="n">
        <v>44946.56012731481</v>
      </c>
      <c r="C494" s="1" t="n">
        <v>45983</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3204-2023</t>
        </is>
      </c>
      <c r="B495" s="1" t="n">
        <v>44946</v>
      </c>
      <c r="C495" s="1" t="n">
        <v>45983</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52677-2024</t>
        </is>
      </c>
      <c r="B496" s="1" t="n">
        <v>45610.38560185185</v>
      </c>
      <c r="C496" s="1" t="n">
        <v>45983</v>
      </c>
      <c r="D496" t="inlineStr">
        <is>
          <t>JÄMTLANDS LÄN</t>
        </is>
      </c>
      <c r="E496" t="inlineStr">
        <is>
          <t>ÅRE</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49313-2024</t>
        </is>
      </c>
      <c r="B497" s="1" t="n">
        <v>45595</v>
      </c>
      <c r="C497" s="1" t="n">
        <v>45983</v>
      </c>
      <c r="D497" t="inlineStr">
        <is>
          <t>JÄMTLANDS LÄN</t>
        </is>
      </c>
      <c r="E497" t="inlineStr">
        <is>
          <t>ÅRE</t>
        </is>
      </c>
      <c r="G497" t="n">
        <v>1.1</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45983</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15884-2023</t>
        </is>
      </c>
      <c r="B499" s="1" t="n">
        <v>45022</v>
      </c>
      <c r="C499" s="1" t="n">
        <v>45983</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47076-2024</t>
        </is>
      </c>
      <c r="B500" s="1" t="n">
        <v>45586.50180555556</v>
      </c>
      <c r="C500" s="1" t="n">
        <v>45983</v>
      </c>
      <c r="D500" t="inlineStr">
        <is>
          <t>JÄMTLANDS LÄN</t>
        </is>
      </c>
      <c r="E500" t="inlineStr">
        <is>
          <t>ÅRE</t>
        </is>
      </c>
      <c r="G500" t="n">
        <v>6.5</v>
      </c>
      <c r="H500" t="n">
        <v>0</v>
      </c>
      <c r="I500" t="n">
        <v>0</v>
      </c>
      <c r="J500" t="n">
        <v>0</v>
      </c>
      <c r="K500" t="n">
        <v>0</v>
      </c>
      <c r="L500" t="n">
        <v>0</v>
      </c>
      <c r="M500" t="n">
        <v>0</v>
      </c>
      <c r="N500" t="n">
        <v>0</v>
      </c>
      <c r="O500" t="n">
        <v>0</v>
      </c>
      <c r="P500" t="n">
        <v>0</v>
      </c>
      <c r="Q500" t="n">
        <v>0</v>
      </c>
      <c r="R500" s="2" t="inlineStr"/>
    </row>
    <row r="501" ht="15" customHeight="1">
      <c r="A501" t="inlineStr">
        <is>
          <t>A 6358-2025</t>
        </is>
      </c>
      <c r="B501" s="1" t="n">
        <v>45699.36491898148</v>
      </c>
      <c r="C501" s="1" t="n">
        <v>45983</v>
      </c>
      <c r="D501" t="inlineStr">
        <is>
          <t>JÄMTLANDS LÄN</t>
        </is>
      </c>
      <c r="E501" t="inlineStr">
        <is>
          <t>ÅRE</t>
        </is>
      </c>
      <c r="G501" t="n">
        <v>5.6</v>
      </c>
      <c r="H501" t="n">
        <v>0</v>
      </c>
      <c r="I501" t="n">
        <v>0</v>
      </c>
      <c r="J501" t="n">
        <v>0</v>
      </c>
      <c r="K501" t="n">
        <v>0</v>
      </c>
      <c r="L501" t="n">
        <v>0</v>
      </c>
      <c r="M501" t="n">
        <v>0</v>
      </c>
      <c r="N501" t="n">
        <v>0</v>
      </c>
      <c r="O501" t="n">
        <v>0</v>
      </c>
      <c r="P501" t="n">
        <v>0</v>
      </c>
      <c r="Q501" t="n">
        <v>0</v>
      </c>
      <c r="R501" s="2" t="inlineStr"/>
    </row>
    <row r="502" ht="15" customHeight="1">
      <c r="A502" t="inlineStr">
        <is>
          <t>A 18253-2023</t>
        </is>
      </c>
      <c r="B502" s="1" t="n">
        <v>45041.48034722222</v>
      </c>
      <c r="C502" s="1" t="n">
        <v>45983</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45983</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12286-2023</t>
        </is>
      </c>
      <c r="B504" s="1" t="n">
        <v>44998.72263888889</v>
      </c>
      <c r="C504" s="1" t="n">
        <v>45983</v>
      </c>
      <c r="D504" t="inlineStr">
        <is>
          <t>JÄMTLANDS LÄN</t>
        </is>
      </c>
      <c r="E504" t="inlineStr">
        <is>
          <t>ÅRE</t>
        </is>
      </c>
      <c r="G504" t="n">
        <v>7.3</v>
      </c>
      <c r="H504" t="n">
        <v>0</v>
      </c>
      <c r="I504" t="n">
        <v>0</v>
      </c>
      <c r="J504" t="n">
        <v>0</v>
      </c>
      <c r="K504" t="n">
        <v>0</v>
      </c>
      <c r="L504" t="n">
        <v>0</v>
      </c>
      <c r="M504" t="n">
        <v>0</v>
      </c>
      <c r="N504" t="n">
        <v>0</v>
      </c>
      <c r="O504" t="n">
        <v>0</v>
      </c>
      <c r="P504" t="n">
        <v>0</v>
      </c>
      <c r="Q504" t="n">
        <v>0</v>
      </c>
      <c r="R504" s="2" t="inlineStr"/>
    </row>
    <row r="505" ht="15" customHeight="1">
      <c r="A505" t="inlineStr">
        <is>
          <t>A 45105-2024</t>
        </is>
      </c>
      <c r="B505" s="1" t="n">
        <v>45575.5909837963</v>
      </c>
      <c r="C505" s="1" t="n">
        <v>45983</v>
      </c>
      <c r="D505" t="inlineStr">
        <is>
          <t>JÄMTLANDS LÄN</t>
        </is>
      </c>
      <c r="E505" t="inlineStr">
        <is>
          <t>ÅRE</t>
        </is>
      </c>
      <c r="F505" t="inlineStr">
        <is>
          <t>Övriga Aktiebolag</t>
        </is>
      </c>
      <c r="G505" t="n">
        <v>5</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45983</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39195-2024</t>
        </is>
      </c>
      <c r="B507" s="1" t="n">
        <v>45548.6934837963</v>
      </c>
      <c r="C507" s="1" t="n">
        <v>45983</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17703-2023</t>
        </is>
      </c>
      <c r="B508" s="1" t="n">
        <v>45037.35443287037</v>
      </c>
      <c r="C508" s="1" t="n">
        <v>45983</v>
      </c>
      <c r="D508" t="inlineStr">
        <is>
          <t>JÄMTLANDS LÄN</t>
        </is>
      </c>
      <c r="E508" t="inlineStr">
        <is>
          <t>ÅRE</t>
        </is>
      </c>
      <c r="F508" t="inlineStr">
        <is>
          <t>Övriga Aktiebolag</t>
        </is>
      </c>
      <c r="G508" t="n">
        <v>4</v>
      </c>
      <c r="H508" t="n">
        <v>0</v>
      </c>
      <c r="I508" t="n">
        <v>0</v>
      </c>
      <c r="J508" t="n">
        <v>0</v>
      </c>
      <c r="K508" t="n">
        <v>0</v>
      </c>
      <c r="L508" t="n">
        <v>0</v>
      </c>
      <c r="M508" t="n">
        <v>0</v>
      </c>
      <c r="N508" t="n">
        <v>0</v>
      </c>
      <c r="O508" t="n">
        <v>0</v>
      </c>
      <c r="P508" t="n">
        <v>0</v>
      </c>
      <c r="Q508" t="n">
        <v>0</v>
      </c>
      <c r="R508" s="2" t="inlineStr"/>
    </row>
    <row r="509" ht="15" customHeight="1">
      <c r="A509" t="inlineStr">
        <is>
          <t>A 54186-2024</t>
        </is>
      </c>
      <c r="B509" s="1" t="n">
        <v>45616</v>
      </c>
      <c r="C509" s="1" t="n">
        <v>45983</v>
      </c>
      <c r="D509" t="inlineStr">
        <is>
          <t>JÄMTLANDS LÄN</t>
        </is>
      </c>
      <c r="E509" t="inlineStr">
        <is>
          <t>ÅRE</t>
        </is>
      </c>
      <c r="G509" t="n">
        <v>2.9</v>
      </c>
      <c r="H509" t="n">
        <v>0</v>
      </c>
      <c r="I509" t="n">
        <v>0</v>
      </c>
      <c r="J509" t="n">
        <v>0</v>
      </c>
      <c r="K509" t="n">
        <v>0</v>
      </c>
      <c r="L509" t="n">
        <v>0</v>
      </c>
      <c r="M509" t="n">
        <v>0</v>
      </c>
      <c r="N509" t="n">
        <v>0</v>
      </c>
      <c r="O509" t="n">
        <v>0</v>
      </c>
      <c r="P509" t="n">
        <v>0</v>
      </c>
      <c r="Q509" t="n">
        <v>0</v>
      </c>
      <c r="R509" s="2" t="inlineStr"/>
    </row>
    <row r="510" ht="15" customHeight="1">
      <c r="A510" t="inlineStr">
        <is>
          <t>A 50951-2023</t>
        </is>
      </c>
      <c r="B510" s="1" t="n">
        <v>45218</v>
      </c>
      <c r="C510" s="1" t="n">
        <v>45983</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73798-2021</t>
        </is>
      </c>
      <c r="B511" s="1" t="n">
        <v>44552</v>
      </c>
      <c r="C511" s="1" t="n">
        <v>45983</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52676-2023</t>
        </is>
      </c>
      <c r="B512" s="1" t="n">
        <v>45225.6890625</v>
      </c>
      <c r="C512" s="1" t="n">
        <v>45983</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12216-2023</t>
        </is>
      </c>
      <c r="B513" s="1" t="n">
        <v>44998</v>
      </c>
      <c r="C513" s="1" t="n">
        <v>45983</v>
      </c>
      <c r="D513" t="inlineStr">
        <is>
          <t>JÄMTLANDS LÄN</t>
        </is>
      </c>
      <c r="E513" t="inlineStr">
        <is>
          <t>ÅRE</t>
        </is>
      </c>
      <c r="G513" t="n">
        <v>11.8</v>
      </c>
      <c r="H513" t="n">
        <v>0</v>
      </c>
      <c r="I513" t="n">
        <v>0</v>
      </c>
      <c r="J513" t="n">
        <v>0</v>
      </c>
      <c r="K513" t="n">
        <v>0</v>
      </c>
      <c r="L513" t="n">
        <v>0</v>
      </c>
      <c r="M513" t="n">
        <v>0</v>
      </c>
      <c r="N513" t="n">
        <v>0</v>
      </c>
      <c r="O513" t="n">
        <v>0</v>
      </c>
      <c r="P513" t="n">
        <v>0</v>
      </c>
      <c r="Q513" t="n">
        <v>0</v>
      </c>
      <c r="R513" s="2" t="inlineStr"/>
    </row>
    <row r="514" ht="15" customHeight="1">
      <c r="A514" t="inlineStr">
        <is>
          <t>A 55033-2024</t>
        </is>
      </c>
      <c r="B514" s="1" t="n">
        <v>45621.38193287037</v>
      </c>
      <c r="C514" s="1" t="n">
        <v>45983</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69568-2021</t>
        </is>
      </c>
      <c r="B515" s="1" t="n">
        <v>44531</v>
      </c>
      <c r="C515" s="1" t="n">
        <v>45983</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11914-2024</t>
        </is>
      </c>
      <c r="B516" s="1" t="n">
        <v>45376.58467592593</v>
      </c>
      <c r="C516" s="1" t="n">
        <v>45983</v>
      </c>
      <c r="D516" t="inlineStr">
        <is>
          <t>JÄMTLANDS LÄN</t>
        </is>
      </c>
      <c r="E516" t="inlineStr">
        <is>
          <t>ÅRE</t>
        </is>
      </c>
      <c r="G516" t="n">
        <v>2.5</v>
      </c>
      <c r="H516" t="n">
        <v>0</v>
      </c>
      <c r="I516" t="n">
        <v>0</v>
      </c>
      <c r="J516" t="n">
        <v>0</v>
      </c>
      <c r="K516" t="n">
        <v>0</v>
      </c>
      <c r="L516" t="n">
        <v>0</v>
      </c>
      <c r="M516" t="n">
        <v>0</v>
      </c>
      <c r="N516" t="n">
        <v>0</v>
      </c>
      <c r="O516" t="n">
        <v>0</v>
      </c>
      <c r="P516" t="n">
        <v>0</v>
      </c>
      <c r="Q516" t="n">
        <v>0</v>
      </c>
      <c r="R516" s="2" t="inlineStr"/>
    </row>
    <row r="517" ht="15" customHeight="1">
      <c r="A517" t="inlineStr">
        <is>
          <t>A 41653-2024</t>
        </is>
      </c>
      <c r="B517" s="1" t="n">
        <v>45560.64059027778</v>
      </c>
      <c r="C517" s="1" t="n">
        <v>45983</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41686-2024</t>
        </is>
      </c>
      <c r="B518" s="1" t="n">
        <v>45560.67016203704</v>
      </c>
      <c r="C518" s="1" t="n">
        <v>45983</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50344-2024</t>
        </is>
      </c>
      <c r="B519" s="1" t="n">
        <v>45600</v>
      </c>
      <c r="C519" s="1" t="n">
        <v>45983</v>
      </c>
      <c r="D519" t="inlineStr">
        <is>
          <t>JÄMTLANDS LÄN</t>
        </is>
      </c>
      <c r="E519" t="inlineStr">
        <is>
          <t>ÅRE</t>
        </is>
      </c>
      <c r="G519" t="n">
        <v>4</v>
      </c>
      <c r="H519" t="n">
        <v>0</v>
      </c>
      <c r="I519" t="n">
        <v>0</v>
      </c>
      <c r="J519" t="n">
        <v>0</v>
      </c>
      <c r="K519" t="n">
        <v>0</v>
      </c>
      <c r="L519" t="n">
        <v>0</v>
      </c>
      <c r="M519" t="n">
        <v>0</v>
      </c>
      <c r="N519" t="n">
        <v>0</v>
      </c>
      <c r="O519" t="n">
        <v>0</v>
      </c>
      <c r="P519" t="n">
        <v>0</v>
      </c>
      <c r="Q519" t="n">
        <v>0</v>
      </c>
      <c r="R519" s="2" t="inlineStr"/>
    </row>
    <row r="520" ht="15" customHeight="1">
      <c r="A520" t="inlineStr">
        <is>
          <t>A 27946-2021</t>
        </is>
      </c>
      <c r="B520" s="1" t="n">
        <v>44354</v>
      </c>
      <c r="C520" s="1" t="n">
        <v>45983</v>
      </c>
      <c r="D520" t="inlineStr">
        <is>
          <t>JÄMTLANDS LÄN</t>
        </is>
      </c>
      <c r="E520" t="inlineStr">
        <is>
          <t>ÅRE</t>
        </is>
      </c>
      <c r="G520" t="n">
        <v>0.3</v>
      </c>
      <c r="H520" t="n">
        <v>0</v>
      </c>
      <c r="I520" t="n">
        <v>0</v>
      </c>
      <c r="J520" t="n">
        <v>0</v>
      </c>
      <c r="K520" t="n">
        <v>0</v>
      </c>
      <c r="L520" t="n">
        <v>0</v>
      </c>
      <c r="M520" t="n">
        <v>0</v>
      </c>
      <c r="N520" t="n">
        <v>0</v>
      </c>
      <c r="O520" t="n">
        <v>0</v>
      </c>
      <c r="P520" t="n">
        <v>0</v>
      </c>
      <c r="Q520" t="n">
        <v>0</v>
      </c>
      <c r="R520" s="2" t="inlineStr"/>
    </row>
    <row r="521" ht="15" customHeight="1">
      <c r="A521" t="inlineStr">
        <is>
          <t>A 59325-2024</t>
        </is>
      </c>
      <c r="B521" s="1" t="n">
        <v>45636</v>
      </c>
      <c r="C521" s="1" t="n">
        <v>45983</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4272-2025</t>
        </is>
      </c>
      <c r="B522" s="1" t="n">
        <v>45685</v>
      </c>
      <c r="C522" s="1" t="n">
        <v>45983</v>
      </c>
      <c r="D522" t="inlineStr">
        <is>
          <t>JÄMTLANDS LÄN</t>
        </is>
      </c>
      <c r="E522" t="inlineStr">
        <is>
          <t>ÅRE</t>
        </is>
      </c>
      <c r="F522" t="inlineStr">
        <is>
          <t>Övriga Aktiebolag</t>
        </is>
      </c>
      <c r="G522" t="n">
        <v>16.6</v>
      </c>
      <c r="H522" t="n">
        <v>0</v>
      </c>
      <c r="I522" t="n">
        <v>0</v>
      </c>
      <c r="J522" t="n">
        <v>0</v>
      </c>
      <c r="K522" t="n">
        <v>0</v>
      </c>
      <c r="L522" t="n">
        <v>0</v>
      </c>
      <c r="M522" t="n">
        <v>0</v>
      </c>
      <c r="N522" t="n">
        <v>0</v>
      </c>
      <c r="O522" t="n">
        <v>0</v>
      </c>
      <c r="P522" t="n">
        <v>0</v>
      </c>
      <c r="Q522" t="n">
        <v>0</v>
      </c>
      <c r="R522" s="2" t="inlineStr"/>
    </row>
    <row r="523" ht="15" customHeight="1">
      <c r="A523" t="inlineStr">
        <is>
          <t>A 18531-2021</t>
        </is>
      </c>
      <c r="B523" s="1" t="n">
        <v>44306</v>
      </c>
      <c r="C523" s="1" t="n">
        <v>45983</v>
      </c>
      <c r="D523" t="inlineStr">
        <is>
          <t>JÄMTLANDS LÄN</t>
        </is>
      </c>
      <c r="E523" t="inlineStr">
        <is>
          <t>ÅRE</t>
        </is>
      </c>
      <c r="G523" t="n">
        <v>4</v>
      </c>
      <c r="H523" t="n">
        <v>0</v>
      </c>
      <c r="I523" t="n">
        <v>0</v>
      </c>
      <c r="J523" t="n">
        <v>0</v>
      </c>
      <c r="K523" t="n">
        <v>0</v>
      </c>
      <c r="L523" t="n">
        <v>0</v>
      </c>
      <c r="M523" t="n">
        <v>0</v>
      </c>
      <c r="N523" t="n">
        <v>0</v>
      </c>
      <c r="O523" t="n">
        <v>0</v>
      </c>
      <c r="P523" t="n">
        <v>0</v>
      </c>
      <c r="Q523" t="n">
        <v>0</v>
      </c>
      <c r="R523" s="2" t="inlineStr"/>
    </row>
    <row r="524" ht="15" customHeight="1">
      <c r="A524" t="inlineStr">
        <is>
          <t>A 21464-2022</t>
        </is>
      </c>
      <c r="B524" s="1" t="n">
        <v>44706</v>
      </c>
      <c r="C524" s="1" t="n">
        <v>45983</v>
      </c>
      <c r="D524" t="inlineStr">
        <is>
          <t>JÄMTLANDS LÄN</t>
        </is>
      </c>
      <c r="E524" t="inlineStr">
        <is>
          <t>ÅRE</t>
        </is>
      </c>
      <c r="G524" t="n">
        <v>10.9</v>
      </c>
      <c r="H524" t="n">
        <v>0</v>
      </c>
      <c r="I524" t="n">
        <v>0</v>
      </c>
      <c r="J524" t="n">
        <v>0</v>
      </c>
      <c r="K524" t="n">
        <v>0</v>
      </c>
      <c r="L524" t="n">
        <v>0</v>
      </c>
      <c r="M524" t="n">
        <v>0</v>
      </c>
      <c r="N524" t="n">
        <v>0</v>
      </c>
      <c r="O524" t="n">
        <v>0</v>
      </c>
      <c r="P524" t="n">
        <v>0</v>
      </c>
      <c r="Q524" t="n">
        <v>0</v>
      </c>
      <c r="R524" s="2" t="inlineStr"/>
    </row>
    <row r="525" ht="15" customHeight="1">
      <c r="A525" t="inlineStr">
        <is>
          <t>A 4181-2025</t>
        </is>
      </c>
      <c r="B525" s="1" t="n">
        <v>45685.44300925926</v>
      </c>
      <c r="C525" s="1" t="n">
        <v>45983</v>
      </c>
      <c r="D525" t="inlineStr">
        <is>
          <t>JÄMTLANDS LÄN</t>
        </is>
      </c>
      <c r="E525" t="inlineStr">
        <is>
          <t>ÅRE</t>
        </is>
      </c>
      <c r="F525" t="inlineStr">
        <is>
          <t>Övriga Aktiebolag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43456-2023</t>
        </is>
      </c>
      <c r="B526" s="1" t="n">
        <v>45184.37474537037</v>
      </c>
      <c r="C526" s="1" t="n">
        <v>45983</v>
      </c>
      <c r="D526" t="inlineStr">
        <is>
          <t>JÄMTLANDS LÄN</t>
        </is>
      </c>
      <c r="E526" t="inlineStr">
        <is>
          <t>ÅRE</t>
        </is>
      </c>
      <c r="F526" t="inlineStr">
        <is>
          <t>Övriga Aktiebolag</t>
        </is>
      </c>
      <c r="G526" t="n">
        <v>8.9</v>
      </c>
      <c r="H526" t="n">
        <v>0</v>
      </c>
      <c r="I526" t="n">
        <v>0</v>
      </c>
      <c r="J526" t="n">
        <v>0</v>
      </c>
      <c r="K526" t="n">
        <v>0</v>
      </c>
      <c r="L526" t="n">
        <v>0</v>
      </c>
      <c r="M526" t="n">
        <v>0</v>
      </c>
      <c r="N526" t="n">
        <v>0</v>
      </c>
      <c r="O526" t="n">
        <v>0</v>
      </c>
      <c r="P526" t="n">
        <v>0</v>
      </c>
      <c r="Q526" t="n">
        <v>0</v>
      </c>
      <c r="R526" s="2" t="inlineStr"/>
    </row>
    <row r="527" ht="15" customHeight="1">
      <c r="A527" t="inlineStr">
        <is>
          <t>A 5923-2022</t>
        </is>
      </c>
      <c r="B527" s="1" t="n">
        <v>44598.64403935185</v>
      </c>
      <c r="C527" s="1" t="n">
        <v>45983</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46788-2024</t>
        </is>
      </c>
      <c r="B528" s="1" t="n">
        <v>45583.53219907408</v>
      </c>
      <c r="C528" s="1" t="n">
        <v>45983</v>
      </c>
      <c r="D528" t="inlineStr">
        <is>
          <t>JÄMTLANDS LÄN</t>
        </is>
      </c>
      <c r="E528" t="inlineStr">
        <is>
          <t>ÅRE</t>
        </is>
      </c>
      <c r="F528" t="inlineStr">
        <is>
          <t>Övriga Aktiebolag</t>
        </is>
      </c>
      <c r="G528" t="n">
        <v>0.3</v>
      </c>
      <c r="H528" t="n">
        <v>0</v>
      </c>
      <c r="I528" t="n">
        <v>0</v>
      </c>
      <c r="J528" t="n">
        <v>0</v>
      </c>
      <c r="K528" t="n">
        <v>0</v>
      </c>
      <c r="L528" t="n">
        <v>0</v>
      </c>
      <c r="M528" t="n">
        <v>0</v>
      </c>
      <c r="N528" t="n">
        <v>0</v>
      </c>
      <c r="O528" t="n">
        <v>0</v>
      </c>
      <c r="P528" t="n">
        <v>0</v>
      </c>
      <c r="Q528" t="n">
        <v>0</v>
      </c>
      <c r="R528" s="2" t="inlineStr"/>
    </row>
    <row r="529" ht="15" customHeight="1">
      <c r="A529" t="inlineStr">
        <is>
          <t>A 68518-2020</t>
        </is>
      </c>
      <c r="B529" s="1" t="n">
        <v>44186</v>
      </c>
      <c r="C529" s="1" t="n">
        <v>45983</v>
      </c>
      <c r="D529" t="inlineStr">
        <is>
          <t>JÄMTLANDS LÄN</t>
        </is>
      </c>
      <c r="E529" t="inlineStr">
        <is>
          <t>ÅRE</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60962-2023</t>
        </is>
      </c>
      <c r="B530" s="1" t="n">
        <v>45261.46787037037</v>
      </c>
      <c r="C530" s="1" t="n">
        <v>45983</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60973-2023</t>
        </is>
      </c>
      <c r="B531" s="1" t="n">
        <v>45261.47321759259</v>
      </c>
      <c r="C531" s="1" t="n">
        <v>45983</v>
      </c>
      <c r="D531" t="inlineStr">
        <is>
          <t>JÄMTLANDS LÄN</t>
        </is>
      </c>
      <c r="E531" t="inlineStr">
        <is>
          <t>ÅRE</t>
        </is>
      </c>
      <c r="G531" t="n">
        <v>3.1</v>
      </c>
      <c r="H531" t="n">
        <v>0</v>
      </c>
      <c r="I531" t="n">
        <v>0</v>
      </c>
      <c r="J531" t="n">
        <v>0</v>
      </c>
      <c r="K531" t="n">
        <v>0</v>
      </c>
      <c r="L531" t="n">
        <v>0</v>
      </c>
      <c r="M531" t="n">
        <v>0</v>
      </c>
      <c r="N531" t="n">
        <v>0</v>
      </c>
      <c r="O531" t="n">
        <v>0</v>
      </c>
      <c r="P531" t="n">
        <v>0</v>
      </c>
      <c r="Q531" t="n">
        <v>0</v>
      </c>
      <c r="R531" s="2" t="inlineStr"/>
    </row>
    <row r="532" ht="15" customHeight="1">
      <c r="A532" t="inlineStr">
        <is>
          <t>A 67972-2020</t>
        </is>
      </c>
      <c r="B532" s="1" t="n">
        <v>44182</v>
      </c>
      <c r="C532" s="1" t="n">
        <v>45983</v>
      </c>
      <c r="D532" t="inlineStr">
        <is>
          <t>JÄMTLANDS LÄN</t>
        </is>
      </c>
      <c r="E532" t="inlineStr">
        <is>
          <t>ÅRE</t>
        </is>
      </c>
      <c r="G532" t="n">
        <v>6</v>
      </c>
      <c r="H532" t="n">
        <v>0</v>
      </c>
      <c r="I532" t="n">
        <v>0</v>
      </c>
      <c r="J532" t="n">
        <v>0</v>
      </c>
      <c r="K532" t="n">
        <v>0</v>
      </c>
      <c r="L532" t="n">
        <v>0</v>
      </c>
      <c r="M532" t="n">
        <v>0</v>
      </c>
      <c r="N532" t="n">
        <v>0</v>
      </c>
      <c r="O532" t="n">
        <v>0</v>
      </c>
      <c r="P532" t="n">
        <v>0</v>
      </c>
      <c r="Q532" t="n">
        <v>0</v>
      </c>
      <c r="R532" s="2" t="inlineStr"/>
    </row>
    <row r="533" ht="15" customHeight="1">
      <c r="A533" t="inlineStr">
        <is>
          <t>A 18849-2022</t>
        </is>
      </c>
      <c r="B533" s="1" t="n">
        <v>44690</v>
      </c>
      <c r="C533" s="1" t="n">
        <v>45983</v>
      </c>
      <c r="D533" t="inlineStr">
        <is>
          <t>JÄMTLANDS LÄN</t>
        </is>
      </c>
      <c r="E533" t="inlineStr">
        <is>
          <t>ÅRE</t>
        </is>
      </c>
      <c r="G533" t="n">
        <v>12.8</v>
      </c>
      <c r="H533" t="n">
        <v>0</v>
      </c>
      <c r="I533" t="n">
        <v>0</v>
      </c>
      <c r="J533" t="n">
        <v>0</v>
      </c>
      <c r="K533" t="n">
        <v>0</v>
      </c>
      <c r="L533" t="n">
        <v>0</v>
      </c>
      <c r="M533" t="n">
        <v>0</v>
      </c>
      <c r="N533" t="n">
        <v>0</v>
      </c>
      <c r="O533" t="n">
        <v>0</v>
      </c>
      <c r="P533" t="n">
        <v>0</v>
      </c>
      <c r="Q533" t="n">
        <v>0</v>
      </c>
      <c r="R533" s="2" t="inlineStr"/>
    </row>
    <row r="534" ht="15" customHeight="1">
      <c r="A534" t="inlineStr">
        <is>
          <t>A 12940-2024</t>
        </is>
      </c>
      <c r="B534" s="1" t="n">
        <v>45385.46263888889</v>
      </c>
      <c r="C534" s="1" t="n">
        <v>45983</v>
      </c>
      <c r="D534" t="inlineStr">
        <is>
          <t>JÄMTLANDS LÄN</t>
        </is>
      </c>
      <c r="E534" t="inlineStr">
        <is>
          <t>ÅRE</t>
        </is>
      </c>
      <c r="G534" t="n">
        <v>2.5</v>
      </c>
      <c r="H534" t="n">
        <v>0</v>
      </c>
      <c r="I534" t="n">
        <v>0</v>
      </c>
      <c r="J534" t="n">
        <v>0</v>
      </c>
      <c r="K534" t="n">
        <v>0</v>
      </c>
      <c r="L534" t="n">
        <v>0</v>
      </c>
      <c r="M534" t="n">
        <v>0</v>
      </c>
      <c r="N534" t="n">
        <v>0</v>
      </c>
      <c r="O534" t="n">
        <v>0</v>
      </c>
      <c r="P534" t="n">
        <v>0</v>
      </c>
      <c r="Q534" t="n">
        <v>0</v>
      </c>
      <c r="R534" s="2" t="inlineStr"/>
    </row>
    <row r="535" ht="15" customHeight="1">
      <c r="A535" t="inlineStr">
        <is>
          <t>A 23118-2022</t>
        </is>
      </c>
      <c r="B535" s="1" t="n">
        <v>44719.5662037037</v>
      </c>
      <c r="C535" s="1" t="n">
        <v>45983</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51277-2023</t>
        </is>
      </c>
      <c r="B536" s="1" t="n">
        <v>45219</v>
      </c>
      <c r="C536" s="1" t="n">
        <v>45983</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51282-2023</t>
        </is>
      </c>
      <c r="B537" s="1" t="n">
        <v>45219</v>
      </c>
      <c r="C537" s="1" t="n">
        <v>45983</v>
      </c>
      <c r="D537" t="inlineStr">
        <is>
          <t>JÄMTLANDS LÄN</t>
        </is>
      </c>
      <c r="E537" t="inlineStr">
        <is>
          <t>ÅRE</t>
        </is>
      </c>
      <c r="G537" t="n">
        <v>2.3</v>
      </c>
      <c r="H537" t="n">
        <v>0</v>
      </c>
      <c r="I537" t="n">
        <v>0</v>
      </c>
      <c r="J537" t="n">
        <v>0</v>
      </c>
      <c r="K537" t="n">
        <v>0</v>
      </c>
      <c r="L537" t="n">
        <v>0</v>
      </c>
      <c r="M537" t="n">
        <v>0</v>
      </c>
      <c r="N537" t="n">
        <v>0</v>
      </c>
      <c r="O537" t="n">
        <v>0</v>
      </c>
      <c r="P537" t="n">
        <v>0</v>
      </c>
      <c r="Q537" t="n">
        <v>0</v>
      </c>
      <c r="R537" s="2" t="inlineStr"/>
    </row>
    <row r="538" ht="15" customHeight="1">
      <c r="A538" t="inlineStr">
        <is>
          <t>A 54385-2023</t>
        </is>
      </c>
      <c r="B538" s="1" t="n">
        <v>45233.35863425926</v>
      </c>
      <c r="C538" s="1" t="n">
        <v>45983</v>
      </c>
      <c r="D538" t="inlineStr">
        <is>
          <t>JÄMTLANDS LÄN</t>
        </is>
      </c>
      <c r="E538" t="inlineStr">
        <is>
          <t>ÅRE</t>
        </is>
      </c>
      <c r="G538" t="n">
        <v>3.7</v>
      </c>
      <c r="H538" t="n">
        <v>0</v>
      </c>
      <c r="I538" t="n">
        <v>0</v>
      </c>
      <c r="J538" t="n">
        <v>0</v>
      </c>
      <c r="K538" t="n">
        <v>0</v>
      </c>
      <c r="L538" t="n">
        <v>0</v>
      </c>
      <c r="M538" t="n">
        <v>0</v>
      </c>
      <c r="N538" t="n">
        <v>0</v>
      </c>
      <c r="O538" t="n">
        <v>0</v>
      </c>
      <c r="P538" t="n">
        <v>0</v>
      </c>
      <c r="Q538" t="n">
        <v>0</v>
      </c>
      <c r="R538" s="2" t="inlineStr"/>
    </row>
    <row r="539" ht="15" customHeight="1">
      <c r="A539" t="inlineStr">
        <is>
          <t>A 40653-2022</t>
        </is>
      </c>
      <c r="B539" s="1" t="n">
        <v>44818</v>
      </c>
      <c r="C539" s="1" t="n">
        <v>45983</v>
      </c>
      <c r="D539" t="inlineStr">
        <is>
          <t>JÄMTLANDS LÄN</t>
        </is>
      </c>
      <c r="E539" t="inlineStr">
        <is>
          <t>ÅRE</t>
        </is>
      </c>
      <c r="G539" t="n">
        <v>1.4</v>
      </c>
      <c r="H539" t="n">
        <v>0</v>
      </c>
      <c r="I539" t="n">
        <v>0</v>
      </c>
      <c r="J539" t="n">
        <v>0</v>
      </c>
      <c r="K539" t="n">
        <v>0</v>
      </c>
      <c r="L539" t="n">
        <v>0</v>
      </c>
      <c r="M539" t="n">
        <v>0</v>
      </c>
      <c r="N539" t="n">
        <v>0</v>
      </c>
      <c r="O539" t="n">
        <v>0</v>
      </c>
      <c r="P539" t="n">
        <v>0</v>
      </c>
      <c r="Q539" t="n">
        <v>0</v>
      </c>
      <c r="R539" s="2" t="inlineStr"/>
    </row>
    <row r="540" ht="15" customHeight="1">
      <c r="A540" t="inlineStr">
        <is>
          <t>A 36234-2023</t>
        </is>
      </c>
      <c r="B540" s="1" t="n">
        <v>45150</v>
      </c>
      <c r="C540" s="1" t="n">
        <v>45983</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8788-2025</t>
        </is>
      </c>
      <c r="B541" s="1" t="n">
        <v>45712</v>
      </c>
      <c r="C541" s="1" t="n">
        <v>45983</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59916-2023</t>
        </is>
      </c>
      <c r="B542" s="1" t="n">
        <v>45257.64270833333</v>
      </c>
      <c r="C542" s="1" t="n">
        <v>45983</v>
      </c>
      <c r="D542" t="inlineStr">
        <is>
          <t>JÄMTLANDS LÄN</t>
        </is>
      </c>
      <c r="E542" t="inlineStr">
        <is>
          <t>ÅRE</t>
        </is>
      </c>
      <c r="G542" t="n">
        <v>0.7</v>
      </c>
      <c r="H542" t="n">
        <v>0</v>
      </c>
      <c r="I542" t="n">
        <v>0</v>
      </c>
      <c r="J542" t="n">
        <v>0</v>
      </c>
      <c r="K542" t="n">
        <v>0</v>
      </c>
      <c r="L542" t="n">
        <v>0</v>
      </c>
      <c r="M542" t="n">
        <v>0</v>
      </c>
      <c r="N542" t="n">
        <v>0</v>
      </c>
      <c r="O542" t="n">
        <v>0</v>
      </c>
      <c r="P542" t="n">
        <v>0</v>
      </c>
      <c r="Q542" t="n">
        <v>0</v>
      </c>
      <c r="R542" s="2" t="inlineStr"/>
    </row>
    <row r="543" ht="15" customHeight="1">
      <c r="A543" t="inlineStr">
        <is>
          <t>A 47664-2022</t>
        </is>
      </c>
      <c r="B543" s="1" t="n">
        <v>44854.46388888889</v>
      </c>
      <c r="C543" s="1" t="n">
        <v>45983</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57448-2023</t>
        </is>
      </c>
      <c r="B544" s="1" t="n">
        <v>45246.34405092592</v>
      </c>
      <c r="C544" s="1" t="n">
        <v>45983</v>
      </c>
      <c r="D544" t="inlineStr">
        <is>
          <t>JÄMTLANDS LÄN</t>
        </is>
      </c>
      <c r="E544" t="inlineStr">
        <is>
          <t>ÅRE</t>
        </is>
      </c>
      <c r="G544" t="n">
        <v>11.9</v>
      </c>
      <c r="H544" t="n">
        <v>0</v>
      </c>
      <c r="I544" t="n">
        <v>0</v>
      </c>
      <c r="J544" t="n">
        <v>0</v>
      </c>
      <c r="K544" t="n">
        <v>0</v>
      </c>
      <c r="L544" t="n">
        <v>0</v>
      </c>
      <c r="M544" t="n">
        <v>0</v>
      </c>
      <c r="N544" t="n">
        <v>0</v>
      </c>
      <c r="O544" t="n">
        <v>0</v>
      </c>
      <c r="P544" t="n">
        <v>0</v>
      </c>
      <c r="Q544" t="n">
        <v>0</v>
      </c>
      <c r="R544" s="2" t="inlineStr"/>
    </row>
    <row r="545" ht="15" customHeight="1">
      <c r="A545" t="inlineStr">
        <is>
          <t>A 42136-2022</t>
        </is>
      </c>
      <c r="B545" s="1" t="n">
        <v>44830</v>
      </c>
      <c r="C545" s="1" t="n">
        <v>45983</v>
      </c>
      <c r="D545" t="inlineStr">
        <is>
          <t>JÄMTLANDS LÄN</t>
        </is>
      </c>
      <c r="E545" t="inlineStr">
        <is>
          <t>ÅRE</t>
        </is>
      </c>
      <c r="F545" t="inlineStr">
        <is>
          <t>Bergvik skog öst AB</t>
        </is>
      </c>
      <c r="G545" t="n">
        <v>3.1</v>
      </c>
      <c r="H545" t="n">
        <v>0</v>
      </c>
      <c r="I545" t="n">
        <v>0</v>
      </c>
      <c r="J545" t="n">
        <v>0</v>
      </c>
      <c r="K545" t="n">
        <v>0</v>
      </c>
      <c r="L545" t="n">
        <v>0</v>
      </c>
      <c r="M545" t="n">
        <v>0</v>
      </c>
      <c r="N545" t="n">
        <v>0</v>
      </c>
      <c r="O545" t="n">
        <v>0</v>
      </c>
      <c r="P545" t="n">
        <v>0</v>
      </c>
      <c r="Q545" t="n">
        <v>0</v>
      </c>
      <c r="R545" s="2" t="inlineStr"/>
    </row>
    <row r="546" ht="15" customHeight="1">
      <c r="A546" t="inlineStr">
        <is>
          <t>A 1159-2023</t>
        </is>
      </c>
      <c r="B546" s="1" t="n">
        <v>44935.66199074074</v>
      </c>
      <c r="C546" s="1" t="n">
        <v>45983</v>
      </c>
      <c r="D546" t="inlineStr">
        <is>
          <t>JÄMTLANDS LÄN</t>
        </is>
      </c>
      <c r="E546" t="inlineStr">
        <is>
          <t>ÅRE</t>
        </is>
      </c>
      <c r="G546" t="n">
        <v>6.4</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45983</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12292-2023</t>
        </is>
      </c>
      <c r="B548" s="1" t="n">
        <v>44998</v>
      </c>
      <c r="C548" s="1" t="n">
        <v>45983</v>
      </c>
      <c r="D548" t="inlineStr">
        <is>
          <t>JÄMTLANDS LÄN</t>
        </is>
      </c>
      <c r="E548" t="inlineStr">
        <is>
          <t>ÅRE</t>
        </is>
      </c>
      <c r="G548" t="n">
        <v>3.5</v>
      </c>
      <c r="H548" t="n">
        <v>0</v>
      </c>
      <c r="I548" t="n">
        <v>0</v>
      </c>
      <c r="J548" t="n">
        <v>0</v>
      </c>
      <c r="K548" t="n">
        <v>0</v>
      </c>
      <c r="L548" t="n">
        <v>0</v>
      </c>
      <c r="M548" t="n">
        <v>0</v>
      </c>
      <c r="N548" t="n">
        <v>0</v>
      </c>
      <c r="O548" t="n">
        <v>0</v>
      </c>
      <c r="P548" t="n">
        <v>0</v>
      </c>
      <c r="Q548" t="n">
        <v>0</v>
      </c>
      <c r="R548" s="2" t="inlineStr"/>
    </row>
    <row r="549" ht="15" customHeight="1">
      <c r="A549" t="inlineStr">
        <is>
          <t>A 12294-2023</t>
        </is>
      </c>
      <c r="B549" s="1" t="n">
        <v>44998.75266203703</v>
      </c>
      <c r="C549" s="1" t="n">
        <v>45983</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32210-2022</t>
        </is>
      </c>
      <c r="B550" s="1" t="n">
        <v>44781</v>
      </c>
      <c r="C550" s="1" t="n">
        <v>45983</v>
      </c>
      <c r="D550" t="inlineStr">
        <is>
          <t>JÄMTLANDS LÄN</t>
        </is>
      </c>
      <c r="E550" t="inlineStr">
        <is>
          <t>ÅRE</t>
        </is>
      </c>
      <c r="G550" t="n">
        <v>17.3</v>
      </c>
      <c r="H550" t="n">
        <v>0</v>
      </c>
      <c r="I550" t="n">
        <v>0</v>
      </c>
      <c r="J550" t="n">
        <v>0</v>
      </c>
      <c r="K550" t="n">
        <v>0</v>
      </c>
      <c r="L550" t="n">
        <v>0</v>
      </c>
      <c r="M550" t="n">
        <v>0</v>
      </c>
      <c r="N550" t="n">
        <v>0</v>
      </c>
      <c r="O550" t="n">
        <v>0</v>
      </c>
      <c r="P550" t="n">
        <v>0</v>
      </c>
      <c r="Q550" t="n">
        <v>0</v>
      </c>
      <c r="R550" s="2" t="inlineStr"/>
    </row>
    <row r="551" ht="15" customHeight="1">
      <c r="A551" t="inlineStr">
        <is>
          <t>A 71968-2021</t>
        </is>
      </c>
      <c r="B551" s="1" t="n">
        <v>44540</v>
      </c>
      <c r="C551" s="1" t="n">
        <v>45983</v>
      </c>
      <c r="D551" t="inlineStr">
        <is>
          <t>JÄMTLANDS LÄN</t>
        </is>
      </c>
      <c r="E551" t="inlineStr">
        <is>
          <t>ÅRE</t>
        </is>
      </c>
      <c r="G551" t="n">
        <v>7</v>
      </c>
      <c r="H551" t="n">
        <v>0</v>
      </c>
      <c r="I551" t="n">
        <v>0</v>
      </c>
      <c r="J551" t="n">
        <v>0</v>
      </c>
      <c r="K551" t="n">
        <v>0</v>
      </c>
      <c r="L551" t="n">
        <v>0</v>
      </c>
      <c r="M551" t="n">
        <v>0</v>
      </c>
      <c r="N551" t="n">
        <v>0</v>
      </c>
      <c r="O551" t="n">
        <v>0</v>
      </c>
      <c r="P551" t="n">
        <v>0</v>
      </c>
      <c r="Q551" t="n">
        <v>0</v>
      </c>
      <c r="R551" s="2" t="inlineStr"/>
    </row>
    <row r="552" ht="15" customHeight="1">
      <c r="A552" t="inlineStr">
        <is>
          <t>A 5610-2025</t>
        </is>
      </c>
      <c r="B552" s="1" t="n">
        <v>45693.60425925926</v>
      </c>
      <c r="C552" s="1" t="n">
        <v>45983</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44512-2023</t>
        </is>
      </c>
      <c r="B553" s="1" t="n">
        <v>45184</v>
      </c>
      <c r="C553" s="1" t="n">
        <v>45983</v>
      </c>
      <c r="D553" t="inlineStr">
        <is>
          <t>JÄMTLANDS LÄN</t>
        </is>
      </c>
      <c r="E553" t="inlineStr">
        <is>
          <t>ÅRE</t>
        </is>
      </c>
      <c r="G553" t="n">
        <v>12.5</v>
      </c>
      <c r="H553" t="n">
        <v>0</v>
      </c>
      <c r="I553" t="n">
        <v>0</v>
      </c>
      <c r="J553" t="n">
        <v>0</v>
      </c>
      <c r="K553" t="n">
        <v>0</v>
      </c>
      <c r="L553" t="n">
        <v>0</v>
      </c>
      <c r="M553" t="n">
        <v>0</v>
      </c>
      <c r="N553" t="n">
        <v>0</v>
      </c>
      <c r="O553" t="n">
        <v>0</v>
      </c>
      <c r="P553" t="n">
        <v>0</v>
      </c>
      <c r="Q553" t="n">
        <v>0</v>
      </c>
      <c r="R553" s="2" t="inlineStr"/>
    </row>
    <row r="554" ht="15" customHeight="1">
      <c r="A554" t="inlineStr">
        <is>
          <t>A 33003-2022</t>
        </is>
      </c>
      <c r="B554" s="1" t="n">
        <v>44784</v>
      </c>
      <c r="C554" s="1" t="n">
        <v>45983</v>
      </c>
      <c r="D554" t="inlineStr">
        <is>
          <t>JÄMTLANDS LÄN</t>
        </is>
      </c>
      <c r="E554" t="inlineStr">
        <is>
          <t>ÅRE</t>
        </is>
      </c>
      <c r="G554" t="n">
        <v>6.1</v>
      </c>
      <c r="H554" t="n">
        <v>0</v>
      </c>
      <c r="I554" t="n">
        <v>0</v>
      </c>
      <c r="J554" t="n">
        <v>0</v>
      </c>
      <c r="K554" t="n">
        <v>0</v>
      </c>
      <c r="L554" t="n">
        <v>0</v>
      </c>
      <c r="M554" t="n">
        <v>0</v>
      </c>
      <c r="N554" t="n">
        <v>0</v>
      </c>
      <c r="O554" t="n">
        <v>0</v>
      </c>
      <c r="P554" t="n">
        <v>0</v>
      </c>
      <c r="Q554" t="n">
        <v>0</v>
      </c>
      <c r="R554" s="2" t="inlineStr"/>
    </row>
    <row r="555" ht="15" customHeight="1">
      <c r="A555" t="inlineStr">
        <is>
          <t>A 5611-2025</t>
        </is>
      </c>
      <c r="B555" s="1" t="n">
        <v>45693.60480324074</v>
      </c>
      <c r="C555" s="1" t="n">
        <v>45983</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40341-2021</t>
        </is>
      </c>
      <c r="B556" s="1" t="n">
        <v>44419</v>
      </c>
      <c r="C556" s="1" t="n">
        <v>45983</v>
      </c>
      <c r="D556" t="inlineStr">
        <is>
          <t>JÄMTLANDS LÄN</t>
        </is>
      </c>
      <c r="E556" t="inlineStr">
        <is>
          <t>ÅRE</t>
        </is>
      </c>
      <c r="G556" t="n">
        <v>3</v>
      </c>
      <c r="H556" t="n">
        <v>0</v>
      </c>
      <c r="I556" t="n">
        <v>0</v>
      </c>
      <c r="J556" t="n">
        <v>0</v>
      </c>
      <c r="K556" t="n">
        <v>0</v>
      </c>
      <c r="L556" t="n">
        <v>0</v>
      </c>
      <c r="M556" t="n">
        <v>0</v>
      </c>
      <c r="N556" t="n">
        <v>0</v>
      </c>
      <c r="O556" t="n">
        <v>0</v>
      </c>
      <c r="P556" t="n">
        <v>0</v>
      </c>
      <c r="Q556" t="n">
        <v>0</v>
      </c>
      <c r="R556" s="2" t="inlineStr"/>
    </row>
    <row r="557" ht="15" customHeight="1">
      <c r="A557" t="inlineStr">
        <is>
          <t>A 48599-2023</t>
        </is>
      </c>
      <c r="B557" s="1" t="n">
        <v>45208</v>
      </c>
      <c r="C557" s="1" t="n">
        <v>45983</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20160-2025</t>
        </is>
      </c>
      <c r="B558" s="1" t="n">
        <v>45772.56753472222</v>
      </c>
      <c r="C558" s="1" t="n">
        <v>45983</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59215-2024</t>
        </is>
      </c>
      <c r="B559" s="1" t="n">
        <v>45636</v>
      </c>
      <c r="C559" s="1" t="n">
        <v>45983</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58940-2021</t>
        </is>
      </c>
      <c r="B560" s="1" t="n">
        <v>44489</v>
      </c>
      <c r="C560" s="1" t="n">
        <v>45983</v>
      </c>
      <c r="D560" t="inlineStr">
        <is>
          <t>JÄMTLANDS LÄN</t>
        </is>
      </c>
      <c r="E560" t="inlineStr">
        <is>
          <t>ÅRE</t>
        </is>
      </c>
      <c r="G560" t="n">
        <v>5.8</v>
      </c>
      <c r="H560" t="n">
        <v>0</v>
      </c>
      <c r="I560" t="n">
        <v>0</v>
      </c>
      <c r="J560" t="n">
        <v>0</v>
      </c>
      <c r="K560" t="n">
        <v>0</v>
      </c>
      <c r="L560" t="n">
        <v>0</v>
      </c>
      <c r="M560" t="n">
        <v>0</v>
      </c>
      <c r="N560" t="n">
        <v>0</v>
      </c>
      <c r="O560" t="n">
        <v>0</v>
      </c>
      <c r="P560" t="n">
        <v>0</v>
      </c>
      <c r="Q560" t="n">
        <v>0</v>
      </c>
      <c r="R560" s="2" t="inlineStr"/>
    </row>
    <row r="561" ht="15" customHeight="1">
      <c r="A561" t="inlineStr">
        <is>
          <t>A 15305-2021</t>
        </is>
      </c>
      <c r="B561" s="1" t="n">
        <v>44284</v>
      </c>
      <c r="C561" s="1" t="n">
        <v>45983</v>
      </c>
      <c r="D561" t="inlineStr">
        <is>
          <t>JÄMTLANDS LÄN</t>
        </is>
      </c>
      <c r="E561" t="inlineStr">
        <is>
          <t>ÅRE</t>
        </is>
      </c>
      <c r="G561" t="n">
        <v>1.2</v>
      </c>
      <c r="H561" t="n">
        <v>0</v>
      </c>
      <c r="I561" t="n">
        <v>0</v>
      </c>
      <c r="J561" t="n">
        <v>0</v>
      </c>
      <c r="K561" t="n">
        <v>0</v>
      </c>
      <c r="L561" t="n">
        <v>0</v>
      </c>
      <c r="M561" t="n">
        <v>0</v>
      </c>
      <c r="N561" t="n">
        <v>0</v>
      </c>
      <c r="O561" t="n">
        <v>0</v>
      </c>
      <c r="P561" t="n">
        <v>0</v>
      </c>
      <c r="Q561" t="n">
        <v>0</v>
      </c>
      <c r="R561" s="2" t="inlineStr"/>
    </row>
    <row r="562" ht="15" customHeight="1">
      <c r="A562" t="inlineStr">
        <is>
          <t>A 12179-2023</t>
        </is>
      </c>
      <c r="B562" s="1" t="n">
        <v>44998</v>
      </c>
      <c r="C562" s="1" t="n">
        <v>45983</v>
      </c>
      <c r="D562" t="inlineStr">
        <is>
          <t>JÄMTLANDS LÄN</t>
        </is>
      </c>
      <c r="E562" t="inlineStr">
        <is>
          <t>ÅRE</t>
        </is>
      </c>
      <c r="G562" t="n">
        <v>8.5</v>
      </c>
      <c r="H562" t="n">
        <v>0</v>
      </c>
      <c r="I562" t="n">
        <v>0</v>
      </c>
      <c r="J562" t="n">
        <v>0</v>
      </c>
      <c r="K562" t="n">
        <v>0</v>
      </c>
      <c r="L562" t="n">
        <v>0</v>
      </c>
      <c r="M562" t="n">
        <v>0</v>
      </c>
      <c r="N562" t="n">
        <v>0</v>
      </c>
      <c r="O562" t="n">
        <v>0</v>
      </c>
      <c r="P562" t="n">
        <v>0</v>
      </c>
      <c r="Q562" t="n">
        <v>0</v>
      </c>
      <c r="R562" s="2" t="inlineStr"/>
    </row>
    <row r="563" ht="15" customHeight="1">
      <c r="A563" t="inlineStr">
        <is>
          <t>A 61566-2021</t>
        </is>
      </c>
      <c r="B563" s="1" t="n">
        <v>44496</v>
      </c>
      <c r="C563" s="1" t="n">
        <v>45983</v>
      </c>
      <c r="D563" t="inlineStr">
        <is>
          <t>JÄMTLANDS LÄN</t>
        </is>
      </c>
      <c r="E563" t="inlineStr">
        <is>
          <t>ÅRE</t>
        </is>
      </c>
      <c r="F563" t="inlineStr">
        <is>
          <t>Övriga statliga verk och myndigheter</t>
        </is>
      </c>
      <c r="G563" t="n">
        <v>10.9</v>
      </c>
      <c r="H563" t="n">
        <v>0</v>
      </c>
      <c r="I563" t="n">
        <v>0</v>
      </c>
      <c r="J563" t="n">
        <v>0</v>
      </c>
      <c r="K563" t="n">
        <v>0</v>
      </c>
      <c r="L563" t="n">
        <v>0</v>
      </c>
      <c r="M563" t="n">
        <v>0</v>
      </c>
      <c r="N563" t="n">
        <v>0</v>
      </c>
      <c r="O563" t="n">
        <v>0</v>
      </c>
      <c r="P563" t="n">
        <v>0</v>
      </c>
      <c r="Q563" t="n">
        <v>0</v>
      </c>
      <c r="R563" s="2" t="inlineStr"/>
    </row>
    <row r="564" ht="15" customHeight="1">
      <c r="A564" t="inlineStr">
        <is>
          <t>A 61340-2022</t>
        </is>
      </c>
      <c r="B564" s="1" t="n">
        <v>44909</v>
      </c>
      <c r="C564" s="1" t="n">
        <v>45983</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21897-2021</t>
        </is>
      </c>
      <c r="B565" s="1" t="n">
        <v>44322</v>
      </c>
      <c r="C565" s="1" t="n">
        <v>45983</v>
      </c>
      <c r="D565" t="inlineStr">
        <is>
          <t>JÄMTLANDS LÄN</t>
        </is>
      </c>
      <c r="E565" t="inlineStr">
        <is>
          <t>ÅRE</t>
        </is>
      </c>
      <c r="G565" t="n">
        <v>41.4</v>
      </c>
      <c r="H565" t="n">
        <v>0</v>
      </c>
      <c r="I565" t="n">
        <v>0</v>
      </c>
      <c r="J565" t="n">
        <v>0</v>
      </c>
      <c r="K565" t="n">
        <v>0</v>
      </c>
      <c r="L565" t="n">
        <v>0</v>
      </c>
      <c r="M565" t="n">
        <v>0</v>
      </c>
      <c r="N565" t="n">
        <v>0</v>
      </c>
      <c r="O565" t="n">
        <v>0</v>
      </c>
      <c r="P565" t="n">
        <v>0</v>
      </c>
      <c r="Q565" t="n">
        <v>0</v>
      </c>
      <c r="R565" s="2" t="inlineStr"/>
    </row>
    <row r="566" ht="15" customHeight="1">
      <c r="A566" t="inlineStr">
        <is>
          <t>A 5460-2023</t>
        </is>
      </c>
      <c r="B566" s="1" t="n">
        <v>44960</v>
      </c>
      <c r="C566" s="1" t="n">
        <v>45983</v>
      </c>
      <c r="D566" t="inlineStr">
        <is>
          <t>JÄMTLANDS LÄN</t>
        </is>
      </c>
      <c r="E566" t="inlineStr">
        <is>
          <t>ÅRE</t>
        </is>
      </c>
      <c r="G566" t="n">
        <v>9.4</v>
      </c>
      <c r="H566" t="n">
        <v>0</v>
      </c>
      <c r="I566" t="n">
        <v>0</v>
      </c>
      <c r="J566" t="n">
        <v>0</v>
      </c>
      <c r="K566" t="n">
        <v>0</v>
      </c>
      <c r="L566" t="n">
        <v>0</v>
      </c>
      <c r="M566" t="n">
        <v>0</v>
      </c>
      <c r="N566" t="n">
        <v>0</v>
      </c>
      <c r="O566" t="n">
        <v>0</v>
      </c>
      <c r="P566" t="n">
        <v>0</v>
      </c>
      <c r="Q566" t="n">
        <v>0</v>
      </c>
      <c r="R566" s="2" t="inlineStr"/>
    </row>
    <row r="567" ht="15" customHeight="1">
      <c r="A567" t="inlineStr">
        <is>
          <t>A 61926-2022</t>
        </is>
      </c>
      <c r="B567" s="1" t="n">
        <v>44917</v>
      </c>
      <c r="C567" s="1" t="n">
        <v>45983</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26722-2021</t>
        </is>
      </c>
      <c r="B568" s="1" t="n">
        <v>44349</v>
      </c>
      <c r="C568" s="1" t="n">
        <v>45983</v>
      </c>
      <c r="D568" t="inlineStr">
        <is>
          <t>JÄMTLANDS LÄN</t>
        </is>
      </c>
      <c r="E568" t="inlineStr">
        <is>
          <t>ÅRE</t>
        </is>
      </c>
      <c r="G568" t="n">
        <v>11.4</v>
      </c>
      <c r="H568" t="n">
        <v>0</v>
      </c>
      <c r="I568" t="n">
        <v>0</v>
      </c>
      <c r="J568" t="n">
        <v>0</v>
      </c>
      <c r="K568" t="n">
        <v>0</v>
      </c>
      <c r="L568" t="n">
        <v>0</v>
      </c>
      <c r="M568" t="n">
        <v>0</v>
      </c>
      <c r="N568" t="n">
        <v>0</v>
      </c>
      <c r="O568" t="n">
        <v>0</v>
      </c>
      <c r="P568" t="n">
        <v>0</v>
      </c>
      <c r="Q568" t="n">
        <v>0</v>
      </c>
      <c r="R568" s="2" t="inlineStr"/>
    </row>
    <row r="569" ht="15" customHeight="1">
      <c r="A569" t="inlineStr">
        <is>
          <t>A 45796-2024</t>
        </is>
      </c>
      <c r="B569" s="1" t="n">
        <v>45579.67354166666</v>
      </c>
      <c r="C569" s="1" t="n">
        <v>45983</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54907-2023</t>
        </is>
      </c>
      <c r="B570" s="1" t="n">
        <v>45236.65784722222</v>
      </c>
      <c r="C570" s="1" t="n">
        <v>45983</v>
      </c>
      <c r="D570" t="inlineStr">
        <is>
          <t>JÄMTLANDS LÄN</t>
        </is>
      </c>
      <c r="E570" t="inlineStr">
        <is>
          <t>ÅRE</t>
        </is>
      </c>
      <c r="F570" t="inlineStr">
        <is>
          <t>Övriga Aktiebolag</t>
        </is>
      </c>
      <c r="G570" t="n">
        <v>2.6</v>
      </c>
      <c r="H570" t="n">
        <v>0</v>
      </c>
      <c r="I570" t="n">
        <v>0</v>
      </c>
      <c r="J570" t="n">
        <v>0</v>
      </c>
      <c r="K570" t="n">
        <v>0</v>
      </c>
      <c r="L570" t="n">
        <v>0</v>
      </c>
      <c r="M570" t="n">
        <v>0</v>
      </c>
      <c r="N570" t="n">
        <v>0</v>
      </c>
      <c r="O570" t="n">
        <v>0</v>
      </c>
      <c r="P570" t="n">
        <v>0</v>
      </c>
      <c r="Q570" t="n">
        <v>0</v>
      </c>
      <c r="R570" s="2" t="inlineStr"/>
    </row>
    <row r="571" ht="15" customHeight="1">
      <c r="A571" t="inlineStr">
        <is>
          <t>A 21905-2021</t>
        </is>
      </c>
      <c r="B571" s="1" t="n">
        <v>44322</v>
      </c>
      <c r="C571" s="1" t="n">
        <v>45983</v>
      </c>
      <c r="D571" t="inlineStr">
        <is>
          <t>JÄMTLANDS LÄN</t>
        </is>
      </c>
      <c r="E571" t="inlineStr">
        <is>
          <t>ÅRE</t>
        </is>
      </c>
      <c r="G571" t="n">
        <v>14.3</v>
      </c>
      <c r="H571" t="n">
        <v>0</v>
      </c>
      <c r="I571" t="n">
        <v>0</v>
      </c>
      <c r="J571" t="n">
        <v>0</v>
      </c>
      <c r="K571" t="n">
        <v>0</v>
      </c>
      <c r="L571" t="n">
        <v>0</v>
      </c>
      <c r="M571" t="n">
        <v>0</v>
      </c>
      <c r="N571" t="n">
        <v>0</v>
      </c>
      <c r="O571" t="n">
        <v>0</v>
      </c>
      <c r="P571" t="n">
        <v>0</v>
      </c>
      <c r="Q571" t="n">
        <v>0</v>
      </c>
      <c r="R571" s="2" t="inlineStr"/>
    </row>
    <row r="572" ht="15" customHeight="1">
      <c r="A572" t="inlineStr">
        <is>
          <t>A 3147-2023</t>
        </is>
      </c>
      <c r="B572" s="1" t="n">
        <v>44946</v>
      </c>
      <c r="C572" s="1" t="n">
        <v>45983</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3263-2023</t>
        </is>
      </c>
      <c r="B573" s="1" t="n">
        <v>44948.98751157407</v>
      </c>
      <c r="C573" s="1" t="n">
        <v>45983</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57150-2021</t>
        </is>
      </c>
      <c r="B574" s="1" t="n">
        <v>44482</v>
      </c>
      <c r="C574" s="1" t="n">
        <v>45983</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26032-2023</t>
        </is>
      </c>
      <c r="B575" s="1" t="n">
        <v>45091.31304398148</v>
      </c>
      <c r="C575" s="1" t="n">
        <v>45983</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26033-2023</t>
        </is>
      </c>
      <c r="B576" s="1" t="n">
        <v>45091.31530092593</v>
      </c>
      <c r="C576" s="1" t="n">
        <v>45983</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14202-2021</t>
        </is>
      </c>
      <c r="B577" s="1" t="n">
        <v>44278</v>
      </c>
      <c r="C577" s="1" t="n">
        <v>45983</v>
      </c>
      <c r="D577" t="inlineStr">
        <is>
          <t>JÄMTLANDS LÄN</t>
        </is>
      </c>
      <c r="E577" t="inlineStr">
        <is>
          <t>ÅRE</t>
        </is>
      </c>
      <c r="G577" t="n">
        <v>17.8</v>
      </c>
      <c r="H577" t="n">
        <v>0</v>
      </c>
      <c r="I577" t="n">
        <v>0</v>
      </c>
      <c r="J577" t="n">
        <v>0</v>
      </c>
      <c r="K577" t="n">
        <v>0</v>
      </c>
      <c r="L577" t="n">
        <v>0</v>
      </c>
      <c r="M577" t="n">
        <v>0</v>
      </c>
      <c r="N577" t="n">
        <v>0</v>
      </c>
      <c r="O577" t="n">
        <v>0</v>
      </c>
      <c r="P577" t="n">
        <v>0</v>
      </c>
      <c r="Q577" t="n">
        <v>0</v>
      </c>
      <c r="R577" s="2" t="inlineStr"/>
    </row>
    <row r="578" ht="15" customHeight="1">
      <c r="A578" t="inlineStr">
        <is>
          <t>A 19705-2023</t>
        </is>
      </c>
      <c r="B578" s="1" t="n">
        <v>45051</v>
      </c>
      <c r="C578" s="1" t="n">
        <v>45983</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ht="15" customHeight="1">
      <c r="A579" t="inlineStr">
        <is>
          <t>A 61524-2021</t>
        </is>
      </c>
      <c r="B579" s="1" t="n">
        <v>44496</v>
      </c>
      <c r="C579" s="1" t="n">
        <v>45983</v>
      </c>
      <c r="D579" t="inlineStr">
        <is>
          <t>JÄMTLANDS LÄN</t>
        </is>
      </c>
      <c r="E579" t="inlineStr">
        <is>
          <t>ÅRE</t>
        </is>
      </c>
      <c r="F579" t="inlineStr">
        <is>
          <t>Övriga statliga verk och myndigheter</t>
        </is>
      </c>
      <c r="G579" t="n">
        <v>15</v>
      </c>
      <c r="H579" t="n">
        <v>0</v>
      </c>
      <c r="I579" t="n">
        <v>0</v>
      </c>
      <c r="J579" t="n">
        <v>0</v>
      </c>
      <c r="K579" t="n">
        <v>0</v>
      </c>
      <c r="L579" t="n">
        <v>0</v>
      </c>
      <c r="M579" t="n">
        <v>0</v>
      </c>
      <c r="N579" t="n">
        <v>0</v>
      </c>
      <c r="O579" t="n">
        <v>0</v>
      </c>
      <c r="P579" t="n">
        <v>0</v>
      </c>
      <c r="Q579" t="n">
        <v>0</v>
      </c>
      <c r="R579" s="2" t="inlineStr"/>
    </row>
    <row r="580" ht="15" customHeight="1">
      <c r="A580" t="inlineStr">
        <is>
          <t>A 73086-2021</t>
        </is>
      </c>
      <c r="B580" s="1" t="n">
        <v>44550</v>
      </c>
      <c r="C580" s="1" t="n">
        <v>45983</v>
      </c>
      <c r="D580" t="inlineStr">
        <is>
          <t>JÄMTLANDS LÄN</t>
        </is>
      </c>
      <c r="E580" t="inlineStr">
        <is>
          <t>ÅRE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61806-2021</t>
        </is>
      </c>
      <c r="B581" s="1" t="n">
        <v>44498</v>
      </c>
      <c r="C581" s="1" t="n">
        <v>45983</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54324-2023</t>
        </is>
      </c>
      <c r="B582" s="1" t="n">
        <v>45225</v>
      </c>
      <c r="C582" s="1" t="n">
        <v>45983</v>
      </c>
      <c r="D582" t="inlineStr">
        <is>
          <t>JÄMTLANDS LÄN</t>
        </is>
      </c>
      <c r="E582" t="inlineStr">
        <is>
          <t>ÅRE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10285-2021</t>
        </is>
      </c>
      <c r="B583" s="1" t="n">
        <v>44257</v>
      </c>
      <c r="C583" s="1" t="n">
        <v>45983</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53500-2024</t>
        </is>
      </c>
      <c r="B584" s="1" t="n">
        <v>45614</v>
      </c>
      <c r="C584" s="1" t="n">
        <v>45983</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60935-2022</t>
        </is>
      </c>
      <c r="B585" s="1" t="n">
        <v>44908</v>
      </c>
      <c r="C585" s="1" t="n">
        <v>45983</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14204-2021</t>
        </is>
      </c>
      <c r="B586" s="1" t="n">
        <v>44278</v>
      </c>
      <c r="C586" s="1" t="n">
        <v>45983</v>
      </c>
      <c r="D586" t="inlineStr">
        <is>
          <t>JÄMTLANDS LÄN</t>
        </is>
      </c>
      <c r="E586" t="inlineStr">
        <is>
          <t>ÅRE</t>
        </is>
      </c>
      <c r="G586" t="n">
        <v>24.6</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45983</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59784-2024</t>
        </is>
      </c>
      <c r="B588" s="1" t="n">
        <v>45639.57988425926</v>
      </c>
      <c r="C588" s="1" t="n">
        <v>45983</v>
      </c>
      <c r="D588" t="inlineStr">
        <is>
          <t>JÄMTLANDS LÄN</t>
        </is>
      </c>
      <c r="E588" t="inlineStr">
        <is>
          <t>ÅRE</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53611-2024</t>
        </is>
      </c>
      <c r="B589" s="1" t="n">
        <v>45614.70510416666</v>
      </c>
      <c r="C589" s="1" t="n">
        <v>45983</v>
      </c>
      <c r="D589" t="inlineStr">
        <is>
          <t>JÄMTLANDS LÄN</t>
        </is>
      </c>
      <c r="E589" t="inlineStr">
        <is>
          <t>ÅRE</t>
        </is>
      </c>
      <c r="F589" t="inlineStr">
        <is>
          <t>Övriga Aktiebolag</t>
        </is>
      </c>
      <c r="G589" t="n">
        <v>2.2</v>
      </c>
      <c r="H589" t="n">
        <v>0</v>
      </c>
      <c r="I589" t="n">
        <v>0</v>
      </c>
      <c r="J589" t="n">
        <v>0</v>
      </c>
      <c r="K589" t="n">
        <v>0</v>
      </c>
      <c r="L589" t="n">
        <v>0</v>
      </c>
      <c r="M589" t="n">
        <v>0</v>
      </c>
      <c r="N589" t="n">
        <v>0</v>
      </c>
      <c r="O589" t="n">
        <v>0</v>
      </c>
      <c r="P589" t="n">
        <v>0</v>
      </c>
      <c r="Q589" t="n">
        <v>0</v>
      </c>
      <c r="R589" s="2" t="inlineStr"/>
    </row>
    <row r="590" ht="15" customHeight="1">
      <c r="A590" t="inlineStr">
        <is>
          <t>A 13841-2024</t>
        </is>
      </c>
      <c r="B590" s="1" t="n">
        <v>45391</v>
      </c>
      <c r="C590" s="1" t="n">
        <v>45983</v>
      </c>
      <c r="D590" t="inlineStr">
        <is>
          <t>JÄMTLANDS LÄN</t>
        </is>
      </c>
      <c r="E590" t="inlineStr">
        <is>
          <t>ÅRE</t>
        </is>
      </c>
      <c r="G590" t="n">
        <v>6.7</v>
      </c>
      <c r="H590" t="n">
        <v>0</v>
      </c>
      <c r="I590" t="n">
        <v>0</v>
      </c>
      <c r="J590" t="n">
        <v>0</v>
      </c>
      <c r="K590" t="n">
        <v>0</v>
      </c>
      <c r="L590" t="n">
        <v>0</v>
      </c>
      <c r="M590" t="n">
        <v>0</v>
      </c>
      <c r="N590" t="n">
        <v>0</v>
      </c>
      <c r="O590" t="n">
        <v>0</v>
      </c>
      <c r="P590" t="n">
        <v>0</v>
      </c>
      <c r="Q590" t="n">
        <v>0</v>
      </c>
      <c r="R590" s="2" t="inlineStr"/>
    </row>
    <row r="591" ht="15" customHeight="1">
      <c r="A591" t="inlineStr">
        <is>
          <t>A 17883-2021</t>
        </is>
      </c>
      <c r="B591" s="1" t="n">
        <v>44301</v>
      </c>
      <c r="C591" s="1" t="n">
        <v>45983</v>
      </c>
      <c r="D591" t="inlineStr">
        <is>
          <t>JÄMTLANDS LÄN</t>
        </is>
      </c>
      <c r="E591" t="inlineStr">
        <is>
          <t>ÅRE</t>
        </is>
      </c>
      <c r="F591" t="inlineStr">
        <is>
          <t>Övriga Aktiebolag</t>
        </is>
      </c>
      <c r="G591" t="n">
        <v>6.7</v>
      </c>
      <c r="H591" t="n">
        <v>0</v>
      </c>
      <c r="I591" t="n">
        <v>0</v>
      </c>
      <c r="J591" t="n">
        <v>0</v>
      </c>
      <c r="K591" t="n">
        <v>0</v>
      </c>
      <c r="L591" t="n">
        <v>0</v>
      </c>
      <c r="M591" t="n">
        <v>0</v>
      </c>
      <c r="N591" t="n">
        <v>0</v>
      </c>
      <c r="O591" t="n">
        <v>0</v>
      </c>
      <c r="P591" t="n">
        <v>0</v>
      </c>
      <c r="Q591" t="n">
        <v>0</v>
      </c>
      <c r="R591" s="2" t="inlineStr"/>
    </row>
    <row r="592" ht="15" customHeight="1">
      <c r="A592" t="inlineStr">
        <is>
          <t>A 51317-2023</t>
        </is>
      </c>
      <c r="B592" s="1" t="n">
        <v>45219.57061342592</v>
      </c>
      <c r="C592" s="1" t="n">
        <v>45983</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row r="593" ht="15" customHeight="1">
      <c r="A593" t="inlineStr">
        <is>
          <t>A 56609-2023</t>
        </is>
      </c>
      <c r="B593" s="1" t="n">
        <v>45243.66828703704</v>
      </c>
      <c r="C593" s="1" t="n">
        <v>45983</v>
      </c>
      <c r="D593" t="inlineStr">
        <is>
          <t>JÄMTLANDS LÄN</t>
        </is>
      </c>
      <c r="E593" t="inlineStr">
        <is>
          <t>ÅRE</t>
        </is>
      </c>
      <c r="G593" t="n">
        <v>17.9</v>
      </c>
      <c r="H593" t="n">
        <v>0</v>
      </c>
      <c r="I593" t="n">
        <v>0</v>
      </c>
      <c r="J593" t="n">
        <v>0</v>
      </c>
      <c r="K593" t="n">
        <v>0</v>
      </c>
      <c r="L593" t="n">
        <v>0</v>
      </c>
      <c r="M593" t="n">
        <v>0</v>
      </c>
      <c r="N593" t="n">
        <v>0</v>
      </c>
      <c r="O593" t="n">
        <v>0</v>
      </c>
      <c r="P593" t="n">
        <v>0</v>
      </c>
      <c r="Q593" t="n">
        <v>0</v>
      </c>
      <c r="R593" s="2" t="inlineStr"/>
    </row>
    <row r="594" ht="15" customHeight="1">
      <c r="A594" t="inlineStr">
        <is>
          <t>A 28817-2021</t>
        </is>
      </c>
      <c r="B594" s="1" t="n">
        <v>44357</v>
      </c>
      <c r="C594" s="1" t="n">
        <v>45983</v>
      </c>
      <c r="D594" t="inlineStr">
        <is>
          <t>JÄMTLANDS LÄN</t>
        </is>
      </c>
      <c r="E594" t="inlineStr">
        <is>
          <t>ÅRE</t>
        </is>
      </c>
      <c r="G594" t="n">
        <v>21.4</v>
      </c>
      <c r="H594" t="n">
        <v>0</v>
      </c>
      <c r="I594" t="n">
        <v>0</v>
      </c>
      <c r="J594" t="n">
        <v>0</v>
      </c>
      <c r="K594" t="n">
        <v>0</v>
      </c>
      <c r="L594" t="n">
        <v>0</v>
      </c>
      <c r="M594" t="n">
        <v>0</v>
      </c>
      <c r="N594" t="n">
        <v>0</v>
      </c>
      <c r="O594" t="n">
        <v>0</v>
      </c>
      <c r="P594" t="n">
        <v>0</v>
      </c>
      <c r="Q594" t="n">
        <v>0</v>
      </c>
      <c r="R594" s="2" t="inlineStr"/>
    </row>
    <row r="595" ht="15" customHeight="1">
      <c r="A595" t="inlineStr">
        <is>
          <t>A 13082-2025</t>
        </is>
      </c>
      <c r="B595" s="1" t="n">
        <v>45734.62666666666</v>
      </c>
      <c r="C595" s="1" t="n">
        <v>45983</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17576-2024</t>
        </is>
      </c>
      <c r="B596" s="1" t="n">
        <v>45415</v>
      </c>
      <c r="C596" s="1" t="n">
        <v>45983</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8443-2023</t>
        </is>
      </c>
      <c r="B597" s="1" t="n">
        <v>44977</v>
      </c>
      <c r="C597" s="1" t="n">
        <v>45983</v>
      </c>
      <c r="D597" t="inlineStr">
        <is>
          <t>JÄMTLANDS LÄN</t>
        </is>
      </c>
      <c r="E597" t="inlineStr">
        <is>
          <t>ÅRE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30379-2024</t>
        </is>
      </c>
      <c r="B598" s="1" t="n">
        <v>45491.43815972222</v>
      </c>
      <c r="C598" s="1" t="n">
        <v>45983</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11500-2022</t>
        </is>
      </c>
      <c r="B599" s="1" t="n">
        <v>44631</v>
      </c>
      <c r="C599" s="1" t="n">
        <v>45983</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23117-2022</t>
        </is>
      </c>
      <c r="B600" s="1" t="n">
        <v>44719.56572916666</v>
      </c>
      <c r="C600" s="1" t="n">
        <v>45983</v>
      </c>
      <c r="D600" t="inlineStr">
        <is>
          <t>JÄMTLANDS LÄN</t>
        </is>
      </c>
      <c r="E600" t="inlineStr">
        <is>
          <t>ÅRE</t>
        </is>
      </c>
      <c r="G600" t="n">
        <v>3.5</v>
      </c>
      <c r="H600" t="n">
        <v>0</v>
      </c>
      <c r="I600" t="n">
        <v>0</v>
      </c>
      <c r="J600" t="n">
        <v>0</v>
      </c>
      <c r="K600" t="n">
        <v>0</v>
      </c>
      <c r="L600" t="n">
        <v>0</v>
      </c>
      <c r="M600" t="n">
        <v>0</v>
      </c>
      <c r="N600" t="n">
        <v>0</v>
      </c>
      <c r="O600" t="n">
        <v>0</v>
      </c>
      <c r="P600" t="n">
        <v>0</v>
      </c>
      <c r="Q600" t="n">
        <v>0</v>
      </c>
      <c r="R600" s="2" t="inlineStr"/>
    </row>
    <row r="601" ht="15" customHeight="1">
      <c r="A601" t="inlineStr">
        <is>
          <t>A 12182-2023</t>
        </is>
      </c>
      <c r="B601" s="1" t="n">
        <v>44998</v>
      </c>
      <c r="C601" s="1" t="n">
        <v>45983</v>
      </c>
      <c r="D601" t="inlineStr">
        <is>
          <t>JÄMTLANDS LÄN</t>
        </is>
      </c>
      <c r="E601" t="inlineStr">
        <is>
          <t>ÅRE</t>
        </is>
      </c>
      <c r="G601" t="n">
        <v>11.7</v>
      </c>
      <c r="H601" t="n">
        <v>0</v>
      </c>
      <c r="I601" t="n">
        <v>0</v>
      </c>
      <c r="J601" t="n">
        <v>0</v>
      </c>
      <c r="K601" t="n">
        <v>0</v>
      </c>
      <c r="L601" t="n">
        <v>0</v>
      </c>
      <c r="M601" t="n">
        <v>0</v>
      </c>
      <c r="N601" t="n">
        <v>0</v>
      </c>
      <c r="O601" t="n">
        <v>0</v>
      </c>
      <c r="P601" t="n">
        <v>0</v>
      </c>
      <c r="Q601" t="n">
        <v>0</v>
      </c>
      <c r="R601" s="2" t="inlineStr"/>
    </row>
    <row r="602" ht="15" customHeight="1">
      <c r="A602" t="inlineStr">
        <is>
          <t>A 25926-2023</t>
        </is>
      </c>
      <c r="B602" s="1" t="n">
        <v>45085</v>
      </c>
      <c r="C602" s="1" t="n">
        <v>45983</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56842-2022</t>
        </is>
      </c>
      <c r="B603" s="1" t="n">
        <v>44894.47856481482</v>
      </c>
      <c r="C603" s="1" t="n">
        <v>45983</v>
      </c>
      <c r="D603" t="inlineStr">
        <is>
          <t>JÄMTLANDS LÄN</t>
        </is>
      </c>
      <c r="E603" t="inlineStr">
        <is>
          <t>ÅRE</t>
        </is>
      </c>
      <c r="F603" t="inlineStr">
        <is>
          <t>Övriga Aktiebolag</t>
        </is>
      </c>
      <c r="G603" t="n">
        <v>7.9</v>
      </c>
      <c r="H603" t="n">
        <v>0</v>
      </c>
      <c r="I603" t="n">
        <v>0</v>
      </c>
      <c r="J603" t="n">
        <v>0</v>
      </c>
      <c r="K603" t="n">
        <v>0</v>
      </c>
      <c r="L603" t="n">
        <v>0</v>
      </c>
      <c r="M603" t="n">
        <v>0</v>
      </c>
      <c r="N603" t="n">
        <v>0</v>
      </c>
      <c r="O603" t="n">
        <v>0</v>
      </c>
      <c r="P603" t="n">
        <v>0</v>
      </c>
      <c r="Q603" t="n">
        <v>0</v>
      </c>
      <c r="R603" s="2" t="inlineStr"/>
    </row>
    <row r="604" ht="15" customHeight="1">
      <c r="A604" t="inlineStr">
        <is>
          <t>A 13039-2024</t>
        </is>
      </c>
      <c r="B604" s="1" t="n">
        <v>45385</v>
      </c>
      <c r="C604" s="1" t="n">
        <v>45983</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45983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55056-2024</t>
        </is>
      </c>
      <c r="B606" s="1" t="n">
        <v>45621.40034722222</v>
      </c>
      <c r="C606" s="1" t="n">
        <v>45983</v>
      </c>
      <c r="D606" t="inlineStr">
        <is>
          <t>JÄMTLANDS LÄN</t>
        </is>
      </c>
      <c r="E606" t="inlineStr">
        <is>
          <t>ÅRE</t>
        </is>
      </c>
      <c r="G606" t="n">
        <v>0.8</v>
      </c>
      <c r="H606" t="n">
        <v>0</v>
      </c>
      <c r="I606" t="n">
        <v>0</v>
      </c>
      <c r="J606" t="n">
        <v>0</v>
      </c>
      <c r="K606" t="n">
        <v>0</v>
      </c>
      <c r="L606" t="n">
        <v>0</v>
      </c>
      <c r="M606" t="n">
        <v>0</v>
      </c>
      <c r="N606" t="n">
        <v>0</v>
      </c>
      <c r="O606" t="n">
        <v>0</v>
      </c>
      <c r="P606" t="n">
        <v>0</v>
      </c>
      <c r="Q606" t="n">
        <v>0</v>
      </c>
      <c r="R606" s="2" t="inlineStr"/>
    </row>
    <row r="607" ht="15" customHeight="1">
      <c r="A607" t="inlineStr">
        <is>
          <t>A 39069-2024</t>
        </is>
      </c>
      <c r="B607" s="1" t="n">
        <v>45548.53166666667</v>
      </c>
      <c r="C607" s="1" t="n">
        <v>45983</v>
      </c>
      <c r="D607" t="inlineStr">
        <is>
          <t>JÄMTLANDS LÄN</t>
        </is>
      </c>
      <c r="E607" t="inlineStr">
        <is>
          <t>ÅRE</t>
        </is>
      </c>
      <c r="G607" t="n">
        <v>0.5</v>
      </c>
      <c r="H607" t="n">
        <v>0</v>
      </c>
      <c r="I607" t="n">
        <v>0</v>
      </c>
      <c r="J607" t="n">
        <v>0</v>
      </c>
      <c r="K607" t="n">
        <v>0</v>
      </c>
      <c r="L607" t="n">
        <v>0</v>
      </c>
      <c r="M607" t="n">
        <v>0</v>
      </c>
      <c r="N607" t="n">
        <v>0</v>
      </c>
      <c r="O607" t="n">
        <v>0</v>
      </c>
      <c r="P607" t="n">
        <v>0</v>
      </c>
      <c r="Q607" t="n">
        <v>0</v>
      </c>
      <c r="R607" s="2" t="inlineStr"/>
    </row>
    <row r="608" ht="15" customHeight="1">
      <c r="A608" t="inlineStr">
        <is>
          <t>A 9312-2025</t>
        </is>
      </c>
      <c r="B608" s="1" t="n">
        <v>45714.68869212963</v>
      </c>
      <c r="C608" s="1" t="n">
        <v>45983</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45983</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45983</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33015-2022</t>
        </is>
      </c>
      <c r="B611" s="1" t="n">
        <v>44784</v>
      </c>
      <c r="C611" s="1" t="n">
        <v>45983</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12288-2023</t>
        </is>
      </c>
      <c r="B612" s="1" t="n">
        <v>44998.73143518518</v>
      </c>
      <c r="C612" s="1" t="n">
        <v>45983</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61978-2023</t>
        </is>
      </c>
      <c r="B613" s="1" t="n">
        <v>45266.59711805556</v>
      </c>
      <c r="C613" s="1" t="n">
        <v>45983</v>
      </c>
      <c r="D613" t="inlineStr">
        <is>
          <t>JÄMTLANDS LÄN</t>
        </is>
      </c>
      <c r="E613" t="inlineStr">
        <is>
          <t>ÅRE</t>
        </is>
      </c>
      <c r="G613" t="n">
        <v>5.5</v>
      </c>
      <c r="H613" t="n">
        <v>0</v>
      </c>
      <c r="I613" t="n">
        <v>0</v>
      </c>
      <c r="J613" t="n">
        <v>0</v>
      </c>
      <c r="K613" t="n">
        <v>0</v>
      </c>
      <c r="L613" t="n">
        <v>0</v>
      </c>
      <c r="M613" t="n">
        <v>0</v>
      </c>
      <c r="N613" t="n">
        <v>0</v>
      </c>
      <c r="O613" t="n">
        <v>0</v>
      </c>
      <c r="P613" t="n">
        <v>0</v>
      </c>
      <c r="Q613" t="n">
        <v>0</v>
      </c>
      <c r="R613" s="2" t="inlineStr"/>
    </row>
    <row r="614" ht="15" customHeight="1">
      <c r="A614" t="inlineStr">
        <is>
          <t>A 33117-2023</t>
        </is>
      </c>
      <c r="B614" s="1" t="n">
        <v>45126</v>
      </c>
      <c r="C614" s="1" t="n">
        <v>45983</v>
      </c>
      <c r="D614" t="inlineStr">
        <is>
          <t>JÄMTLANDS LÄN</t>
        </is>
      </c>
      <c r="E614" t="inlineStr">
        <is>
          <t>ÅRE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376-2024</t>
        </is>
      </c>
      <c r="B615" s="1" t="n">
        <v>45296</v>
      </c>
      <c r="C615" s="1" t="n">
        <v>45983</v>
      </c>
      <c r="D615" t="inlineStr">
        <is>
          <t>JÄMTLANDS LÄN</t>
        </is>
      </c>
      <c r="E615" t="inlineStr">
        <is>
          <t>ÅRE</t>
        </is>
      </c>
      <c r="F615" t="inlineStr">
        <is>
          <t>Kyrkan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69592-2021</t>
        </is>
      </c>
      <c r="B616" s="1" t="n">
        <v>44531</v>
      </c>
      <c r="C616" s="1" t="n">
        <v>45983</v>
      </c>
      <c r="D616" t="inlineStr">
        <is>
          <t>JÄMTLANDS LÄN</t>
        </is>
      </c>
      <c r="E616" t="inlineStr">
        <is>
          <t>ÅRE</t>
        </is>
      </c>
      <c r="G616" t="n">
        <v>4.7</v>
      </c>
      <c r="H616" t="n">
        <v>0</v>
      </c>
      <c r="I616" t="n">
        <v>0</v>
      </c>
      <c r="J616" t="n">
        <v>0</v>
      </c>
      <c r="K616" t="n">
        <v>0</v>
      </c>
      <c r="L616" t="n">
        <v>0</v>
      </c>
      <c r="M616" t="n">
        <v>0</v>
      </c>
      <c r="N616" t="n">
        <v>0</v>
      </c>
      <c r="O616" t="n">
        <v>0</v>
      </c>
      <c r="P616" t="n">
        <v>0</v>
      </c>
      <c r="Q616" t="n">
        <v>0</v>
      </c>
      <c r="R616" s="2" t="inlineStr"/>
    </row>
    <row r="617" ht="15" customHeight="1">
      <c r="A617" t="inlineStr">
        <is>
          <t>A 54250-2024</t>
        </is>
      </c>
      <c r="B617" s="1" t="n">
        <v>45616</v>
      </c>
      <c r="C617" s="1" t="n">
        <v>45983</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9126-2025</t>
        </is>
      </c>
      <c r="B618" s="1" t="n">
        <v>45713</v>
      </c>
      <c r="C618" s="1" t="n">
        <v>45983</v>
      </c>
      <c r="D618" t="inlineStr">
        <is>
          <t>JÄMTLANDS LÄN</t>
        </is>
      </c>
      <c r="E618" t="inlineStr">
        <is>
          <t>ÅRE</t>
        </is>
      </c>
      <c r="G618" t="n">
        <v>2</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45983</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51452-2024</t>
        </is>
      </c>
      <c r="B620" s="1" t="n">
        <v>45604.49045138889</v>
      </c>
      <c r="C620" s="1" t="n">
        <v>45983</v>
      </c>
      <c r="D620" t="inlineStr">
        <is>
          <t>JÄMTLANDS LÄN</t>
        </is>
      </c>
      <c r="E620" t="inlineStr">
        <is>
          <t>ÅRE</t>
        </is>
      </c>
      <c r="G620" t="n">
        <v>8</v>
      </c>
      <c r="H620" t="n">
        <v>0</v>
      </c>
      <c r="I620" t="n">
        <v>0</v>
      </c>
      <c r="J620" t="n">
        <v>0</v>
      </c>
      <c r="K620" t="n">
        <v>0</v>
      </c>
      <c r="L620" t="n">
        <v>0</v>
      </c>
      <c r="M620" t="n">
        <v>0</v>
      </c>
      <c r="N620" t="n">
        <v>0</v>
      </c>
      <c r="O620" t="n">
        <v>0</v>
      </c>
      <c r="P620" t="n">
        <v>0</v>
      </c>
      <c r="Q620" t="n">
        <v>0</v>
      </c>
      <c r="R620" s="2" t="inlineStr"/>
    </row>
    <row r="621" ht="15" customHeight="1">
      <c r="A621" t="inlineStr">
        <is>
          <t>A 20999-2024</t>
        </is>
      </c>
      <c r="B621" s="1" t="n">
        <v>45439</v>
      </c>
      <c r="C621" s="1" t="n">
        <v>45983</v>
      </c>
      <c r="D621" t="inlineStr">
        <is>
          <t>JÄMTLANDS LÄN</t>
        </is>
      </c>
      <c r="E621" t="inlineStr">
        <is>
          <t>ÅRE</t>
        </is>
      </c>
      <c r="G621" t="n">
        <v>5.7</v>
      </c>
      <c r="H621" t="n">
        <v>0</v>
      </c>
      <c r="I621" t="n">
        <v>0</v>
      </c>
      <c r="J621" t="n">
        <v>0</v>
      </c>
      <c r="K621" t="n">
        <v>0</v>
      </c>
      <c r="L621" t="n">
        <v>0</v>
      </c>
      <c r="M621" t="n">
        <v>0</v>
      </c>
      <c r="N621" t="n">
        <v>0</v>
      </c>
      <c r="O621" t="n">
        <v>0</v>
      </c>
      <c r="P621" t="n">
        <v>0</v>
      </c>
      <c r="Q621" t="n">
        <v>0</v>
      </c>
      <c r="R621" s="2" t="inlineStr"/>
    </row>
    <row r="622" ht="15" customHeight="1">
      <c r="A622" t="inlineStr">
        <is>
          <t>A 45113-2024</t>
        </is>
      </c>
      <c r="B622" s="1" t="n">
        <v>45575.59709490741</v>
      </c>
      <c r="C622" s="1" t="n">
        <v>45983</v>
      </c>
      <c r="D622" t="inlineStr">
        <is>
          <t>JÄMTLANDS LÄN</t>
        </is>
      </c>
      <c r="E622" t="inlineStr">
        <is>
          <t>ÅRE</t>
        </is>
      </c>
      <c r="G622" t="n">
        <v>3.7</v>
      </c>
      <c r="H622" t="n">
        <v>0</v>
      </c>
      <c r="I622" t="n">
        <v>0</v>
      </c>
      <c r="J622" t="n">
        <v>0</v>
      </c>
      <c r="K622" t="n">
        <v>0</v>
      </c>
      <c r="L622" t="n">
        <v>0</v>
      </c>
      <c r="M622" t="n">
        <v>0</v>
      </c>
      <c r="N622" t="n">
        <v>0</v>
      </c>
      <c r="O622" t="n">
        <v>0</v>
      </c>
      <c r="P622" t="n">
        <v>0</v>
      </c>
      <c r="Q622" t="n">
        <v>0</v>
      </c>
      <c r="R622" s="2" t="inlineStr"/>
    </row>
    <row r="623" ht="15" customHeight="1">
      <c r="A623" t="inlineStr">
        <is>
          <t>A 58917-2022</t>
        </is>
      </c>
      <c r="B623" s="1" t="n">
        <v>44903</v>
      </c>
      <c r="C623" s="1" t="n">
        <v>45983</v>
      </c>
      <c r="D623" t="inlineStr">
        <is>
          <t>JÄMTLANDS LÄN</t>
        </is>
      </c>
      <c r="E623" t="inlineStr">
        <is>
          <t>ÅRE</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37734-2023</t>
        </is>
      </c>
      <c r="B624" s="1" t="n">
        <v>45159.61971064815</v>
      </c>
      <c r="C624" s="1" t="n">
        <v>45983</v>
      </c>
      <c r="D624" t="inlineStr">
        <is>
          <t>JÄMTLANDS LÄN</t>
        </is>
      </c>
      <c r="E624" t="inlineStr">
        <is>
          <t>ÅRE</t>
        </is>
      </c>
      <c r="G624" t="n">
        <v>3.4</v>
      </c>
      <c r="H624" t="n">
        <v>0</v>
      </c>
      <c r="I624" t="n">
        <v>0</v>
      </c>
      <c r="J624" t="n">
        <v>0</v>
      </c>
      <c r="K624" t="n">
        <v>0</v>
      </c>
      <c r="L624" t="n">
        <v>0</v>
      </c>
      <c r="M624" t="n">
        <v>0</v>
      </c>
      <c r="N624" t="n">
        <v>0</v>
      </c>
      <c r="O624" t="n">
        <v>0</v>
      </c>
      <c r="P624" t="n">
        <v>0</v>
      </c>
      <c r="Q624" t="n">
        <v>0</v>
      </c>
      <c r="R624" s="2" t="inlineStr"/>
    </row>
    <row r="625" ht="15" customHeight="1">
      <c r="A625" t="inlineStr">
        <is>
          <t>A 57770-2023</t>
        </is>
      </c>
      <c r="B625" s="1" t="n">
        <v>45246.92542824074</v>
      </c>
      <c r="C625" s="1" t="n">
        <v>45983</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556-2023</t>
        </is>
      </c>
      <c r="B626" s="1" t="n">
        <v>44930</v>
      </c>
      <c r="C626" s="1" t="n">
        <v>45983</v>
      </c>
      <c r="D626" t="inlineStr">
        <is>
          <t>JÄMTLANDS LÄN</t>
        </is>
      </c>
      <c r="E626" t="inlineStr">
        <is>
          <t>ÅRE</t>
        </is>
      </c>
      <c r="G626" t="n">
        <v>14.9</v>
      </c>
      <c r="H626" t="n">
        <v>0</v>
      </c>
      <c r="I626" t="n">
        <v>0</v>
      </c>
      <c r="J626" t="n">
        <v>0</v>
      </c>
      <c r="K626" t="n">
        <v>0</v>
      </c>
      <c r="L626" t="n">
        <v>0</v>
      </c>
      <c r="M626" t="n">
        <v>0</v>
      </c>
      <c r="N626" t="n">
        <v>0</v>
      </c>
      <c r="O626" t="n">
        <v>0</v>
      </c>
      <c r="P626" t="n">
        <v>0</v>
      </c>
      <c r="Q626" t="n">
        <v>0</v>
      </c>
      <c r="R626" s="2" t="inlineStr"/>
    </row>
    <row r="627" ht="15" customHeight="1">
      <c r="A627" t="inlineStr">
        <is>
          <t>A 393-2024</t>
        </is>
      </c>
      <c r="B627" s="1" t="n">
        <v>45296.43614583334</v>
      </c>
      <c r="C627" s="1" t="n">
        <v>45983</v>
      </c>
      <c r="D627" t="inlineStr">
        <is>
          <t>JÄMTLANDS LÄN</t>
        </is>
      </c>
      <c r="E627" t="inlineStr">
        <is>
          <t>ÅRE</t>
        </is>
      </c>
      <c r="G627" t="n">
        <v>6.5</v>
      </c>
      <c r="H627" t="n">
        <v>0</v>
      </c>
      <c r="I627" t="n">
        <v>0</v>
      </c>
      <c r="J627" t="n">
        <v>0</v>
      </c>
      <c r="K627" t="n">
        <v>0</v>
      </c>
      <c r="L627" t="n">
        <v>0</v>
      </c>
      <c r="M627" t="n">
        <v>0</v>
      </c>
      <c r="N627" t="n">
        <v>0</v>
      </c>
      <c r="O627" t="n">
        <v>0</v>
      </c>
      <c r="P627" t="n">
        <v>0</v>
      </c>
      <c r="Q627" t="n">
        <v>0</v>
      </c>
      <c r="R627" s="2" t="inlineStr"/>
    </row>
    <row r="628" ht="15" customHeight="1">
      <c r="A628" t="inlineStr">
        <is>
          <t>A 13033-2024</t>
        </is>
      </c>
      <c r="B628" s="1" t="n">
        <v>45385</v>
      </c>
      <c r="C628" s="1" t="n">
        <v>45983</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12227-2023</t>
        </is>
      </c>
      <c r="B629" s="1" t="n">
        <v>44998.60261574074</v>
      </c>
      <c r="C629" s="1" t="n">
        <v>45983</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45983</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45242-2023</t>
        </is>
      </c>
      <c r="B631" s="1" t="n">
        <v>45187</v>
      </c>
      <c r="C631" s="1" t="n">
        <v>45983</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1491-2024</t>
        </is>
      </c>
      <c r="B632" s="1" t="n">
        <v>45305</v>
      </c>
      <c r="C632" s="1" t="n">
        <v>45983</v>
      </c>
      <c r="D632" t="inlineStr">
        <is>
          <t>JÄMTLANDS LÄN</t>
        </is>
      </c>
      <c r="E632" t="inlineStr">
        <is>
          <t>ÅRE</t>
        </is>
      </c>
      <c r="G632" t="n">
        <v>31.4</v>
      </c>
      <c r="H632" t="n">
        <v>0</v>
      </c>
      <c r="I632" t="n">
        <v>0</v>
      </c>
      <c r="J632" t="n">
        <v>0</v>
      </c>
      <c r="K632" t="n">
        <v>0</v>
      </c>
      <c r="L632" t="n">
        <v>0</v>
      </c>
      <c r="M632" t="n">
        <v>0</v>
      </c>
      <c r="N632" t="n">
        <v>0</v>
      </c>
      <c r="O632" t="n">
        <v>0</v>
      </c>
      <c r="P632" t="n">
        <v>0</v>
      </c>
      <c r="Q632" t="n">
        <v>0</v>
      </c>
      <c r="R632" s="2" t="inlineStr"/>
    </row>
    <row r="633" ht="15" customHeight="1">
      <c r="A633" t="inlineStr">
        <is>
          <t>A 12287-2023</t>
        </is>
      </c>
      <c r="B633" s="1" t="n">
        <v>44998.72736111111</v>
      </c>
      <c r="C633" s="1" t="n">
        <v>45983</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12290-2023</t>
        </is>
      </c>
      <c r="B634" s="1" t="n">
        <v>44998.73545138889</v>
      </c>
      <c r="C634" s="1" t="n">
        <v>45983</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44998.74140046296</v>
      </c>
      <c r="C635" s="1" t="n">
        <v>45983</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44609-2024</t>
        </is>
      </c>
      <c r="B636" s="1" t="n">
        <v>45574.51212962963</v>
      </c>
      <c r="C636" s="1" t="n">
        <v>45983</v>
      </c>
      <c r="D636" t="inlineStr">
        <is>
          <t>JÄMTLANDS LÄN</t>
        </is>
      </c>
      <c r="E636" t="inlineStr">
        <is>
          <t>ÅRE</t>
        </is>
      </c>
      <c r="G636" t="n">
        <v>1.9</v>
      </c>
      <c r="H636" t="n">
        <v>0</v>
      </c>
      <c r="I636" t="n">
        <v>0</v>
      </c>
      <c r="J636" t="n">
        <v>0</v>
      </c>
      <c r="K636" t="n">
        <v>0</v>
      </c>
      <c r="L636" t="n">
        <v>0</v>
      </c>
      <c r="M636" t="n">
        <v>0</v>
      </c>
      <c r="N636" t="n">
        <v>0</v>
      </c>
      <c r="O636" t="n">
        <v>0</v>
      </c>
      <c r="P636" t="n">
        <v>0</v>
      </c>
      <c r="Q636" t="n">
        <v>0</v>
      </c>
      <c r="R636" s="2" t="inlineStr"/>
    </row>
    <row r="637" ht="15" customHeight="1">
      <c r="A637" t="inlineStr">
        <is>
          <t>A 41677-2024</t>
        </is>
      </c>
      <c r="B637" s="1" t="n">
        <v>45560.66037037037</v>
      </c>
      <c r="C637" s="1" t="n">
        <v>45983</v>
      </c>
      <c r="D637" t="inlineStr">
        <is>
          <t>JÄMTLANDS LÄN</t>
        </is>
      </c>
      <c r="E637" t="inlineStr">
        <is>
          <t>ÅRE</t>
        </is>
      </c>
      <c r="G637" t="n">
        <v>0.5</v>
      </c>
      <c r="H637" t="n">
        <v>0</v>
      </c>
      <c r="I637" t="n">
        <v>0</v>
      </c>
      <c r="J637" t="n">
        <v>0</v>
      </c>
      <c r="K637" t="n">
        <v>0</v>
      </c>
      <c r="L637" t="n">
        <v>0</v>
      </c>
      <c r="M637" t="n">
        <v>0</v>
      </c>
      <c r="N637" t="n">
        <v>0</v>
      </c>
      <c r="O637" t="n">
        <v>0</v>
      </c>
      <c r="P637" t="n">
        <v>0</v>
      </c>
      <c r="Q637" t="n">
        <v>0</v>
      </c>
      <c r="R637" s="2" t="inlineStr"/>
    </row>
    <row r="638" ht="15" customHeight="1">
      <c r="A638" t="inlineStr">
        <is>
          <t>A 41688-2024</t>
        </is>
      </c>
      <c r="B638" s="1" t="n">
        <v>45560.67542824074</v>
      </c>
      <c r="C638" s="1" t="n">
        <v>45983</v>
      </c>
      <c r="D638" t="inlineStr">
        <is>
          <t>JÄMTLANDS LÄN</t>
        </is>
      </c>
      <c r="E638" t="inlineStr">
        <is>
          <t>ÅRE</t>
        </is>
      </c>
      <c r="G638" t="n">
        <v>0.8</v>
      </c>
      <c r="H638" t="n">
        <v>0</v>
      </c>
      <c r="I638" t="n">
        <v>0</v>
      </c>
      <c r="J638" t="n">
        <v>0</v>
      </c>
      <c r="K638" t="n">
        <v>0</v>
      </c>
      <c r="L638" t="n">
        <v>0</v>
      </c>
      <c r="M638" t="n">
        <v>0</v>
      </c>
      <c r="N638" t="n">
        <v>0</v>
      </c>
      <c r="O638" t="n">
        <v>0</v>
      </c>
      <c r="P638" t="n">
        <v>0</v>
      </c>
      <c r="Q638" t="n">
        <v>0</v>
      </c>
      <c r="R638" s="2" t="inlineStr"/>
    </row>
    <row r="639" ht="15" customHeight="1">
      <c r="A639" t="inlineStr">
        <is>
          <t>A 4218-2025</t>
        </is>
      </c>
      <c r="B639" s="1" t="n">
        <v>45685</v>
      </c>
      <c r="C639" s="1" t="n">
        <v>45983</v>
      </c>
      <c r="D639" t="inlineStr">
        <is>
          <t>JÄMTLANDS LÄN</t>
        </is>
      </c>
      <c r="E639" t="inlineStr">
        <is>
          <t>ÅRE</t>
        </is>
      </c>
      <c r="F639" t="inlineStr">
        <is>
          <t>Övriga Aktiebolag</t>
        </is>
      </c>
      <c r="G639" t="n">
        <v>10.1</v>
      </c>
      <c r="H639" t="n">
        <v>0</v>
      </c>
      <c r="I639" t="n">
        <v>0</v>
      </c>
      <c r="J639" t="n">
        <v>0</v>
      </c>
      <c r="K639" t="n">
        <v>0</v>
      </c>
      <c r="L639" t="n">
        <v>0</v>
      </c>
      <c r="M639" t="n">
        <v>0</v>
      </c>
      <c r="N639" t="n">
        <v>0</v>
      </c>
      <c r="O639" t="n">
        <v>0</v>
      </c>
      <c r="P639" t="n">
        <v>0</v>
      </c>
      <c r="Q639" t="n">
        <v>0</v>
      </c>
      <c r="R639" s="2" t="inlineStr"/>
    </row>
    <row r="640" ht="15" customHeight="1">
      <c r="A640" t="inlineStr">
        <is>
          <t>A 15692-2025</t>
        </is>
      </c>
      <c r="B640" s="1" t="n">
        <v>45748</v>
      </c>
      <c r="C640" s="1" t="n">
        <v>45983</v>
      </c>
      <c r="D640" t="inlineStr">
        <is>
          <t>JÄMTLANDS LÄN</t>
        </is>
      </c>
      <c r="E640" t="inlineStr">
        <is>
          <t>ÅRE</t>
        </is>
      </c>
      <c r="G640" t="n">
        <v>2.7</v>
      </c>
      <c r="H640" t="n">
        <v>0</v>
      </c>
      <c r="I640" t="n">
        <v>0</v>
      </c>
      <c r="J640" t="n">
        <v>0</v>
      </c>
      <c r="K640" t="n">
        <v>0</v>
      </c>
      <c r="L640" t="n">
        <v>0</v>
      </c>
      <c r="M640" t="n">
        <v>0</v>
      </c>
      <c r="N640" t="n">
        <v>0</v>
      </c>
      <c r="O640" t="n">
        <v>0</v>
      </c>
      <c r="P640" t="n">
        <v>0</v>
      </c>
      <c r="Q640" t="n">
        <v>0</v>
      </c>
      <c r="R640" s="2" t="inlineStr"/>
    </row>
    <row r="641" ht="15" customHeight="1">
      <c r="A641" t="inlineStr">
        <is>
          <t>A 12177-2025</t>
        </is>
      </c>
      <c r="B641" s="1" t="n">
        <v>45729.45119212963</v>
      </c>
      <c r="C641" s="1" t="n">
        <v>45983</v>
      </c>
      <c r="D641" t="inlineStr">
        <is>
          <t>JÄMTLANDS LÄN</t>
        </is>
      </c>
      <c r="E641" t="inlineStr">
        <is>
          <t>ÅRE</t>
        </is>
      </c>
      <c r="F641" t="inlineStr">
        <is>
          <t>Övriga Aktiebolag</t>
        </is>
      </c>
      <c r="G641" t="n">
        <v>13.2</v>
      </c>
      <c r="H641" t="n">
        <v>0</v>
      </c>
      <c r="I641" t="n">
        <v>0</v>
      </c>
      <c r="J641" t="n">
        <v>0</v>
      </c>
      <c r="K641" t="n">
        <v>0</v>
      </c>
      <c r="L641" t="n">
        <v>0</v>
      </c>
      <c r="M641" t="n">
        <v>0</v>
      </c>
      <c r="N641" t="n">
        <v>0</v>
      </c>
      <c r="O641" t="n">
        <v>0</v>
      </c>
      <c r="P641" t="n">
        <v>0</v>
      </c>
      <c r="Q641" t="n">
        <v>0</v>
      </c>
      <c r="R641" s="2" t="inlineStr"/>
    </row>
    <row r="642" ht="15" customHeight="1">
      <c r="A642" t="inlineStr">
        <is>
          <t>A 61295-2023</t>
        </is>
      </c>
      <c r="B642" s="1" t="n">
        <v>45264</v>
      </c>
      <c r="C642" s="1" t="n">
        <v>45983</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8983-2021</t>
        </is>
      </c>
      <c r="B643" s="1" t="n">
        <v>44231</v>
      </c>
      <c r="C643" s="1" t="n">
        <v>45983</v>
      </c>
      <c r="D643" t="inlineStr">
        <is>
          <t>JÄMTLANDS LÄN</t>
        </is>
      </c>
      <c r="E643" t="inlineStr">
        <is>
          <t>ÅRE</t>
        </is>
      </c>
      <c r="G643" t="n">
        <v>4.1</v>
      </c>
      <c r="H643" t="n">
        <v>0</v>
      </c>
      <c r="I643" t="n">
        <v>0</v>
      </c>
      <c r="J643" t="n">
        <v>0</v>
      </c>
      <c r="K643" t="n">
        <v>0</v>
      </c>
      <c r="L643" t="n">
        <v>0</v>
      </c>
      <c r="M643" t="n">
        <v>0</v>
      </c>
      <c r="N643" t="n">
        <v>0</v>
      </c>
      <c r="O643" t="n">
        <v>0</v>
      </c>
      <c r="P643" t="n">
        <v>0</v>
      </c>
      <c r="Q643" t="n">
        <v>0</v>
      </c>
      <c r="R643" s="2" t="inlineStr"/>
    </row>
    <row r="644" ht="15" customHeight="1">
      <c r="A644" t="inlineStr">
        <is>
          <t>A 21181-2025</t>
        </is>
      </c>
      <c r="B644" s="1" t="n">
        <v>45779.43696759259</v>
      </c>
      <c r="C644" s="1" t="n">
        <v>45983</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c r="A645" t="inlineStr">
        <is>
          <t>A 21167-2025</t>
        </is>
      </c>
      <c r="B645" s="1" t="n">
        <v>45779.41253472222</v>
      </c>
      <c r="C645" s="1" t="n">
        <v>45983</v>
      </c>
      <c r="D645" t="inlineStr">
        <is>
          <t>JÄMTLANDS LÄN</t>
        </is>
      </c>
      <c r="E645" t="inlineStr">
        <is>
          <t>ÅRE</t>
        </is>
      </c>
      <c r="G645" t="n">
        <v>0.4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2025-11-22T10:20:01Z</dcterms:created>
  <dcterms:modified xmlns:dcterms="http://purl.org/dc/terms/" xmlns:xsi="http://www.w3.org/2001/XMLSchema-instance" xsi:type="dcterms:W3CDTF">2025-11-22T10:20:01Z</dcterms:modified>
</cp:coreProperties>
</file>