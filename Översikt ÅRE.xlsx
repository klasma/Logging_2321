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45472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12455-2024</t>
        </is>
      </c>
      <c r="B3" s="1" t="n">
        <v>45379</v>
      </c>
      <c r="C3" s="1" t="n">
        <v>45472</v>
      </c>
      <c r="D3" t="inlineStr">
        <is>
          <t>JÄMTLANDS LÄN</t>
        </is>
      </c>
      <c r="E3" t="inlineStr">
        <is>
          <t>ÅRE</t>
        </is>
      </c>
      <c r="G3" t="n">
        <v>10</v>
      </c>
      <c r="H3" t="n">
        <v>4</v>
      </c>
      <c r="I3" t="n">
        <v>8</v>
      </c>
      <c r="J3" t="n">
        <v>12</v>
      </c>
      <c r="K3" t="n">
        <v>4</v>
      </c>
      <c r="L3" t="n">
        <v>1</v>
      </c>
      <c r="M3" t="n">
        <v>0</v>
      </c>
      <c r="N3" t="n">
        <v>0</v>
      </c>
      <c r="O3" t="n">
        <v>17</v>
      </c>
      <c r="P3" t="n">
        <v>5</v>
      </c>
      <c r="Q3" t="n">
        <v>26</v>
      </c>
      <c r="R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
        <f>HYPERLINK("https://klasma.github.io/Logging_2321/artfynd/A 12455-2024 artfynd.xlsx", "A 12455-2024")</f>
        <v/>
      </c>
      <c r="T3">
        <f>HYPERLINK("https://klasma.github.io/Logging_2321/kartor/A 12455-2024 karta.png", "A 12455-2024")</f>
        <v/>
      </c>
      <c r="V3">
        <f>HYPERLINK("https://klasma.github.io/Logging_2321/klagomål/A 12455-2024 FSC-klagomål.docx", "A 12455-2024")</f>
        <v/>
      </c>
      <c r="W3">
        <f>HYPERLINK("https://klasma.github.io/Logging_2321/klagomålsmail/A 12455-2024 FSC-klagomål mail.docx", "A 12455-2024")</f>
        <v/>
      </c>
      <c r="X3">
        <f>HYPERLINK("https://klasma.github.io/Logging_2321/tillsyn/A 12455-2024 tillsynsbegäran.docx", "A 12455-2024")</f>
        <v/>
      </c>
      <c r="Y3">
        <f>HYPERLINK("https://klasma.github.io/Logging_2321/tillsynsmail/A 12455-2024 tillsynsbegäran mail.docx", "A 12455-2024")</f>
        <v/>
      </c>
      <c r="Z3">
        <f>HYPERLINK("https://klasma.github.io/Logging_2321/fåglar/A 12455-2024 prioriterade fågelarter.docx", "A 12455-2024")</f>
        <v/>
      </c>
    </row>
    <row r="4" ht="15" customHeight="1">
      <c r="A4" t="inlineStr">
        <is>
          <t>A 62982-2020</t>
        </is>
      </c>
      <c r="B4" s="1" t="n">
        <v>44162</v>
      </c>
      <c r="C4" s="1" t="n">
        <v>45472</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12789-2024</t>
        </is>
      </c>
      <c r="B5" s="1" t="n">
        <v>45384</v>
      </c>
      <c r="C5" s="1" t="n">
        <v>45472</v>
      </c>
      <c r="D5" t="inlineStr">
        <is>
          <t>JÄMTLANDS LÄN</t>
        </is>
      </c>
      <c r="E5" t="inlineStr">
        <is>
          <t>ÅRE</t>
        </is>
      </c>
      <c r="G5" t="n">
        <v>10.8</v>
      </c>
      <c r="H5" t="n">
        <v>1</v>
      </c>
      <c r="I5" t="n">
        <v>6</v>
      </c>
      <c r="J5" t="n">
        <v>11</v>
      </c>
      <c r="K5" t="n">
        <v>6</v>
      </c>
      <c r="L5" t="n">
        <v>0</v>
      </c>
      <c r="M5" t="n">
        <v>0</v>
      </c>
      <c r="N5" t="n">
        <v>0</v>
      </c>
      <c r="O5" t="n">
        <v>17</v>
      </c>
      <c r="P5" t="n">
        <v>6</v>
      </c>
      <c r="Q5" t="n">
        <v>23</v>
      </c>
      <c r="R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
        <f>HYPERLINK("https://klasma.github.io/Logging_2321/artfynd/A 12789-2024 artfynd.xlsx", "A 12789-2024")</f>
        <v/>
      </c>
      <c r="T5">
        <f>HYPERLINK("https://klasma.github.io/Logging_2321/kartor/A 12789-2024 karta.png", "A 12789-2024")</f>
        <v/>
      </c>
      <c r="V5">
        <f>HYPERLINK("https://klasma.github.io/Logging_2321/klagomål/A 12789-2024 FSC-klagomål.docx", "A 12789-2024")</f>
        <v/>
      </c>
      <c r="W5">
        <f>HYPERLINK("https://klasma.github.io/Logging_2321/klagomålsmail/A 12789-2024 FSC-klagomål mail.docx", "A 12789-2024")</f>
        <v/>
      </c>
      <c r="X5">
        <f>HYPERLINK("https://klasma.github.io/Logging_2321/tillsyn/A 12789-2024 tillsynsbegäran.docx", "A 12789-2024")</f>
        <v/>
      </c>
      <c r="Y5">
        <f>HYPERLINK("https://klasma.github.io/Logging_2321/tillsynsmail/A 12789-2024 tillsynsbegäran mail.docx", "A 12789-2024")</f>
        <v/>
      </c>
      <c r="Z5">
        <f>HYPERLINK("https://klasma.github.io/Logging_2321/fåglar/A 12789-2024 prioriterade fågelarter.docx", "A 12789-2024")</f>
        <v/>
      </c>
    </row>
    <row r="6" ht="15" customHeight="1">
      <c r="A6" t="inlineStr">
        <is>
          <t>A 52534-2020</t>
        </is>
      </c>
      <c r="B6" s="1" t="n">
        <v>44116</v>
      </c>
      <c r="C6" s="1" t="n">
        <v>45472</v>
      </c>
      <c r="D6" t="inlineStr">
        <is>
          <t>JÄMTLANDS LÄN</t>
        </is>
      </c>
      <c r="E6" t="inlineStr">
        <is>
          <t>ÅRE</t>
        </is>
      </c>
      <c r="G6" t="n">
        <v>15</v>
      </c>
      <c r="H6" t="n">
        <v>1</v>
      </c>
      <c r="I6" t="n">
        <v>6</v>
      </c>
      <c r="J6" t="n">
        <v>13</v>
      </c>
      <c r="K6" t="n">
        <v>1</v>
      </c>
      <c r="L6" t="n">
        <v>1</v>
      </c>
      <c r="M6" t="n">
        <v>0</v>
      </c>
      <c r="N6" t="n">
        <v>0</v>
      </c>
      <c r="O6" t="n">
        <v>15</v>
      </c>
      <c r="P6" t="n">
        <v>2</v>
      </c>
      <c r="Q6" t="n">
        <v>21</v>
      </c>
      <c r="R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
        <f>HYPERLINK("https://klasma.github.io/Logging_2321/artfynd/A 52534-2020 artfynd.xlsx", "A 52534-2020")</f>
        <v/>
      </c>
      <c r="T6">
        <f>HYPERLINK("https://klasma.github.io/Logging_2321/kartor/A 52534-2020 karta.png", "A 52534-2020")</f>
        <v/>
      </c>
      <c r="V6">
        <f>HYPERLINK("https://klasma.github.io/Logging_2321/klagomål/A 52534-2020 FSC-klagomål.docx", "A 52534-2020")</f>
        <v/>
      </c>
      <c r="W6">
        <f>HYPERLINK("https://klasma.github.io/Logging_2321/klagomålsmail/A 52534-2020 FSC-klagomål mail.docx", "A 52534-2020")</f>
        <v/>
      </c>
      <c r="X6">
        <f>HYPERLINK("https://klasma.github.io/Logging_2321/tillsyn/A 52534-2020 tillsynsbegäran.docx", "A 52534-2020")</f>
        <v/>
      </c>
      <c r="Y6">
        <f>HYPERLINK("https://klasma.github.io/Logging_2321/tillsynsmail/A 52534-2020 tillsynsbegäran mail.docx", "A 52534-2020")</f>
        <v/>
      </c>
      <c r="Z6">
        <f>HYPERLINK("https://klasma.github.io/Logging_2321/fåglar/A 52534-2020 prioriterade fågelarter.docx", "A 52534-2020")</f>
        <v/>
      </c>
    </row>
    <row r="7" ht="15" customHeight="1">
      <c r="A7" t="inlineStr">
        <is>
          <t>A 10635-2023</t>
        </is>
      </c>
      <c r="B7" s="1" t="n">
        <v>44984</v>
      </c>
      <c r="C7" s="1" t="n">
        <v>45472</v>
      </c>
      <c r="D7" t="inlineStr">
        <is>
          <t>JÄMTLANDS LÄN</t>
        </is>
      </c>
      <c r="E7" t="inlineStr">
        <is>
          <t>ÅRE</t>
        </is>
      </c>
      <c r="G7" t="n">
        <v>37.9</v>
      </c>
      <c r="H7" t="n">
        <v>2</v>
      </c>
      <c r="I7" t="n">
        <v>3</v>
      </c>
      <c r="J7" t="n">
        <v>12</v>
      </c>
      <c r="K7" t="n">
        <v>5</v>
      </c>
      <c r="L7" t="n">
        <v>1</v>
      </c>
      <c r="M7" t="n">
        <v>0</v>
      </c>
      <c r="N7" t="n">
        <v>0</v>
      </c>
      <c r="O7" t="n">
        <v>18</v>
      </c>
      <c r="P7" t="n">
        <v>6</v>
      </c>
      <c r="Q7" t="n">
        <v>21</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44517-2023</t>
        </is>
      </c>
      <c r="B8" s="1" t="n">
        <v>45184</v>
      </c>
      <c r="C8" s="1" t="n">
        <v>45472</v>
      </c>
      <c r="D8" t="inlineStr">
        <is>
          <t>JÄMTLANDS LÄN</t>
        </is>
      </c>
      <c r="E8" t="inlineStr">
        <is>
          <t>ÅRE</t>
        </is>
      </c>
      <c r="G8" t="n">
        <v>18.1</v>
      </c>
      <c r="H8" t="n">
        <v>0</v>
      </c>
      <c r="I8" t="n">
        <v>5</v>
      </c>
      <c r="J8" t="n">
        <v>8</v>
      </c>
      <c r="K8" t="n">
        <v>7</v>
      </c>
      <c r="L8" t="n">
        <v>0</v>
      </c>
      <c r="M8" t="n">
        <v>0</v>
      </c>
      <c r="N8" t="n">
        <v>1</v>
      </c>
      <c r="O8" t="n">
        <v>16</v>
      </c>
      <c r="P8" t="n">
        <v>7</v>
      </c>
      <c r="Q8" t="n">
        <v>21</v>
      </c>
      <c r="R8"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8">
        <f>HYPERLINK("https://klasma.github.io/Logging_2321/artfynd/A 44517-2023 artfynd.xlsx", "A 44517-2023")</f>
        <v/>
      </c>
      <c r="T8">
        <f>HYPERLINK("https://klasma.github.io/Logging_2321/kartor/A 44517-2023 karta.png", "A 44517-2023")</f>
        <v/>
      </c>
      <c r="V8">
        <f>HYPERLINK("https://klasma.github.io/Logging_2321/klagomål/A 44517-2023 FSC-klagomål.docx", "A 44517-2023")</f>
        <v/>
      </c>
      <c r="W8">
        <f>HYPERLINK("https://klasma.github.io/Logging_2321/klagomålsmail/A 44517-2023 FSC-klagomål mail.docx", "A 44517-2023")</f>
        <v/>
      </c>
      <c r="X8">
        <f>HYPERLINK("https://klasma.github.io/Logging_2321/tillsyn/A 44517-2023 tillsynsbegäran.docx", "A 44517-2023")</f>
        <v/>
      </c>
      <c r="Y8">
        <f>HYPERLINK("https://klasma.github.io/Logging_2321/tillsynsmail/A 44517-2023 tillsynsbegäran mail.docx", "A 44517-2023")</f>
        <v/>
      </c>
    </row>
    <row r="9" ht="15" customHeight="1">
      <c r="A9" t="inlineStr">
        <is>
          <t>A 13031-2023</t>
        </is>
      </c>
      <c r="B9" s="1" t="n">
        <v>44998</v>
      </c>
      <c r="C9" s="1" t="n">
        <v>45472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45472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45472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45472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45472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45472</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45472</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45472</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45472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45472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45472</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17780-2024</t>
        </is>
      </c>
      <c r="B20" s="1" t="n">
        <v>45418</v>
      </c>
      <c r="C20" s="1" t="n">
        <v>45472</v>
      </c>
      <c r="D20" t="inlineStr">
        <is>
          <t>JÄMTLANDS LÄN</t>
        </is>
      </c>
      <c r="E20" t="inlineStr">
        <is>
          <t>ÅRE</t>
        </is>
      </c>
      <c r="G20" t="n">
        <v>11.8</v>
      </c>
      <c r="H20" t="n">
        <v>2</v>
      </c>
      <c r="I20" t="n">
        <v>6</v>
      </c>
      <c r="J20" t="n">
        <v>5</v>
      </c>
      <c r="K20" t="n">
        <v>2</v>
      </c>
      <c r="L20" t="n">
        <v>0</v>
      </c>
      <c r="M20" t="n">
        <v>0</v>
      </c>
      <c r="N20" t="n">
        <v>0</v>
      </c>
      <c r="O20" t="n">
        <v>7</v>
      </c>
      <c r="P20" t="n">
        <v>2</v>
      </c>
      <c r="Q20" t="n">
        <v>13</v>
      </c>
      <c r="R20" s="2" t="inlineStr">
        <is>
          <t>Amerikansk sönderfallslav
Skuggkraterlav
Garnlav
Skrovellav
Tretåig hackspett
Vedflikmossa
Vitgrynig nållav
Gytterlav
Korallblylav
Luddlav
Spindelblomster
Stuplav
Trådticka</t>
        </is>
      </c>
      <c r="S20">
        <f>HYPERLINK("https://klasma.github.io/Logging_2321/artfynd/A 17780-2024 artfynd.xlsx", "A 17780-2024")</f>
        <v/>
      </c>
      <c r="T20">
        <f>HYPERLINK("https://klasma.github.io/Logging_2321/kartor/A 17780-2024 karta.png", "A 17780-2024")</f>
        <v/>
      </c>
      <c r="V20">
        <f>HYPERLINK("https://klasma.github.io/Logging_2321/klagomål/A 17780-2024 FSC-klagomål.docx", "A 17780-2024")</f>
        <v/>
      </c>
      <c r="W20">
        <f>HYPERLINK("https://klasma.github.io/Logging_2321/klagomålsmail/A 17780-2024 FSC-klagomål mail.docx", "A 17780-2024")</f>
        <v/>
      </c>
      <c r="X20">
        <f>HYPERLINK("https://klasma.github.io/Logging_2321/tillsyn/A 17780-2024 tillsynsbegäran.docx", "A 17780-2024")</f>
        <v/>
      </c>
      <c r="Y20">
        <f>HYPERLINK("https://klasma.github.io/Logging_2321/tillsynsmail/A 17780-2024 tillsynsbegäran mail.docx", "A 17780-2024")</f>
        <v/>
      </c>
      <c r="Z20">
        <f>HYPERLINK("https://klasma.github.io/Logging_2321/fåglar/A 17780-2024 prioriterade fågelarter.docx", "A 17780-2024")</f>
        <v/>
      </c>
    </row>
    <row r="21" ht="15" customHeight="1">
      <c r="A21" t="inlineStr">
        <is>
          <t>A 61229-2019</t>
        </is>
      </c>
      <c r="B21" s="1" t="n">
        <v>43783</v>
      </c>
      <c r="C21" s="1" t="n">
        <v>45472</v>
      </c>
      <c r="D21" t="inlineStr">
        <is>
          <t>JÄMTLANDS LÄN</t>
        </is>
      </c>
      <c r="E21" t="inlineStr">
        <is>
          <t>ÅRE</t>
        </is>
      </c>
      <c r="G21" t="n">
        <v>42.1</v>
      </c>
      <c r="H21" t="n">
        <v>1</v>
      </c>
      <c r="I21" t="n">
        <v>2</v>
      </c>
      <c r="J21" t="n">
        <v>10</v>
      </c>
      <c r="K21" t="n">
        <v>0</v>
      </c>
      <c r="L21" t="n">
        <v>0</v>
      </c>
      <c r="M21" t="n">
        <v>0</v>
      </c>
      <c r="N21" t="n">
        <v>0</v>
      </c>
      <c r="O21" t="n">
        <v>10</v>
      </c>
      <c r="P21" t="n">
        <v>0</v>
      </c>
      <c r="Q21" t="n">
        <v>12</v>
      </c>
      <c r="R21" s="2" t="inlineStr">
        <is>
          <t>Granticka
Gränsticka
Harticka
Rödbrun blekspik
Skrovellav
Tretåig hackspett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c r="Z21">
        <f>HYPERLINK("https://klasma.github.io/Logging_2321/fåglar/A 61229-2019 prioriterade fågelarter.docx", "A 61229-2019")</f>
        <v/>
      </c>
    </row>
    <row r="22" ht="15" customHeight="1">
      <c r="A22" t="inlineStr">
        <is>
          <t>A 14188-2021</t>
        </is>
      </c>
      <c r="B22" s="1" t="n">
        <v>44278</v>
      </c>
      <c r="C22" s="1" t="n">
        <v>45472</v>
      </c>
      <c r="D22" t="inlineStr">
        <is>
          <t>JÄMTLANDS LÄN</t>
        </is>
      </c>
      <c r="E22" t="inlineStr">
        <is>
          <t>ÅRE</t>
        </is>
      </c>
      <c r="G22" t="n">
        <v>17.5</v>
      </c>
      <c r="H22" t="n">
        <v>5</v>
      </c>
      <c r="I22" t="n">
        <v>1</v>
      </c>
      <c r="J22" t="n">
        <v>9</v>
      </c>
      <c r="K22" t="n">
        <v>1</v>
      </c>
      <c r="L22" t="n">
        <v>0</v>
      </c>
      <c r="M22" t="n">
        <v>0</v>
      </c>
      <c r="N22" t="n">
        <v>0</v>
      </c>
      <c r="O22" t="n">
        <v>10</v>
      </c>
      <c r="P22" t="n">
        <v>1</v>
      </c>
      <c r="Q22" t="n">
        <v>12</v>
      </c>
      <c r="R22" s="2" t="inlineStr">
        <is>
          <t>Rynkskinn
Garnlav
Granticka
Harticka
Järpe
Spillkråka
Talltita
Tretåig hackspett
Vedtrappmossa
Vitgrynig nållav
Stuplav
Lavskrika</t>
        </is>
      </c>
      <c r="S22">
        <f>HYPERLINK("https://klasma.github.io/Logging_2321/artfynd/A 14188-2021 artfynd.xlsx", "A 14188-2021")</f>
        <v/>
      </c>
      <c r="T22">
        <f>HYPERLINK("https://klasma.github.io/Logging_2321/kartor/A 14188-2021 karta.png", "A 14188-2021")</f>
        <v/>
      </c>
      <c r="V22">
        <f>HYPERLINK("https://klasma.github.io/Logging_2321/klagomål/A 14188-2021 FSC-klagomål.docx", "A 14188-2021")</f>
        <v/>
      </c>
      <c r="W22">
        <f>HYPERLINK("https://klasma.github.io/Logging_2321/klagomålsmail/A 14188-2021 FSC-klagomål mail.docx", "A 14188-2021")</f>
        <v/>
      </c>
      <c r="X22">
        <f>HYPERLINK("https://klasma.github.io/Logging_2321/tillsyn/A 14188-2021 tillsynsbegäran.docx", "A 14188-2021")</f>
        <v/>
      </c>
      <c r="Y22">
        <f>HYPERLINK("https://klasma.github.io/Logging_2321/tillsynsmail/A 14188-2021 tillsynsbegäran mail.docx", "A 14188-2021")</f>
        <v/>
      </c>
      <c r="Z22">
        <f>HYPERLINK("https://klasma.github.io/Logging_2321/fåglar/A 14188-2021 prioriterade fågelarter.docx", "A 14188-2021")</f>
        <v/>
      </c>
    </row>
    <row r="23" ht="15" customHeight="1">
      <c r="A23" t="inlineStr">
        <is>
          <t>A 17642-2024</t>
        </is>
      </c>
      <c r="B23" s="1" t="n">
        <v>45418</v>
      </c>
      <c r="C23" s="1" t="n">
        <v>45472</v>
      </c>
      <c r="D23" t="inlineStr">
        <is>
          <t>JÄMTLANDS LÄN</t>
        </is>
      </c>
      <c r="E23" t="inlineStr">
        <is>
          <t>ÅRE</t>
        </is>
      </c>
      <c r="F23" t="inlineStr">
        <is>
          <t>Övriga Aktiebolag</t>
        </is>
      </c>
      <c r="G23" t="n">
        <v>22.1</v>
      </c>
      <c r="H23" t="n">
        <v>2</v>
      </c>
      <c r="I23" t="n">
        <v>4</v>
      </c>
      <c r="J23" t="n">
        <v>7</v>
      </c>
      <c r="K23" t="n">
        <v>0</v>
      </c>
      <c r="L23" t="n">
        <v>0</v>
      </c>
      <c r="M23" t="n">
        <v>0</v>
      </c>
      <c r="N23" t="n">
        <v>0</v>
      </c>
      <c r="O23" t="n">
        <v>7</v>
      </c>
      <c r="P23" t="n">
        <v>0</v>
      </c>
      <c r="Q23" t="n">
        <v>12</v>
      </c>
      <c r="R23" s="2" t="inlineStr">
        <is>
          <t>Granticka
Harticka
Lunglav
Rödbrun blekspik
Skrovellav
Tretåig hackspett
Vitgrynig nållav
Gytterlav
Luddlav
Mörk husmossa
Stor aspticka
Fläcknycklar</t>
        </is>
      </c>
      <c r="S23">
        <f>HYPERLINK("https://klasma.github.io/Logging_2321/artfynd/A 17642-2024 artfynd.xlsx", "A 17642-2024")</f>
        <v/>
      </c>
      <c r="T23">
        <f>HYPERLINK("https://klasma.github.io/Logging_2321/kartor/A 17642-2024 karta.png", "A 17642-2024")</f>
        <v/>
      </c>
      <c r="V23">
        <f>HYPERLINK("https://klasma.github.io/Logging_2321/klagomål/A 17642-2024 FSC-klagomål.docx", "A 17642-2024")</f>
        <v/>
      </c>
      <c r="W23">
        <f>HYPERLINK("https://klasma.github.io/Logging_2321/klagomålsmail/A 17642-2024 FSC-klagomål mail.docx", "A 17642-2024")</f>
        <v/>
      </c>
      <c r="X23">
        <f>HYPERLINK("https://klasma.github.io/Logging_2321/tillsyn/A 17642-2024 tillsynsbegäran.docx", "A 17642-2024")</f>
        <v/>
      </c>
      <c r="Y23">
        <f>HYPERLINK("https://klasma.github.io/Logging_2321/tillsynsmail/A 17642-2024 tillsynsbegäran mail.docx", "A 17642-2024")</f>
        <v/>
      </c>
      <c r="Z23">
        <f>HYPERLINK("https://klasma.github.io/Logging_2321/fåglar/A 17642-2024 prioriterade fågelarter.docx", "A 17642-2024")</f>
        <v/>
      </c>
    </row>
    <row r="24" ht="15" customHeight="1">
      <c r="A24" t="inlineStr">
        <is>
          <t>A 29081-2020</t>
        </is>
      </c>
      <c r="B24" s="1" t="n">
        <v>44002</v>
      </c>
      <c r="C24" s="1" t="n">
        <v>45472</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45472</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45472</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45472</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45472</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45472</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45472</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45472</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45472</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45472</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45472</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45472</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45472</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45472</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45472</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45472</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34633-2020</t>
        </is>
      </c>
      <c r="B40" s="1" t="n">
        <v>44034</v>
      </c>
      <c r="C40" s="1" t="n">
        <v>45472</v>
      </c>
      <c r="D40" t="inlineStr">
        <is>
          <t>JÄMTLANDS LÄN</t>
        </is>
      </c>
      <c r="E40" t="inlineStr">
        <is>
          <t>ÅRE</t>
        </is>
      </c>
      <c r="G40" t="n">
        <v>39.6</v>
      </c>
      <c r="H40" t="n">
        <v>1</v>
      </c>
      <c r="I40" t="n">
        <v>1</v>
      </c>
      <c r="J40" t="n">
        <v>5</v>
      </c>
      <c r="K40" t="n">
        <v>0</v>
      </c>
      <c r="L40" t="n">
        <v>0</v>
      </c>
      <c r="M40" t="n">
        <v>0</v>
      </c>
      <c r="N40" t="n">
        <v>0</v>
      </c>
      <c r="O40" t="n">
        <v>5</v>
      </c>
      <c r="P40" t="n">
        <v>0</v>
      </c>
      <c r="Q40" t="n">
        <v>6</v>
      </c>
      <c r="R40" s="2" t="inlineStr">
        <is>
          <t>Garnlav
Granticka
Gränsticka
Skrovellav
Tretåig hackspett
Sotlav</t>
        </is>
      </c>
      <c r="S40">
        <f>HYPERLINK("https://klasma.github.io/Logging_2321/artfynd/A 34633-2020 artfynd.xlsx", "A 34633-2020")</f>
        <v/>
      </c>
      <c r="T40">
        <f>HYPERLINK("https://klasma.github.io/Logging_2321/kartor/A 34633-2020 karta.png", "A 34633-2020")</f>
        <v/>
      </c>
      <c r="V40">
        <f>HYPERLINK("https://klasma.github.io/Logging_2321/klagomål/A 34633-2020 FSC-klagomål.docx", "A 34633-2020")</f>
        <v/>
      </c>
      <c r="W40">
        <f>HYPERLINK("https://klasma.github.io/Logging_2321/klagomålsmail/A 34633-2020 FSC-klagomål mail.docx", "A 34633-2020")</f>
        <v/>
      </c>
      <c r="X40">
        <f>HYPERLINK("https://klasma.github.io/Logging_2321/tillsyn/A 34633-2020 tillsynsbegäran.docx", "A 34633-2020")</f>
        <v/>
      </c>
      <c r="Y40">
        <f>HYPERLINK("https://klasma.github.io/Logging_2321/tillsynsmail/A 34633-2020 tillsynsbegäran mail.docx", "A 34633-2020")</f>
        <v/>
      </c>
      <c r="Z40">
        <f>HYPERLINK("https://klasma.github.io/Logging_2321/fåglar/A 34633-2020 prioriterade fågelarter.docx", "A 34633-2020")</f>
        <v/>
      </c>
    </row>
    <row r="41" ht="15" customHeight="1">
      <c r="A41" t="inlineStr">
        <is>
          <t>A 14205-2021</t>
        </is>
      </c>
      <c r="B41" s="1" t="n">
        <v>44278</v>
      </c>
      <c r="C41" s="1" t="n">
        <v>45472</v>
      </c>
      <c r="D41" t="inlineStr">
        <is>
          <t>JÄMTLANDS LÄN</t>
        </is>
      </c>
      <c r="E41" t="inlineStr">
        <is>
          <t>ÅRE</t>
        </is>
      </c>
      <c r="G41" t="n">
        <v>16.7</v>
      </c>
      <c r="H41" t="n">
        <v>1</v>
      </c>
      <c r="I41" t="n">
        <v>2</v>
      </c>
      <c r="J41" t="n">
        <v>4</v>
      </c>
      <c r="K41" t="n">
        <v>0</v>
      </c>
      <c r="L41" t="n">
        <v>0</v>
      </c>
      <c r="M41" t="n">
        <v>0</v>
      </c>
      <c r="N41" t="n">
        <v>0</v>
      </c>
      <c r="O41" t="n">
        <v>4</v>
      </c>
      <c r="P41" t="n">
        <v>0</v>
      </c>
      <c r="Q41" t="n">
        <v>6</v>
      </c>
      <c r="R41" s="2" t="inlineStr">
        <is>
          <t>Granticka
Leptoporus mollis
Skrovellav
Tretåig hackspett
Blåmossa
Stuplav</t>
        </is>
      </c>
      <c r="S41">
        <f>HYPERLINK("https://klasma.github.io/Logging_2321/artfynd/A 14205-2021 artfynd.xlsx", "A 14205-2021")</f>
        <v/>
      </c>
      <c r="T41">
        <f>HYPERLINK("https://klasma.github.io/Logging_2321/kartor/A 14205-2021 karta.png", "A 14205-2021")</f>
        <v/>
      </c>
      <c r="V41">
        <f>HYPERLINK("https://klasma.github.io/Logging_2321/klagomål/A 14205-2021 FSC-klagomål.docx", "A 14205-2021")</f>
        <v/>
      </c>
      <c r="W41">
        <f>HYPERLINK("https://klasma.github.io/Logging_2321/klagomålsmail/A 14205-2021 FSC-klagomål mail.docx", "A 14205-2021")</f>
        <v/>
      </c>
      <c r="X41">
        <f>HYPERLINK("https://klasma.github.io/Logging_2321/tillsyn/A 14205-2021 tillsynsbegäran.docx", "A 14205-2021")</f>
        <v/>
      </c>
      <c r="Y41">
        <f>HYPERLINK("https://klasma.github.io/Logging_2321/tillsynsmail/A 14205-2021 tillsynsbegäran mail.docx", "A 14205-2021")</f>
        <v/>
      </c>
      <c r="Z41">
        <f>HYPERLINK("https://klasma.github.io/Logging_2321/fåglar/A 14205-2021 prioriterade fågelarter.docx", "A 14205-2021")</f>
        <v/>
      </c>
    </row>
    <row r="42" ht="15" customHeight="1">
      <c r="A42" t="inlineStr">
        <is>
          <t>A 24201-2021</t>
        </is>
      </c>
      <c r="B42" s="1" t="n">
        <v>44336</v>
      </c>
      <c r="C42" s="1" t="n">
        <v>45472</v>
      </c>
      <c r="D42" t="inlineStr">
        <is>
          <t>JÄMTLANDS LÄN</t>
        </is>
      </c>
      <c r="E42" t="inlineStr">
        <is>
          <t>ÅRE</t>
        </is>
      </c>
      <c r="G42" t="n">
        <v>23.1</v>
      </c>
      <c r="H42" t="n">
        <v>1</v>
      </c>
      <c r="I42" t="n">
        <v>0</v>
      </c>
      <c r="J42" t="n">
        <v>6</v>
      </c>
      <c r="K42" t="n">
        <v>0</v>
      </c>
      <c r="L42" t="n">
        <v>0</v>
      </c>
      <c r="M42" t="n">
        <v>0</v>
      </c>
      <c r="N42" t="n">
        <v>0</v>
      </c>
      <c r="O42" t="n">
        <v>6</v>
      </c>
      <c r="P42" t="n">
        <v>0</v>
      </c>
      <c r="Q42" t="n">
        <v>6</v>
      </c>
      <c r="R42" s="2" t="inlineStr">
        <is>
          <t>Doftskinn
Granticka
Harticka
Lunglav
Tretåig hackspett
Ullticka</t>
        </is>
      </c>
      <c r="S42">
        <f>HYPERLINK("https://klasma.github.io/Logging_2321/artfynd/A 24201-2021 artfynd.xlsx", "A 24201-2021")</f>
        <v/>
      </c>
      <c r="T42">
        <f>HYPERLINK("https://klasma.github.io/Logging_2321/kartor/A 24201-2021 karta.png", "A 24201-2021")</f>
        <v/>
      </c>
      <c r="V42">
        <f>HYPERLINK("https://klasma.github.io/Logging_2321/klagomål/A 24201-2021 FSC-klagomål.docx", "A 24201-2021")</f>
        <v/>
      </c>
      <c r="W42">
        <f>HYPERLINK("https://klasma.github.io/Logging_2321/klagomålsmail/A 24201-2021 FSC-klagomål mail.docx", "A 24201-2021")</f>
        <v/>
      </c>
      <c r="X42">
        <f>HYPERLINK("https://klasma.github.io/Logging_2321/tillsyn/A 24201-2021 tillsynsbegäran.docx", "A 24201-2021")</f>
        <v/>
      </c>
      <c r="Y42">
        <f>HYPERLINK("https://klasma.github.io/Logging_2321/tillsynsmail/A 24201-2021 tillsynsbegäran mail.docx", "A 24201-2021")</f>
        <v/>
      </c>
      <c r="Z42">
        <f>HYPERLINK("https://klasma.github.io/Logging_2321/fåglar/A 24201-2021 prioriterade fågelarter.docx", "A 24201-2021")</f>
        <v/>
      </c>
    </row>
    <row r="43" ht="15" customHeight="1">
      <c r="A43" t="inlineStr">
        <is>
          <t>A 37494-2022</t>
        </is>
      </c>
      <c r="B43" s="1" t="n">
        <v>44809</v>
      </c>
      <c r="C43" s="1" t="n">
        <v>45472</v>
      </c>
      <c r="D43" t="inlineStr">
        <is>
          <t>JÄMTLANDS LÄN</t>
        </is>
      </c>
      <c r="E43" t="inlineStr">
        <is>
          <t>ÅRE</t>
        </is>
      </c>
      <c r="G43" t="n">
        <v>9.9</v>
      </c>
      <c r="H43" t="n">
        <v>1</v>
      </c>
      <c r="I43" t="n">
        <v>2</v>
      </c>
      <c r="J43" t="n">
        <v>3</v>
      </c>
      <c r="K43" t="n">
        <v>0</v>
      </c>
      <c r="L43" t="n">
        <v>0</v>
      </c>
      <c r="M43" t="n">
        <v>0</v>
      </c>
      <c r="N43" t="n">
        <v>0</v>
      </c>
      <c r="O43" t="n">
        <v>3</v>
      </c>
      <c r="P43" t="n">
        <v>0</v>
      </c>
      <c r="Q43" t="n">
        <v>6</v>
      </c>
      <c r="R43" s="2" t="inlineStr">
        <is>
          <t>Garnlav
Granticka
Ullticka
Norrlandslav
Ögonpyrola
Revlummer</t>
        </is>
      </c>
      <c r="S43">
        <f>HYPERLINK("https://klasma.github.io/Logging_2321/artfynd/A 37494-2022 artfynd.xlsx", "A 37494-2022")</f>
        <v/>
      </c>
      <c r="T43">
        <f>HYPERLINK("https://klasma.github.io/Logging_2321/kartor/A 37494-2022 karta.png", "A 37494-2022")</f>
        <v/>
      </c>
      <c r="V43">
        <f>HYPERLINK("https://klasma.github.io/Logging_2321/klagomål/A 37494-2022 FSC-klagomål.docx", "A 37494-2022")</f>
        <v/>
      </c>
      <c r="W43">
        <f>HYPERLINK("https://klasma.github.io/Logging_2321/klagomålsmail/A 37494-2022 FSC-klagomål mail.docx", "A 37494-2022")</f>
        <v/>
      </c>
      <c r="X43">
        <f>HYPERLINK("https://klasma.github.io/Logging_2321/tillsyn/A 37494-2022 tillsynsbegäran.docx", "A 37494-2022")</f>
        <v/>
      </c>
      <c r="Y43">
        <f>HYPERLINK("https://klasma.github.io/Logging_2321/tillsynsmail/A 37494-2022 tillsynsbegäran mail.docx", "A 37494-2022")</f>
        <v/>
      </c>
    </row>
    <row r="44" ht="15" customHeight="1">
      <c r="A44" t="inlineStr">
        <is>
          <t>A 45111-2022</t>
        </is>
      </c>
      <c r="B44" s="1" t="n">
        <v>44843</v>
      </c>
      <c r="C44" s="1" t="n">
        <v>45472</v>
      </c>
      <c r="D44" t="inlineStr">
        <is>
          <t>JÄMTLANDS LÄN</t>
        </is>
      </c>
      <c r="E44" t="inlineStr">
        <is>
          <t>ÅRE</t>
        </is>
      </c>
      <c r="G44" t="n">
        <v>1.6</v>
      </c>
      <c r="H44" t="n">
        <v>4</v>
      </c>
      <c r="I44" t="n">
        <v>2</v>
      </c>
      <c r="J44" t="n">
        <v>2</v>
      </c>
      <c r="K44" t="n">
        <v>0</v>
      </c>
      <c r="L44" t="n">
        <v>0</v>
      </c>
      <c r="M44" t="n">
        <v>0</v>
      </c>
      <c r="N44" t="n">
        <v>0</v>
      </c>
      <c r="O44" t="n">
        <v>2</v>
      </c>
      <c r="P44" t="n">
        <v>0</v>
      </c>
      <c r="Q44" t="n">
        <v>6</v>
      </c>
      <c r="R44" s="2" t="inlineStr">
        <is>
          <t>Lunglav
Skrovellav
Korallrot
Tvåblad
Fläcknycklar
Revlummer</t>
        </is>
      </c>
      <c r="S44">
        <f>HYPERLINK("https://klasma.github.io/Logging_2321/artfynd/A 45111-2022 artfynd.xlsx", "A 45111-2022")</f>
        <v/>
      </c>
      <c r="T44">
        <f>HYPERLINK("https://klasma.github.io/Logging_2321/kartor/A 45111-2022 karta.png", "A 45111-2022")</f>
        <v/>
      </c>
      <c r="V44">
        <f>HYPERLINK("https://klasma.github.io/Logging_2321/klagomål/A 45111-2022 FSC-klagomål.docx", "A 45111-2022")</f>
        <v/>
      </c>
      <c r="W44">
        <f>HYPERLINK("https://klasma.github.io/Logging_2321/klagomålsmail/A 45111-2022 FSC-klagomål mail.docx", "A 45111-2022")</f>
        <v/>
      </c>
      <c r="X44">
        <f>HYPERLINK("https://klasma.github.io/Logging_2321/tillsyn/A 45111-2022 tillsynsbegäran.docx", "A 45111-2022")</f>
        <v/>
      </c>
      <c r="Y44">
        <f>HYPERLINK("https://klasma.github.io/Logging_2321/tillsynsmail/A 45111-2022 tillsynsbegäran mail.docx", "A 45111-2022")</f>
        <v/>
      </c>
    </row>
    <row r="45" ht="15" customHeight="1">
      <c r="A45" t="inlineStr">
        <is>
          <t>A 56888-2022</t>
        </is>
      </c>
      <c r="B45" s="1" t="n">
        <v>44894</v>
      </c>
      <c r="C45" s="1" t="n">
        <v>45472</v>
      </c>
      <c r="D45" t="inlineStr">
        <is>
          <t>JÄMTLANDS LÄN</t>
        </is>
      </c>
      <c r="E45" t="inlineStr">
        <is>
          <t>ÅRE</t>
        </is>
      </c>
      <c r="F45" t="inlineStr">
        <is>
          <t>Övriga Aktiebolag</t>
        </is>
      </c>
      <c r="G45" t="n">
        <v>46.2</v>
      </c>
      <c r="H45" t="n">
        <v>2</v>
      </c>
      <c r="I45" t="n">
        <v>1</v>
      </c>
      <c r="J45" t="n">
        <v>4</v>
      </c>
      <c r="K45" t="n">
        <v>1</v>
      </c>
      <c r="L45" t="n">
        <v>0</v>
      </c>
      <c r="M45" t="n">
        <v>0</v>
      </c>
      <c r="N45" t="n">
        <v>0</v>
      </c>
      <c r="O45" t="n">
        <v>5</v>
      </c>
      <c r="P45" t="n">
        <v>1</v>
      </c>
      <c r="Q45" t="n">
        <v>6</v>
      </c>
      <c r="R45" s="2" t="inlineStr">
        <is>
          <t>Liten hornflikmossa
Garnlav
Granticka
Spillkråka
Tretåig hackspett
Korallblylav</t>
        </is>
      </c>
      <c r="S45">
        <f>HYPERLINK("https://klasma.github.io/Logging_2321/artfynd/A 56888-2022 artfynd.xlsx", "A 56888-2022")</f>
        <v/>
      </c>
      <c r="T45">
        <f>HYPERLINK("https://klasma.github.io/Logging_2321/kartor/A 56888-2022 karta.png", "A 56888-2022")</f>
        <v/>
      </c>
      <c r="V45">
        <f>HYPERLINK("https://klasma.github.io/Logging_2321/klagomål/A 56888-2022 FSC-klagomål.docx", "A 56888-2022")</f>
        <v/>
      </c>
      <c r="W45">
        <f>HYPERLINK("https://klasma.github.io/Logging_2321/klagomålsmail/A 56888-2022 FSC-klagomål mail.docx", "A 56888-2022")</f>
        <v/>
      </c>
      <c r="X45">
        <f>HYPERLINK("https://klasma.github.io/Logging_2321/tillsyn/A 56888-2022 tillsynsbegäran.docx", "A 56888-2022")</f>
        <v/>
      </c>
      <c r="Y45">
        <f>HYPERLINK("https://klasma.github.io/Logging_2321/tillsynsmail/A 56888-2022 tillsynsbegäran mail.docx", "A 56888-2022")</f>
        <v/>
      </c>
      <c r="Z45">
        <f>HYPERLINK("https://klasma.github.io/Logging_2321/fåglar/A 56888-2022 prioriterade fågelarter.docx", "A 56888-2022")</f>
        <v/>
      </c>
    </row>
    <row r="46" ht="15" customHeight="1">
      <c r="A46" t="inlineStr">
        <is>
          <t>A 3206-2023</t>
        </is>
      </c>
      <c r="B46" s="1" t="n">
        <v>44946</v>
      </c>
      <c r="C46" s="1" t="n">
        <v>45472</v>
      </c>
      <c r="D46" t="inlineStr">
        <is>
          <t>JÄMTLANDS LÄN</t>
        </is>
      </c>
      <c r="E46" t="inlineStr">
        <is>
          <t>ÅRE</t>
        </is>
      </c>
      <c r="G46" t="n">
        <v>9.5</v>
      </c>
      <c r="H46" t="n">
        <v>1</v>
      </c>
      <c r="I46" t="n">
        <v>0</v>
      </c>
      <c r="J46" t="n">
        <v>6</v>
      </c>
      <c r="K46" t="n">
        <v>0</v>
      </c>
      <c r="L46" t="n">
        <v>0</v>
      </c>
      <c r="M46" t="n">
        <v>0</v>
      </c>
      <c r="N46" t="n">
        <v>0</v>
      </c>
      <c r="O46" t="n">
        <v>6</v>
      </c>
      <c r="P46" t="n">
        <v>0</v>
      </c>
      <c r="Q46" t="n">
        <v>6</v>
      </c>
      <c r="R46" s="2" t="inlineStr">
        <is>
          <t>Garnlav
Granticka
Liten svartspik
Skrovellav
Tretåig hackspett
Vitgrynig nållav</t>
        </is>
      </c>
      <c r="S46">
        <f>HYPERLINK("https://klasma.github.io/Logging_2321/artfynd/A 3206-2023 artfynd.xlsx", "A 3206-2023")</f>
        <v/>
      </c>
      <c r="T46">
        <f>HYPERLINK("https://klasma.github.io/Logging_2321/kartor/A 3206-2023 karta.png", "A 3206-2023")</f>
        <v/>
      </c>
      <c r="V46">
        <f>HYPERLINK("https://klasma.github.io/Logging_2321/klagomål/A 3206-2023 FSC-klagomål.docx", "A 3206-2023")</f>
        <v/>
      </c>
      <c r="W46">
        <f>HYPERLINK("https://klasma.github.io/Logging_2321/klagomålsmail/A 3206-2023 FSC-klagomål mail.docx", "A 3206-2023")</f>
        <v/>
      </c>
      <c r="X46">
        <f>HYPERLINK("https://klasma.github.io/Logging_2321/tillsyn/A 3206-2023 tillsynsbegäran.docx", "A 3206-2023")</f>
        <v/>
      </c>
      <c r="Y46">
        <f>HYPERLINK("https://klasma.github.io/Logging_2321/tillsynsmail/A 3206-2023 tillsynsbegäran mail.docx", "A 3206-2023")</f>
        <v/>
      </c>
      <c r="Z46">
        <f>HYPERLINK("https://klasma.github.io/Logging_2321/fåglar/A 3206-2023 prioriterade fågelarter.docx", "A 3206-2023")</f>
        <v/>
      </c>
    </row>
    <row r="47" ht="15" customHeight="1">
      <c r="A47" t="inlineStr">
        <is>
          <t>A 47913-2023</t>
        </is>
      </c>
      <c r="B47" s="1" t="n">
        <v>45204</v>
      </c>
      <c r="C47" s="1" t="n">
        <v>45472</v>
      </c>
      <c r="D47" t="inlineStr">
        <is>
          <t>JÄMTLANDS LÄN</t>
        </is>
      </c>
      <c r="E47" t="inlineStr">
        <is>
          <t>ÅRE</t>
        </is>
      </c>
      <c r="G47" t="n">
        <v>19.4</v>
      </c>
      <c r="H47" t="n">
        <v>1</v>
      </c>
      <c r="I47" t="n">
        <v>0</v>
      </c>
      <c r="J47" t="n">
        <v>5</v>
      </c>
      <c r="K47" t="n">
        <v>1</v>
      </c>
      <c r="L47" t="n">
        <v>0</v>
      </c>
      <c r="M47" t="n">
        <v>0</v>
      </c>
      <c r="N47" t="n">
        <v>0</v>
      </c>
      <c r="O47" t="n">
        <v>6</v>
      </c>
      <c r="P47" t="n">
        <v>1</v>
      </c>
      <c r="Q47" t="n">
        <v>6</v>
      </c>
      <c r="R47" s="2" t="inlineStr">
        <is>
          <t>Rynkskinn
Granticka
Harticka
Skrovellav
Tretåig hackspett
Ullticka</t>
        </is>
      </c>
      <c r="S47">
        <f>HYPERLINK("https://klasma.github.io/Logging_2321/artfynd/A 47913-2023 artfynd.xlsx", "A 47913-2023")</f>
        <v/>
      </c>
      <c r="T47">
        <f>HYPERLINK("https://klasma.github.io/Logging_2321/kartor/A 47913-2023 karta.png", "A 47913-2023")</f>
        <v/>
      </c>
      <c r="V47">
        <f>HYPERLINK("https://klasma.github.io/Logging_2321/klagomål/A 47913-2023 FSC-klagomål.docx", "A 47913-2023")</f>
        <v/>
      </c>
      <c r="W47">
        <f>HYPERLINK("https://klasma.github.io/Logging_2321/klagomålsmail/A 47913-2023 FSC-klagomål mail.docx", "A 47913-2023")</f>
        <v/>
      </c>
      <c r="X47">
        <f>HYPERLINK("https://klasma.github.io/Logging_2321/tillsyn/A 47913-2023 tillsynsbegäran.docx", "A 47913-2023")</f>
        <v/>
      </c>
      <c r="Y47">
        <f>HYPERLINK("https://klasma.github.io/Logging_2321/tillsynsmail/A 47913-2023 tillsynsbegäran mail.docx", "A 47913-2023")</f>
        <v/>
      </c>
      <c r="Z47">
        <f>HYPERLINK("https://klasma.github.io/Logging_2321/fåglar/A 47913-2023 prioriterade fågelarter.docx", "A 47913-2023")</f>
        <v/>
      </c>
    </row>
    <row r="48" ht="15" customHeight="1">
      <c r="A48" t="inlineStr">
        <is>
          <t>A 17640-2024</t>
        </is>
      </c>
      <c r="B48" s="1" t="n">
        <v>45418</v>
      </c>
      <c r="C48" s="1" t="n">
        <v>45472</v>
      </c>
      <c r="D48" t="inlineStr">
        <is>
          <t>JÄMTLANDS LÄN</t>
        </is>
      </c>
      <c r="E48" t="inlineStr">
        <is>
          <t>ÅRE</t>
        </is>
      </c>
      <c r="G48" t="n">
        <v>17.7</v>
      </c>
      <c r="H48" t="n">
        <v>1</v>
      </c>
      <c r="I48" t="n">
        <v>3</v>
      </c>
      <c r="J48" t="n">
        <v>3</v>
      </c>
      <c r="K48" t="n">
        <v>0</v>
      </c>
      <c r="L48" t="n">
        <v>0</v>
      </c>
      <c r="M48" t="n">
        <v>0</v>
      </c>
      <c r="N48" t="n">
        <v>0</v>
      </c>
      <c r="O48" t="n">
        <v>3</v>
      </c>
      <c r="P48" t="n">
        <v>0</v>
      </c>
      <c r="Q48" t="n">
        <v>6</v>
      </c>
      <c r="R48" s="2" t="inlineStr">
        <is>
          <t>Granticka
Harticka
Tretåig hackspett
Luddlav
Skogshakmossa
Sotriska</t>
        </is>
      </c>
      <c r="S48">
        <f>HYPERLINK("https://klasma.github.io/Logging_2321/artfynd/A 17640-2024 artfynd.xlsx", "A 17640-2024")</f>
        <v/>
      </c>
      <c r="T48">
        <f>HYPERLINK("https://klasma.github.io/Logging_2321/kartor/A 17640-2024 karta.png", "A 17640-2024")</f>
        <v/>
      </c>
      <c r="V48">
        <f>HYPERLINK("https://klasma.github.io/Logging_2321/klagomål/A 17640-2024 FSC-klagomål.docx", "A 17640-2024")</f>
        <v/>
      </c>
      <c r="W48">
        <f>HYPERLINK("https://klasma.github.io/Logging_2321/klagomålsmail/A 17640-2024 FSC-klagomål mail.docx", "A 17640-2024")</f>
        <v/>
      </c>
      <c r="X48">
        <f>HYPERLINK("https://klasma.github.io/Logging_2321/tillsyn/A 17640-2024 tillsynsbegäran.docx", "A 17640-2024")</f>
        <v/>
      </c>
      <c r="Y48">
        <f>HYPERLINK("https://klasma.github.io/Logging_2321/tillsynsmail/A 17640-2024 tillsynsbegäran mail.docx", "A 17640-2024")</f>
        <v/>
      </c>
      <c r="Z48">
        <f>HYPERLINK("https://klasma.github.io/Logging_2321/fåglar/A 17640-2024 prioriterade fågelarter.docx", "A 17640-2024")</f>
        <v/>
      </c>
    </row>
    <row r="49" ht="15" customHeight="1">
      <c r="A49" t="inlineStr">
        <is>
          <t>A 25066-2019</t>
        </is>
      </c>
      <c r="B49" s="1" t="n">
        <v>43605</v>
      </c>
      <c r="C49" s="1" t="n">
        <v>45472</v>
      </c>
      <c r="D49" t="inlineStr">
        <is>
          <t>JÄMTLANDS LÄN</t>
        </is>
      </c>
      <c r="E49" t="inlineStr">
        <is>
          <t>ÅRE</t>
        </is>
      </c>
      <c r="G49" t="n">
        <v>5.4</v>
      </c>
      <c r="H49" t="n">
        <v>2</v>
      </c>
      <c r="I49" t="n">
        <v>1</v>
      </c>
      <c r="J49" t="n">
        <v>4</v>
      </c>
      <c r="K49" t="n">
        <v>0</v>
      </c>
      <c r="L49" t="n">
        <v>0</v>
      </c>
      <c r="M49" t="n">
        <v>0</v>
      </c>
      <c r="N49" t="n">
        <v>0</v>
      </c>
      <c r="O49" t="n">
        <v>4</v>
      </c>
      <c r="P49" t="n">
        <v>0</v>
      </c>
      <c r="Q49" t="n">
        <v>5</v>
      </c>
      <c r="R49" s="2" t="inlineStr">
        <is>
          <t>Garnlav
Granticka
Tretåig hackspett
Ullticka
Spindelblomster</t>
        </is>
      </c>
      <c r="S49">
        <f>HYPERLINK("https://klasma.github.io/Logging_2321/artfynd/A 25066-2019 artfynd.xlsx", "A 25066-2019")</f>
        <v/>
      </c>
      <c r="T49">
        <f>HYPERLINK("https://klasma.github.io/Logging_2321/kartor/A 25066-2019 karta.png", "A 25066-2019")</f>
        <v/>
      </c>
      <c r="V49">
        <f>HYPERLINK("https://klasma.github.io/Logging_2321/klagomål/A 25066-2019 FSC-klagomål.docx", "A 25066-2019")</f>
        <v/>
      </c>
      <c r="W49">
        <f>HYPERLINK("https://klasma.github.io/Logging_2321/klagomålsmail/A 25066-2019 FSC-klagomål mail.docx", "A 25066-2019")</f>
        <v/>
      </c>
      <c r="X49">
        <f>HYPERLINK("https://klasma.github.io/Logging_2321/tillsyn/A 25066-2019 tillsynsbegäran.docx", "A 25066-2019")</f>
        <v/>
      </c>
      <c r="Y49">
        <f>HYPERLINK("https://klasma.github.io/Logging_2321/tillsynsmail/A 25066-2019 tillsynsbegäran mail.docx", "A 25066-2019")</f>
        <v/>
      </c>
      <c r="Z49">
        <f>HYPERLINK("https://klasma.github.io/Logging_2321/fåglar/A 25066-2019 prioriterade fågelarter.docx", "A 25066-2019")</f>
        <v/>
      </c>
    </row>
    <row r="50" ht="15" customHeight="1">
      <c r="A50" t="inlineStr">
        <is>
          <t>A 42629-2020</t>
        </is>
      </c>
      <c r="B50" s="1" t="n">
        <v>44077</v>
      </c>
      <c r="C50" s="1" t="n">
        <v>45472</v>
      </c>
      <c r="D50" t="inlineStr">
        <is>
          <t>JÄMTLANDS LÄN</t>
        </is>
      </c>
      <c r="E50" t="inlineStr">
        <is>
          <t>ÅRE</t>
        </is>
      </c>
      <c r="G50" t="n">
        <v>6.3</v>
      </c>
      <c r="H50" t="n">
        <v>1</v>
      </c>
      <c r="I50" t="n">
        <v>0</v>
      </c>
      <c r="J50" t="n">
        <v>5</v>
      </c>
      <c r="K50" t="n">
        <v>0</v>
      </c>
      <c r="L50" t="n">
        <v>0</v>
      </c>
      <c r="M50" t="n">
        <v>0</v>
      </c>
      <c r="N50" t="n">
        <v>0</v>
      </c>
      <c r="O50" t="n">
        <v>5</v>
      </c>
      <c r="P50" t="n">
        <v>0</v>
      </c>
      <c r="Q50" t="n">
        <v>5</v>
      </c>
      <c r="R50" s="2" t="inlineStr">
        <is>
          <t>Garnlav
Granticka
Knottrig blåslav
Tretåig hackspett
Ullticka</t>
        </is>
      </c>
      <c r="S50">
        <f>HYPERLINK("https://klasma.github.io/Logging_2321/artfynd/A 42629-2020 artfynd.xlsx", "A 42629-2020")</f>
        <v/>
      </c>
      <c r="T50">
        <f>HYPERLINK("https://klasma.github.io/Logging_2321/kartor/A 42629-2020 karta.png", "A 42629-2020")</f>
        <v/>
      </c>
      <c r="V50">
        <f>HYPERLINK("https://klasma.github.io/Logging_2321/klagomål/A 42629-2020 FSC-klagomål.docx", "A 42629-2020")</f>
        <v/>
      </c>
      <c r="W50">
        <f>HYPERLINK("https://klasma.github.io/Logging_2321/klagomålsmail/A 42629-2020 FSC-klagomål mail.docx", "A 42629-2020")</f>
        <v/>
      </c>
      <c r="X50">
        <f>HYPERLINK("https://klasma.github.io/Logging_2321/tillsyn/A 42629-2020 tillsynsbegäran.docx", "A 42629-2020")</f>
        <v/>
      </c>
      <c r="Y50">
        <f>HYPERLINK("https://klasma.github.io/Logging_2321/tillsynsmail/A 42629-2020 tillsynsbegäran mail.docx", "A 42629-2020")</f>
        <v/>
      </c>
      <c r="Z50">
        <f>HYPERLINK("https://klasma.github.io/Logging_2321/fåglar/A 42629-2020 prioriterade fågelarter.docx", "A 42629-2020")</f>
        <v/>
      </c>
    </row>
    <row r="51" ht="15" customHeight="1">
      <c r="A51" t="inlineStr">
        <is>
          <t>A 59380-2020</t>
        </is>
      </c>
      <c r="B51" s="1" t="n">
        <v>44145</v>
      </c>
      <c r="C51" s="1" t="n">
        <v>45472</v>
      </c>
      <c r="D51" t="inlineStr">
        <is>
          <t>JÄMTLANDS LÄN</t>
        </is>
      </c>
      <c r="E51" t="inlineStr">
        <is>
          <t>ÅRE</t>
        </is>
      </c>
      <c r="G51" t="n">
        <v>10.8</v>
      </c>
      <c r="H51" t="n">
        <v>0</v>
      </c>
      <c r="I51" t="n">
        <v>0</v>
      </c>
      <c r="J51" t="n">
        <v>5</v>
      </c>
      <c r="K51" t="n">
        <v>0</v>
      </c>
      <c r="L51" t="n">
        <v>0</v>
      </c>
      <c r="M51" t="n">
        <v>0</v>
      </c>
      <c r="N51" t="n">
        <v>0</v>
      </c>
      <c r="O51" t="n">
        <v>5</v>
      </c>
      <c r="P51" t="n">
        <v>0</v>
      </c>
      <c r="Q51" t="n">
        <v>5</v>
      </c>
      <c r="R51" s="2" t="inlineStr">
        <is>
          <t>Gammelgransskål
Gränsticka
Harticka
Lunglav
Skrovellav</t>
        </is>
      </c>
      <c r="S51">
        <f>HYPERLINK("https://klasma.github.io/Logging_2321/artfynd/A 59380-2020 artfynd.xlsx", "A 59380-2020")</f>
        <v/>
      </c>
      <c r="T51">
        <f>HYPERLINK("https://klasma.github.io/Logging_2321/kartor/A 59380-2020 karta.png", "A 59380-2020")</f>
        <v/>
      </c>
      <c r="V51">
        <f>HYPERLINK("https://klasma.github.io/Logging_2321/klagomål/A 59380-2020 FSC-klagomål.docx", "A 59380-2020")</f>
        <v/>
      </c>
      <c r="W51">
        <f>HYPERLINK("https://klasma.github.io/Logging_2321/klagomålsmail/A 59380-2020 FSC-klagomål mail.docx", "A 59380-2020")</f>
        <v/>
      </c>
      <c r="X51">
        <f>HYPERLINK("https://klasma.github.io/Logging_2321/tillsyn/A 59380-2020 tillsynsbegäran.docx", "A 59380-2020")</f>
        <v/>
      </c>
      <c r="Y51">
        <f>HYPERLINK("https://klasma.github.io/Logging_2321/tillsynsmail/A 59380-2020 tillsynsbegäran mail.docx", "A 59380-2020")</f>
        <v/>
      </c>
    </row>
    <row r="52" ht="15" customHeight="1">
      <c r="A52" t="inlineStr">
        <is>
          <t>A 12988-2021</t>
        </is>
      </c>
      <c r="B52" s="1" t="n">
        <v>44271</v>
      </c>
      <c r="C52" s="1" t="n">
        <v>45472</v>
      </c>
      <c r="D52" t="inlineStr">
        <is>
          <t>JÄMTLANDS LÄN</t>
        </is>
      </c>
      <c r="E52" t="inlineStr">
        <is>
          <t>ÅRE</t>
        </is>
      </c>
      <c r="G52" t="n">
        <v>25.9</v>
      </c>
      <c r="H52" t="n">
        <v>1</v>
      </c>
      <c r="I52" t="n">
        <v>2</v>
      </c>
      <c r="J52" t="n">
        <v>3</v>
      </c>
      <c r="K52" t="n">
        <v>0</v>
      </c>
      <c r="L52" t="n">
        <v>0</v>
      </c>
      <c r="M52" t="n">
        <v>0</v>
      </c>
      <c r="N52" t="n">
        <v>0</v>
      </c>
      <c r="O52" t="n">
        <v>3</v>
      </c>
      <c r="P52" t="n">
        <v>0</v>
      </c>
      <c r="Q52" t="n">
        <v>5</v>
      </c>
      <c r="R52" s="2" t="inlineStr">
        <is>
          <t>Granticka
Skrovellav
Ullticka
Spindelblomster
Stuplav</t>
        </is>
      </c>
      <c r="S52">
        <f>HYPERLINK("https://klasma.github.io/Logging_2321/artfynd/A 12988-2021 artfynd.xlsx", "A 12988-2021")</f>
        <v/>
      </c>
      <c r="T52">
        <f>HYPERLINK("https://klasma.github.io/Logging_2321/kartor/A 12988-2021 karta.png", "A 12988-2021")</f>
        <v/>
      </c>
      <c r="V52">
        <f>HYPERLINK("https://klasma.github.io/Logging_2321/klagomål/A 12988-2021 FSC-klagomål.docx", "A 12988-2021")</f>
        <v/>
      </c>
      <c r="W52">
        <f>HYPERLINK("https://klasma.github.io/Logging_2321/klagomålsmail/A 12988-2021 FSC-klagomål mail.docx", "A 12988-2021")</f>
        <v/>
      </c>
      <c r="X52">
        <f>HYPERLINK("https://klasma.github.io/Logging_2321/tillsyn/A 12988-2021 tillsynsbegäran.docx", "A 12988-2021")</f>
        <v/>
      </c>
      <c r="Y52">
        <f>HYPERLINK("https://klasma.github.io/Logging_2321/tillsynsmail/A 12988-2021 tillsynsbegäran mail.docx", "A 12988-2021")</f>
        <v/>
      </c>
    </row>
    <row r="53" ht="15" customHeight="1">
      <c r="A53" t="inlineStr">
        <is>
          <t>A 14195-2021</t>
        </is>
      </c>
      <c r="B53" s="1" t="n">
        <v>44278</v>
      </c>
      <c r="C53" s="1" t="n">
        <v>45472</v>
      </c>
      <c r="D53" t="inlineStr">
        <is>
          <t>JÄMTLANDS LÄN</t>
        </is>
      </c>
      <c r="E53" t="inlineStr">
        <is>
          <t>ÅRE</t>
        </is>
      </c>
      <c r="G53" t="n">
        <v>23.1</v>
      </c>
      <c r="H53" t="n">
        <v>2</v>
      </c>
      <c r="I53" t="n">
        <v>0</v>
      </c>
      <c r="J53" t="n">
        <v>5</v>
      </c>
      <c r="K53" t="n">
        <v>0</v>
      </c>
      <c r="L53" t="n">
        <v>0</v>
      </c>
      <c r="M53" t="n">
        <v>0</v>
      </c>
      <c r="N53" t="n">
        <v>0</v>
      </c>
      <c r="O53" t="n">
        <v>5</v>
      </c>
      <c r="P53" t="n">
        <v>0</v>
      </c>
      <c r="Q53" t="n">
        <v>5</v>
      </c>
      <c r="R53" s="2" t="inlineStr">
        <is>
          <t>Garnlav
Granticka
Knottrig blåslav
Spillkråka
Tretåig hackspett</t>
        </is>
      </c>
      <c r="S53">
        <f>HYPERLINK("https://klasma.github.io/Logging_2321/artfynd/A 14195-2021 artfynd.xlsx", "A 14195-2021")</f>
        <v/>
      </c>
      <c r="T53">
        <f>HYPERLINK("https://klasma.github.io/Logging_2321/kartor/A 14195-2021 karta.png", "A 14195-2021")</f>
        <v/>
      </c>
      <c r="V53">
        <f>HYPERLINK("https://klasma.github.io/Logging_2321/klagomål/A 14195-2021 FSC-klagomål.docx", "A 14195-2021")</f>
        <v/>
      </c>
      <c r="W53">
        <f>HYPERLINK("https://klasma.github.io/Logging_2321/klagomålsmail/A 14195-2021 FSC-klagomål mail.docx", "A 14195-2021")</f>
        <v/>
      </c>
      <c r="X53">
        <f>HYPERLINK("https://klasma.github.io/Logging_2321/tillsyn/A 14195-2021 tillsynsbegäran.docx", "A 14195-2021")</f>
        <v/>
      </c>
      <c r="Y53">
        <f>HYPERLINK("https://klasma.github.io/Logging_2321/tillsynsmail/A 14195-2021 tillsynsbegäran mail.docx", "A 14195-2021")</f>
        <v/>
      </c>
      <c r="Z53">
        <f>HYPERLINK("https://klasma.github.io/Logging_2321/fåglar/A 14195-2021 prioriterade fågelarter.docx", "A 14195-2021")</f>
        <v/>
      </c>
    </row>
    <row r="54" ht="15" customHeight="1">
      <c r="A54" t="inlineStr">
        <is>
          <t>A 20644-2021</t>
        </is>
      </c>
      <c r="B54" s="1" t="n">
        <v>44316</v>
      </c>
      <c r="C54" s="1" t="n">
        <v>45472</v>
      </c>
      <c r="D54" t="inlineStr">
        <is>
          <t>JÄMTLANDS LÄN</t>
        </is>
      </c>
      <c r="E54" t="inlineStr">
        <is>
          <t>ÅRE</t>
        </is>
      </c>
      <c r="G54" t="n">
        <v>42.9</v>
      </c>
      <c r="H54" t="n">
        <v>2</v>
      </c>
      <c r="I54" t="n">
        <v>1</v>
      </c>
      <c r="J54" t="n">
        <v>4</v>
      </c>
      <c r="K54" t="n">
        <v>0</v>
      </c>
      <c r="L54" t="n">
        <v>0</v>
      </c>
      <c r="M54" t="n">
        <v>0</v>
      </c>
      <c r="N54" t="n">
        <v>0</v>
      </c>
      <c r="O54" t="n">
        <v>4</v>
      </c>
      <c r="P54" t="n">
        <v>0</v>
      </c>
      <c r="Q54" t="n">
        <v>5</v>
      </c>
      <c r="R54" s="2" t="inlineStr">
        <is>
          <t>Doftskinn
Garnlav
Månlåsbräken
Tretåig hackspett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58238-2021</t>
        </is>
      </c>
      <c r="B55" s="1" t="n">
        <v>44487</v>
      </c>
      <c r="C55" s="1" t="n">
        <v>45472</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45472</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32065-2022</t>
        </is>
      </c>
      <c r="B57" s="1" t="n">
        <v>44778</v>
      </c>
      <c r="C57" s="1" t="n">
        <v>45472</v>
      </c>
      <c r="D57" t="inlineStr">
        <is>
          <t>JÄMTLANDS LÄN</t>
        </is>
      </c>
      <c r="E57" t="inlineStr">
        <is>
          <t>ÅRE</t>
        </is>
      </c>
      <c r="G57" t="n">
        <v>19.2</v>
      </c>
      <c r="H57" t="n">
        <v>1</v>
      </c>
      <c r="I57" t="n">
        <v>2</v>
      </c>
      <c r="J57" t="n">
        <v>3</v>
      </c>
      <c r="K57" t="n">
        <v>0</v>
      </c>
      <c r="L57" t="n">
        <v>0</v>
      </c>
      <c r="M57" t="n">
        <v>0</v>
      </c>
      <c r="N57" t="n">
        <v>0</v>
      </c>
      <c r="O57" t="n">
        <v>3</v>
      </c>
      <c r="P57" t="n">
        <v>0</v>
      </c>
      <c r="Q57" t="n">
        <v>5</v>
      </c>
      <c r="R57" s="2" t="inlineStr">
        <is>
          <t>Granticka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45114-2022</t>
        </is>
      </c>
      <c r="B58" s="1" t="n">
        <v>44843</v>
      </c>
      <c r="C58" s="1" t="n">
        <v>45472</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54448-2022</t>
        </is>
      </c>
      <c r="B59" s="1" t="n">
        <v>44882</v>
      </c>
      <c r="C59" s="1" t="n">
        <v>45472</v>
      </c>
      <c r="D59" t="inlineStr">
        <is>
          <t>JÄMTLANDS LÄN</t>
        </is>
      </c>
      <c r="E59" t="inlineStr">
        <is>
          <t>ÅRE</t>
        </is>
      </c>
      <c r="G59" t="n">
        <v>7.4</v>
      </c>
      <c r="H59" t="n">
        <v>0</v>
      </c>
      <c r="I59" t="n">
        <v>0</v>
      </c>
      <c r="J59" t="n">
        <v>5</v>
      </c>
      <c r="K59" t="n">
        <v>0</v>
      </c>
      <c r="L59" t="n">
        <v>0</v>
      </c>
      <c r="M59" t="n">
        <v>0</v>
      </c>
      <c r="N59" t="n">
        <v>0</v>
      </c>
      <c r="O59" t="n">
        <v>5</v>
      </c>
      <c r="P59" t="n">
        <v>0</v>
      </c>
      <c r="Q59" t="n">
        <v>5</v>
      </c>
      <c r="R59" s="2" t="inlineStr">
        <is>
          <t>Garnlav
Granticka
Gränsticka
Rosenticka
Ullticka</t>
        </is>
      </c>
      <c r="S59">
        <f>HYPERLINK("https://klasma.github.io/Logging_2321/artfynd/A 54448-2022 artfynd.xlsx", "A 54448-2022")</f>
        <v/>
      </c>
      <c r="T59">
        <f>HYPERLINK("https://klasma.github.io/Logging_2321/kartor/A 54448-2022 karta.png", "A 54448-2022")</f>
        <v/>
      </c>
      <c r="V59">
        <f>HYPERLINK("https://klasma.github.io/Logging_2321/klagomål/A 54448-2022 FSC-klagomål.docx", "A 54448-2022")</f>
        <v/>
      </c>
      <c r="W59">
        <f>HYPERLINK("https://klasma.github.io/Logging_2321/klagomålsmail/A 54448-2022 FSC-klagomål mail.docx", "A 54448-2022")</f>
        <v/>
      </c>
      <c r="X59">
        <f>HYPERLINK("https://klasma.github.io/Logging_2321/tillsyn/A 54448-2022 tillsynsbegäran.docx", "A 54448-2022")</f>
        <v/>
      </c>
      <c r="Y59">
        <f>HYPERLINK("https://klasma.github.io/Logging_2321/tillsynsmail/A 54448-2022 tillsynsbegäran mail.docx", "A 54448-2022")</f>
        <v/>
      </c>
    </row>
    <row r="60" ht="15" customHeight="1">
      <c r="A60" t="inlineStr">
        <is>
          <t>A 8515-2023</t>
        </is>
      </c>
      <c r="B60" s="1" t="n">
        <v>44977</v>
      </c>
      <c r="C60" s="1" t="n">
        <v>45472</v>
      </c>
      <c r="D60" t="inlineStr">
        <is>
          <t>JÄMTLANDS LÄN</t>
        </is>
      </c>
      <c r="E60" t="inlineStr">
        <is>
          <t>ÅRE</t>
        </is>
      </c>
      <c r="F60" t="inlineStr">
        <is>
          <t>Övriga Aktiebolag</t>
        </is>
      </c>
      <c r="G60" t="n">
        <v>34.2</v>
      </c>
      <c r="H60" t="n">
        <v>1</v>
      </c>
      <c r="I60" t="n">
        <v>2</v>
      </c>
      <c r="J60" t="n">
        <v>3</v>
      </c>
      <c r="K60" t="n">
        <v>0</v>
      </c>
      <c r="L60" t="n">
        <v>0</v>
      </c>
      <c r="M60" t="n">
        <v>0</v>
      </c>
      <c r="N60" t="n">
        <v>0</v>
      </c>
      <c r="O60" t="n">
        <v>3</v>
      </c>
      <c r="P60" t="n">
        <v>0</v>
      </c>
      <c r="Q60" t="n">
        <v>5</v>
      </c>
      <c r="R60" s="2" t="inlineStr">
        <is>
          <t>Gränsticka
Skrovellav
Tretåig hackspett
Skinnlav
Stuplav</t>
        </is>
      </c>
      <c r="S60">
        <f>HYPERLINK("https://klasma.github.io/Logging_2321/artfynd/A 8515-2023 artfynd.xlsx", "A 8515-2023")</f>
        <v/>
      </c>
      <c r="T60">
        <f>HYPERLINK("https://klasma.github.io/Logging_2321/kartor/A 8515-2023 karta.png", "A 8515-2023")</f>
        <v/>
      </c>
      <c r="V60">
        <f>HYPERLINK("https://klasma.github.io/Logging_2321/klagomål/A 8515-2023 FSC-klagomål.docx", "A 8515-2023")</f>
        <v/>
      </c>
      <c r="W60">
        <f>HYPERLINK("https://klasma.github.io/Logging_2321/klagomålsmail/A 8515-2023 FSC-klagomål mail.docx", "A 8515-2023")</f>
        <v/>
      </c>
      <c r="X60">
        <f>HYPERLINK("https://klasma.github.io/Logging_2321/tillsyn/A 8515-2023 tillsynsbegäran.docx", "A 8515-2023")</f>
        <v/>
      </c>
      <c r="Y60">
        <f>HYPERLINK("https://klasma.github.io/Logging_2321/tillsynsmail/A 8515-2023 tillsynsbegäran mail.docx", "A 8515-2023")</f>
        <v/>
      </c>
      <c r="Z60">
        <f>HYPERLINK("https://klasma.github.io/Logging_2321/fåglar/A 8515-2023 prioriterade fågelarter.docx", "A 8515-2023")</f>
        <v/>
      </c>
    </row>
    <row r="61" ht="15" customHeight="1">
      <c r="A61" t="inlineStr">
        <is>
          <t>A 45828-2023</t>
        </is>
      </c>
      <c r="B61" s="1" t="n">
        <v>45195</v>
      </c>
      <c r="C61" s="1" t="n">
        <v>45472</v>
      </c>
      <c r="D61" t="inlineStr">
        <is>
          <t>JÄMTLANDS LÄN</t>
        </is>
      </c>
      <c r="E61" t="inlineStr">
        <is>
          <t>ÅRE</t>
        </is>
      </c>
      <c r="G61" t="n">
        <v>10.9</v>
      </c>
      <c r="H61" t="n">
        <v>3</v>
      </c>
      <c r="I61" t="n">
        <v>0</v>
      </c>
      <c r="J61" t="n">
        <v>4</v>
      </c>
      <c r="K61" t="n">
        <v>0</v>
      </c>
      <c r="L61" t="n">
        <v>0</v>
      </c>
      <c r="M61" t="n">
        <v>0</v>
      </c>
      <c r="N61" t="n">
        <v>0</v>
      </c>
      <c r="O61" t="n">
        <v>4</v>
      </c>
      <c r="P61" t="n">
        <v>0</v>
      </c>
      <c r="Q61" t="n">
        <v>5</v>
      </c>
      <c r="R61" s="2" t="inlineStr">
        <is>
          <t>Granticka
Harticka
Spillkråka
Tretåig hackspett
Lavskrika</t>
        </is>
      </c>
      <c r="S61">
        <f>HYPERLINK("https://klasma.github.io/Logging_2321/artfynd/A 45828-2023 artfynd.xlsx", "A 45828-2023")</f>
        <v/>
      </c>
      <c r="T61">
        <f>HYPERLINK("https://klasma.github.io/Logging_2321/kartor/A 45828-2023 karta.png", "A 45828-2023")</f>
        <v/>
      </c>
      <c r="V61">
        <f>HYPERLINK("https://klasma.github.io/Logging_2321/klagomål/A 45828-2023 FSC-klagomål.docx", "A 45828-2023")</f>
        <v/>
      </c>
      <c r="W61">
        <f>HYPERLINK("https://klasma.github.io/Logging_2321/klagomålsmail/A 45828-2023 FSC-klagomål mail.docx", "A 45828-2023")</f>
        <v/>
      </c>
      <c r="X61">
        <f>HYPERLINK("https://klasma.github.io/Logging_2321/tillsyn/A 45828-2023 tillsynsbegäran.docx", "A 45828-2023")</f>
        <v/>
      </c>
      <c r="Y61">
        <f>HYPERLINK("https://klasma.github.io/Logging_2321/tillsynsmail/A 45828-2023 tillsynsbegäran mail.docx", "A 45828-2023")</f>
        <v/>
      </c>
      <c r="Z61">
        <f>HYPERLINK("https://klasma.github.io/Logging_2321/fåglar/A 45828-2023 prioriterade fågelarter.docx", "A 45828-2023")</f>
        <v/>
      </c>
    </row>
    <row r="62" ht="15" customHeight="1">
      <c r="A62" t="inlineStr">
        <is>
          <t>A 10491-2024</t>
        </is>
      </c>
      <c r="B62" s="1" t="n">
        <v>45366</v>
      </c>
      <c r="C62" s="1" t="n">
        <v>45472</v>
      </c>
      <c r="D62" t="inlineStr">
        <is>
          <t>JÄMTLANDS LÄN</t>
        </is>
      </c>
      <c r="E62" t="inlineStr">
        <is>
          <t>ÅRE</t>
        </is>
      </c>
      <c r="G62" t="n">
        <v>13.5</v>
      </c>
      <c r="H62" t="n">
        <v>0</v>
      </c>
      <c r="I62" t="n">
        <v>0</v>
      </c>
      <c r="J62" t="n">
        <v>4</v>
      </c>
      <c r="K62" t="n">
        <v>1</v>
      </c>
      <c r="L62" t="n">
        <v>0</v>
      </c>
      <c r="M62" t="n">
        <v>0</v>
      </c>
      <c r="N62" t="n">
        <v>0</v>
      </c>
      <c r="O62" t="n">
        <v>5</v>
      </c>
      <c r="P62" t="n">
        <v>1</v>
      </c>
      <c r="Q62" t="n">
        <v>5</v>
      </c>
      <c r="R62" s="2" t="inlineStr">
        <is>
          <t>Ulltickeporing
Brunpudrad nållav
Harticka
Rödbrun blekspik
Ullticka</t>
        </is>
      </c>
      <c r="S62">
        <f>HYPERLINK("https://klasma.github.io/Logging_2321/artfynd/A 10491-2024 artfynd.xlsx", "A 10491-2024")</f>
        <v/>
      </c>
      <c r="T62">
        <f>HYPERLINK("https://klasma.github.io/Logging_2321/kartor/A 10491-2024 karta.png", "A 10491-2024")</f>
        <v/>
      </c>
      <c r="V62">
        <f>HYPERLINK("https://klasma.github.io/Logging_2321/klagomål/A 10491-2024 FSC-klagomål.docx", "A 10491-2024")</f>
        <v/>
      </c>
      <c r="W62">
        <f>HYPERLINK("https://klasma.github.io/Logging_2321/klagomålsmail/A 10491-2024 FSC-klagomål mail.docx", "A 10491-2024")</f>
        <v/>
      </c>
      <c r="X62">
        <f>HYPERLINK("https://klasma.github.io/Logging_2321/tillsyn/A 10491-2024 tillsynsbegäran.docx", "A 10491-2024")</f>
        <v/>
      </c>
      <c r="Y62">
        <f>HYPERLINK("https://klasma.github.io/Logging_2321/tillsynsmail/A 10491-2024 tillsynsbegäran mail.docx", "A 10491-2024")</f>
        <v/>
      </c>
    </row>
    <row r="63" ht="15" customHeight="1">
      <c r="A63" t="inlineStr">
        <is>
          <t>A 16920-2024</t>
        </is>
      </c>
      <c r="B63" s="1" t="n">
        <v>45411</v>
      </c>
      <c r="C63" s="1" t="n">
        <v>45472</v>
      </c>
      <c r="D63" t="inlineStr">
        <is>
          <t>JÄMTLANDS LÄN</t>
        </is>
      </c>
      <c r="E63" t="inlineStr">
        <is>
          <t>ÅRE</t>
        </is>
      </c>
      <c r="G63" t="n">
        <v>12.1</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HYPERLINK("https://klasma.github.io/Logging_2321/artfynd/A 16920-2024 artfynd.xlsx", "A 16920-2024")</f>
        <v/>
      </c>
      <c r="T63">
        <f>HYPERLINK("https://klasma.github.io/Logging_2321/kartor/A 16920-2024 karta.png", "A 16920-2024")</f>
        <v/>
      </c>
      <c r="V63">
        <f>HYPERLINK("https://klasma.github.io/Logging_2321/klagomål/A 16920-2024 FSC-klagomål.docx", "A 16920-2024")</f>
        <v/>
      </c>
      <c r="W63">
        <f>HYPERLINK("https://klasma.github.io/Logging_2321/klagomålsmail/A 16920-2024 FSC-klagomål mail.docx", "A 16920-2024")</f>
        <v/>
      </c>
      <c r="X63">
        <f>HYPERLINK("https://klasma.github.io/Logging_2321/tillsyn/A 16920-2024 tillsynsbegäran.docx", "A 16920-2024")</f>
        <v/>
      </c>
      <c r="Y63">
        <f>HYPERLINK("https://klasma.github.io/Logging_2321/tillsynsmail/A 16920-2024 tillsynsbegäran mail.docx", "A 16920-2024")</f>
        <v/>
      </c>
      <c r="Z63">
        <f>HYPERLINK("https://klasma.github.io/Logging_2321/fåglar/A 16920-2024 prioriterade fågelarter.docx", "A 16920-2024")</f>
        <v/>
      </c>
    </row>
    <row r="64" ht="15" customHeight="1">
      <c r="A64" t="inlineStr">
        <is>
          <t>A 17855-2024</t>
        </is>
      </c>
      <c r="B64" s="1" t="n">
        <v>45419</v>
      </c>
      <c r="C64" s="1" t="n">
        <v>45472</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18106-2024</t>
        </is>
      </c>
      <c r="B65" s="1" t="n">
        <v>45420</v>
      </c>
      <c r="C65" s="1" t="n">
        <v>45472</v>
      </c>
      <c r="D65" t="inlineStr">
        <is>
          <t>JÄMTLANDS LÄN</t>
        </is>
      </c>
      <c r="E65" t="inlineStr">
        <is>
          <t>ÅRE</t>
        </is>
      </c>
      <c r="F65" t="inlineStr">
        <is>
          <t>Övriga Aktiebolag</t>
        </is>
      </c>
      <c r="G65" t="n">
        <v>19</v>
      </c>
      <c r="H65" t="n">
        <v>1</v>
      </c>
      <c r="I65" t="n">
        <v>0</v>
      </c>
      <c r="J65" t="n">
        <v>5</v>
      </c>
      <c r="K65" t="n">
        <v>0</v>
      </c>
      <c r="L65" t="n">
        <v>0</v>
      </c>
      <c r="M65" t="n">
        <v>0</v>
      </c>
      <c r="N65" t="n">
        <v>0</v>
      </c>
      <c r="O65" t="n">
        <v>5</v>
      </c>
      <c r="P65" t="n">
        <v>0</v>
      </c>
      <c r="Q65" t="n">
        <v>5</v>
      </c>
      <c r="R65" s="2" t="inlineStr">
        <is>
          <t>Doftskinn
Granticka
Gränsticka
Tretåig hackspett
Ullticka</t>
        </is>
      </c>
      <c r="S65">
        <f>HYPERLINK("https://klasma.github.io/Logging_2321/artfynd/A 18106-2024 artfynd.xlsx", "A 18106-2024")</f>
        <v/>
      </c>
      <c r="T65">
        <f>HYPERLINK("https://klasma.github.io/Logging_2321/kartor/A 18106-2024 karta.png", "A 18106-2024")</f>
        <v/>
      </c>
      <c r="V65">
        <f>HYPERLINK("https://klasma.github.io/Logging_2321/klagomål/A 18106-2024 FSC-klagomål.docx", "A 18106-2024")</f>
        <v/>
      </c>
      <c r="W65">
        <f>HYPERLINK("https://klasma.github.io/Logging_2321/klagomålsmail/A 18106-2024 FSC-klagomål mail.docx", "A 18106-2024")</f>
        <v/>
      </c>
      <c r="X65">
        <f>HYPERLINK("https://klasma.github.io/Logging_2321/tillsyn/A 18106-2024 tillsynsbegäran.docx", "A 18106-2024")</f>
        <v/>
      </c>
      <c r="Y65">
        <f>HYPERLINK("https://klasma.github.io/Logging_2321/tillsynsmail/A 18106-2024 tillsynsbegäran mail.docx", "A 18106-2024")</f>
        <v/>
      </c>
      <c r="Z65">
        <f>HYPERLINK("https://klasma.github.io/Logging_2321/fåglar/A 18106-2024 prioriterade fågelarter.docx", "A 18106-2024")</f>
        <v/>
      </c>
    </row>
    <row r="66" ht="15" customHeight="1">
      <c r="A66" t="inlineStr">
        <is>
          <t>A 20039-2024</t>
        </is>
      </c>
      <c r="B66" s="1" t="n">
        <v>45434</v>
      </c>
      <c r="C66" s="1" t="n">
        <v>45472</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32051-2019</t>
        </is>
      </c>
      <c r="B67" s="1" t="n">
        <v>43643</v>
      </c>
      <c r="C67" s="1" t="n">
        <v>45472</v>
      </c>
      <c r="D67" t="inlineStr">
        <is>
          <t>JÄMTLANDS LÄN</t>
        </is>
      </c>
      <c r="E67" t="inlineStr">
        <is>
          <t>ÅRE</t>
        </is>
      </c>
      <c r="G67" t="n">
        <v>7.1</v>
      </c>
      <c r="H67" t="n">
        <v>2</v>
      </c>
      <c r="I67" t="n">
        <v>2</v>
      </c>
      <c r="J67" t="n">
        <v>1</v>
      </c>
      <c r="K67" t="n">
        <v>0</v>
      </c>
      <c r="L67" t="n">
        <v>0</v>
      </c>
      <c r="M67" t="n">
        <v>0</v>
      </c>
      <c r="N67" t="n">
        <v>0</v>
      </c>
      <c r="O67" t="n">
        <v>1</v>
      </c>
      <c r="P67" t="n">
        <v>0</v>
      </c>
      <c r="Q67" t="n">
        <v>4</v>
      </c>
      <c r="R67" s="2" t="inlineStr">
        <is>
          <t>Lunglav
Guckusko
Tibast
Blåsippa</t>
        </is>
      </c>
      <c r="S67">
        <f>HYPERLINK("https://klasma.github.io/Logging_2321/artfynd/A 32051-2019 artfynd.xlsx", "A 32051-2019")</f>
        <v/>
      </c>
      <c r="T67">
        <f>HYPERLINK("https://klasma.github.io/Logging_2321/kartor/A 32051-2019 karta.png", "A 32051-2019")</f>
        <v/>
      </c>
      <c r="V67">
        <f>HYPERLINK("https://klasma.github.io/Logging_2321/klagomål/A 32051-2019 FSC-klagomål.docx", "A 32051-2019")</f>
        <v/>
      </c>
      <c r="W67">
        <f>HYPERLINK("https://klasma.github.io/Logging_2321/klagomålsmail/A 32051-2019 FSC-klagomål mail.docx", "A 32051-2019")</f>
        <v/>
      </c>
      <c r="X67">
        <f>HYPERLINK("https://klasma.github.io/Logging_2321/tillsyn/A 32051-2019 tillsynsbegäran.docx", "A 32051-2019")</f>
        <v/>
      </c>
      <c r="Y67">
        <f>HYPERLINK("https://klasma.github.io/Logging_2321/tillsynsmail/A 32051-2019 tillsynsbegäran mail.docx", "A 32051-2019")</f>
        <v/>
      </c>
    </row>
    <row r="68" ht="15" customHeight="1">
      <c r="A68" t="inlineStr">
        <is>
          <t>A 34717-2019</t>
        </is>
      </c>
      <c r="B68" s="1" t="n">
        <v>43657</v>
      </c>
      <c r="C68" s="1" t="n">
        <v>45472</v>
      </c>
      <c r="D68" t="inlineStr">
        <is>
          <t>JÄMTLANDS LÄN</t>
        </is>
      </c>
      <c r="E68" t="inlineStr">
        <is>
          <t>ÅRE</t>
        </is>
      </c>
      <c r="G68" t="n">
        <v>14.4</v>
      </c>
      <c r="H68" t="n">
        <v>0</v>
      </c>
      <c r="I68" t="n">
        <v>1</v>
      </c>
      <c r="J68" t="n">
        <v>3</v>
      </c>
      <c r="K68" t="n">
        <v>0</v>
      </c>
      <c r="L68" t="n">
        <v>0</v>
      </c>
      <c r="M68" t="n">
        <v>0</v>
      </c>
      <c r="N68" t="n">
        <v>0</v>
      </c>
      <c r="O68" t="n">
        <v>3</v>
      </c>
      <c r="P68" t="n">
        <v>0</v>
      </c>
      <c r="Q68" t="n">
        <v>4</v>
      </c>
      <c r="R68" s="2" t="inlineStr">
        <is>
          <t>Blanksvart spiklav
Blågrå svartspik
Vedflamlav
Dropptaggsvamp</t>
        </is>
      </c>
      <c r="S68">
        <f>HYPERLINK("https://klasma.github.io/Logging_2321/artfynd/A 34717-2019 artfynd.xlsx", "A 34717-2019")</f>
        <v/>
      </c>
      <c r="T68">
        <f>HYPERLINK("https://klasma.github.io/Logging_2321/kartor/A 34717-2019 karta.png", "A 34717-2019")</f>
        <v/>
      </c>
      <c r="V68">
        <f>HYPERLINK("https://klasma.github.io/Logging_2321/klagomål/A 34717-2019 FSC-klagomål.docx", "A 34717-2019")</f>
        <v/>
      </c>
      <c r="W68">
        <f>HYPERLINK("https://klasma.github.io/Logging_2321/klagomålsmail/A 34717-2019 FSC-klagomål mail.docx", "A 34717-2019")</f>
        <v/>
      </c>
      <c r="X68">
        <f>HYPERLINK("https://klasma.github.io/Logging_2321/tillsyn/A 34717-2019 tillsynsbegäran.docx", "A 34717-2019")</f>
        <v/>
      </c>
      <c r="Y68">
        <f>HYPERLINK("https://klasma.github.io/Logging_2321/tillsynsmail/A 34717-2019 tillsynsbegäran mail.docx", "A 34717-2019")</f>
        <v/>
      </c>
    </row>
    <row r="69" ht="15" customHeight="1">
      <c r="A69" t="inlineStr">
        <is>
          <t>A 1781-2020</t>
        </is>
      </c>
      <c r="B69" s="1" t="n">
        <v>43844</v>
      </c>
      <c r="C69" s="1" t="n">
        <v>45472</v>
      </c>
      <c r="D69" t="inlineStr">
        <is>
          <t>JÄMTLANDS LÄN</t>
        </is>
      </c>
      <c r="E69" t="inlineStr">
        <is>
          <t>ÅRE</t>
        </is>
      </c>
      <c r="G69" t="n">
        <v>9.300000000000001</v>
      </c>
      <c r="H69" t="n">
        <v>0</v>
      </c>
      <c r="I69" t="n">
        <v>3</v>
      </c>
      <c r="J69" t="n">
        <v>1</v>
      </c>
      <c r="K69" t="n">
        <v>0</v>
      </c>
      <c r="L69" t="n">
        <v>0</v>
      </c>
      <c r="M69" t="n">
        <v>0</v>
      </c>
      <c r="N69" t="n">
        <v>0</v>
      </c>
      <c r="O69" t="n">
        <v>1</v>
      </c>
      <c r="P69" t="n">
        <v>0</v>
      </c>
      <c r="Q69" t="n">
        <v>4</v>
      </c>
      <c r="R69" s="2" t="inlineStr">
        <is>
          <t>Vitgrynig nållav
Kransrams
Kryddspindling
Svavelriska</t>
        </is>
      </c>
      <c r="S69">
        <f>HYPERLINK("https://klasma.github.io/Logging_2321/artfynd/A 1781-2020 artfynd.xlsx", "A 1781-2020")</f>
        <v/>
      </c>
      <c r="T69">
        <f>HYPERLINK("https://klasma.github.io/Logging_2321/kartor/A 1781-2020 karta.png", "A 1781-2020")</f>
        <v/>
      </c>
      <c r="V69">
        <f>HYPERLINK("https://klasma.github.io/Logging_2321/klagomål/A 1781-2020 FSC-klagomål.docx", "A 1781-2020")</f>
        <v/>
      </c>
      <c r="W69">
        <f>HYPERLINK("https://klasma.github.io/Logging_2321/klagomålsmail/A 1781-2020 FSC-klagomål mail.docx", "A 1781-2020")</f>
        <v/>
      </c>
      <c r="X69">
        <f>HYPERLINK("https://klasma.github.io/Logging_2321/tillsyn/A 1781-2020 tillsynsbegäran.docx", "A 1781-2020")</f>
        <v/>
      </c>
      <c r="Y69">
        <f>HYPERLINK("https://klasma.github.io/Logging_2321/tillsynsmail/A 1781-2020 tillsynsbegäran mail.docx", "A 1781-2020")</f>
        <v/>
      </c>
    </row>
    <row r="70" ht="15" customHeight="1">
      <c r="A70" t="inlineStr">
        <is>
          <t>A 16005-2020</t>
        </is>
      </c>
      <c r="B70" s="1" t="n">
        <v>43916</v>
      </c>
      <c r="C70" s="1" t="n">
        <v>45472</v>
      </c>
      <c r="D70" t="inlineStr">
        <is>
          <t>JÄMTLANDS LÄN</t>
        </is>
      </c>
      <c r="E70" t="inlineStr">
        <is>
          <t>ÅRE</t>
        </is>
      </c>
      <c r="G70" t="n">
        <v>13.3</v>
      </c>
      <c r="H70" t="n">
        <v>1</v>
      </c>
      <c r="I70" t="n">
        <v>2</v>
      </c>
      <c r="J70" t="n">
        <v>1</v>
      </c>
      <c r="K70" t="n">
        <v>0</v>
      </c>
      <c r="L70" t="n">
        <v>0</v>
      </c>
      <c r="M70" t="n">
        <v>0</v>
      </c>
      <c r="N70" t="n">
        <v>0</v>
      </c>
      <c r="O70" t="n">
        <v>1</v>
      </c>
      <c r="P70" t="n">
        <v>0</v>
      </c>
      <c r="Q70" t="n">
        <v>4</v>
      </c>
      <c r="R70" s="2" t="inlineStr">
        <is>
          <t>Orange taggsvamp
Dropptaggsvamp
Kransrams
Blåsippa</t>
        </is>
      </c>
      <c r="S70">
        <f>HYPERLINK("https://klasma.github.io/Logging_2321/artfynd/A 16005-2020 artfynd.xlsx", "A 16005-2020")</f>
        <v/>
      </c>
      <c r="T70">
        <f>HYPERLINK("https://klasma.github.io/Logging_2321/kartor/A 16005-2020 karta.png", "A 16005-2020")</f>
        <v/>
      </c>
      <c r="V70">
        <f>HYPERLINK("https://klasma.github.io/Logging_2321/klagomål/A 16005-2020 FSC-klagomål.docx", "A 16005-2020")</f>
        <v/>
      </c>
      <c r="W70">
        <f>HYPERLINK("https://klasma.github.io/Logging_2321/klagomålsmail/A 16005-2020 FSC-klagomål mail.docx", "A 16005-2020")</f>
        <v/>
      </c>
      <c r="X70">
        <f>HYPERLINK("https://klasma.github.io/Logging_2321/tillsyn/A 16005-2020 tillsynsbegäran.docx", "A 16005-2020")</f>
        <v/>
      </c>
      <c r="Y70">
        <f>HYPERLINK("https://klasma.github.io/Logging_2321/tillsynsmail/A 16005-2020 tillsynsbegäran mail.docx", "A 16005-2020")</f>
        <v/>
      </c>
    </row>
    <row r="71" ht="15" customHeight="1">
      <c r="A71" t="inlineStr">
        <is>
          <t>A 45849-2020</t>
        </is>
      </c>
      <c r="B71" s="1" t="n">
        <v>44090</v>
      </c>
      <c r="C71" s="1" t="n">
        <v>45472</v>
      </c>
      <c r="D71" t="inlineStr">
        <is>
          <t>JÄMTLANDS LÄN</t>
        </is>
      </c>
      <c r="E71" t="inlineStr">
        <is>
          <t>ÅRE</t>
        </is>
      </c>
      <c r="G71" t="n">
        <v>2.7</v>
      </c>
      <c r="H71" t="n">
        <v>0</v>
      </c>
      <c r="I71" t="n">
        <v>1</v>
      </c>
      <c r="J71" t="n">
        <v>3</v>
      </c>
      <c r="K71" t="n">
        <v>0</v>
      </c>
      <c r="L71" t="n">
        <v>0</v>
      </c>
      <c r="M71" t="n">
        <v>0</v>
      </c>
      <c r="N71" t="n">
        <v>0</v>
      </c>
      <c r="O71" t="n">
        <v>3</v>
      </c>
      <c r="P71" t="n">
        <v>0</v>
      </c>
      <c r="Q71" t="n">
        <v>4</v>
      </c>
      <c r="R71" s="2" t="inlineStr">
        <is>
          <t>Garnlav
Granticka
Harticka
Stuplav</t>
        </is>
      </c>
      <c r="S71">
        <f>HYPERLINK("https://klasma.github.io/Logging_2321/artfynd/A 45849-2020 artfynd.xlsx", "A 45849-2020")</f>
        <v/>
      </c>
      <c r="T71">
        <f>HYPERLINK("https://klasma.github.io/Logging_2321/kartor/A 45849-2020 karta.png", "A 45849-2020")</f>
        <v/>
      </c>
      <c r="V71">
        <f>HYPERLINK("https://klasma.github.io/Logging_2321/klagomål/A 45849-2020 FSC-klagomål.docx", "A 45849-2020")</f>
        <v/>
      </c>
      <c r="W71">
        <f>HYPERLINK("https://klasma.github.io/Logging_2321/klagomålsmail/A 45849-2020 FSC-klagomål mail.docx", "A 45849-2020")</f>
        <v/>
      </c>
      <c r="X71">
        <f>HYPERLINK("https://klasma.github.io/Logging_2321/tillsyn/A 45849-2020 tillsynsbegäran.docx", "A 45849-2020")</f>
        <v/>
      </c>
      <c r="Y71">
        <f>HYPERLINK("https://klasma.github.io/Logging_2321/tillsynsmail/A 45849-2020 tillsynsbegäran mail.docx", "A 45849-2020")</f>
        <v/>
      </c>
    </row>
    <row r="72" ht="15" customHeight="1">
      <c r="A72" t="inlineStr">
        <is>
          <t>A 69317-2020</t>
        </is>
      </c>
      <c r="B72" s="1" t="n">
        <v>44193</v>
      </c>
      <c r="C72" s="1" t="n">
        <v>45472</v>
      </c>
      <c r="D72" t="inlineStr">
        <is>
          <t>JÄMTLANDS LÄN</t>
        </is>
      </c>
      <c r="E72" t="inlineStr">
        <is>
          <t>ÅRE</t>
        </is>
      </c>
      <c r="G72" t="n">
        <v>10.3</v>
      </c>
      <c r="H72" t="n">
        <v>2</v>
      </c>
      <c r="I72" t="n">
        <v>0</v>
      </c>
      <c r="J72" t="n">
        <v>4</v>
      </c>
      <c r="K72" t="n">
        <v>0</v>
      </c>
      <c r="L72" t="n">
        <v>0</v>
      </c>
      <c r="M72" t="n">
        <v>0</v>
      </c>
      <c r="N72" t="n">
        <v>0</v>
      </c>
      <c r="O72" t="n">
        <v>4</v>
      </c>
      <c r="P72" t="n">
        <v>0</v>
      </c>
      <c r="Q72" t="n">
        <v>4</v>
      </c>
      <c r="R72" s="2" t="inlineStr">
        <is>
          <t>Garnlav
Granticka
Spillkråka
Tretåig hackspett</t>
        </is>
      </c>
      <c r="S72">
        <f>HYPERLINK("https://klasma.github.io/Logging_2321/artfynd/A 69317-2020 artfynd.xlsx", "A 69317-2020")</f>
        <v/>
      </c>
      <c r="T72">
        <f>HYPERLINK("https://klasma.github.io/Logging_2321/kartor/A 69317-2020 karta.png", "A 69317-2020")</f>
        <v/>
      </c>
      <c r="V72">
        <f>HYPERLINK("https://klasma.github.io/Logging_2321/klagomål/A 69317-2020 FSC-klagomål.docx", "A 69317-2020")</f>
        <v/>
      </c>
      <c r="W72">
        <f>HYPERLINK("https://klasma.github.io/Logging_2321/klagomålsmail/A 69317-2020 FSC-klagomål mail.docx", "A 69317-2020")</f>
        <v/>
      </c>
      <c r="X72">
        <f>HYPERLINK("https://klasma.github.io/Logging_2321/tillsyn/A 69317-2020 tillsynsbegäran.docx", "A 69317-2020")</f>
        <v/>
      </c>
      <c r="Y72">
        <f>HYPERLINK("https://klasma.github.io/Logging_2321/tillsynsmail/A 69317-2020 tillsynsbegäran mail.docx", "A 69317-2020")</f>
        <v/>
      </c>
      <c r="Z72">
        <f>HYPERLINK("https://klasma.github.io/Logging_2321/fåglar/A 69317-2020 prioriterade fågelarter.docx", "A 69317-2020")</f>
        <v/>
      </c>
    </row>
    <row r="73" ht="15" customHeight="1">
      <c r="A73" t="inlineStr">
        <is>
          <t>A 6236-2021</t>
        </is>
      </c>
      <c r="B73" s="1" t="n">
        <v>44231</v>
      </c>
      <c r="C73" s="1" t="n">
        <v>45472</v>
      </c>
      <c r="D73" t="inlineStr">
        <is>
          <t>JÄMTLANDS LÄN</t>
        </is>
      </c>
      <c r="E73" t="inlineStr">
        <is>
          <t>ÅRE</t>
        </is>
      </c>
      <c r="G73" t="n">
        <v>39.1</v>
      </c>
      <c r="H73" t="n">
        <v>0</v>
      </c>
      <c r="I73" t="n">
        <v>3</v>
      </c>
      <c r="J73" t="n">
        <v>1</v>
      </c>
      <c r="K73" t="n">
        <v>0</v>
      </c>
      <c r="L73" t="n">
        <v>0</v>
      </c>
      <c r="M73" t="n">
        <v>0</v>
      </c>
      <c r="N73" t="n">
        <v>0</v>
      </c>
      <c r="O73" t="n">
        <v>1</v>
      </c>
      <c r="P73" t="n">
        <v>0</v>
      </c>
      <c r="Q73" t="n">
        <v>4</v>
      </c>
      <c r="R73" s="2" t="inlineStr">
        <is>
          <t>Garnlav
Bårdlav
Gytterlav
Stuplav</t>
        </is>
      </c>
      <c r="S73">
        <f>HYPERLINK("https://klasma.github.io/Logging_2321/artfynd/A 6236-2021 artfynd.xlsx", "A 6236-2021")</f>
        <v/>
      </c>
      <c r="T73">
        <f>HYPERLINK("https://klasma.github.io/Logging_2321/kartor/A 6236-2021 karta.png", "A 6236-2021")</f>
        <v/>
      </c>
      <c r="V73">
        <f>HYPERLINK("https://klasma.github.io/Logging_2321/klagomål/A 6236-2021 FSC-klagomål.docx", "A 6236-2021")</f>
        <v/>
      </c>
      <c r="W73">
        <f>HYPERLINK("https://klasma.github.io/Logging_2321/klagomålsmail/A 6236-2021 FSC-klagomål mail.docx", "A 6236-2021")</f>
        <v/>
      </c>
      <c r="X73">
        <f>HYPERLINK("https://klasma.github.io/Logging_2321/tillsyn/A 6236-2021 tillsynsbegäran.docx", "A 6236-2021")</f>
        <v/>
      </c>
      <c r="Y73">
        <f>HYPERLINK("https://klasma.github.io/Logging_2321/tillsynsmail/A 6236-2021 tillsynsbegäran mail.docx", "A 6236-2021")</f>
        <v/>
      </c>
    </row>
    <row r="74" ht="15" customHeight="1">
      <c r="A74" t="inlineStr">
        <is>
          <t>A 19277-2021</t>
        </is>
      </c>
      <c r="B74" s="1" t="n">
        <v>44309</v>
      </c>
      <c r="C74" s="1" t="n">
        <v>45472</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45472</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52464-2022</t>
        </is>
      </c>
      <c r="B76" s="1" t="n">
        <v>44874</v>
      </c>
      <c r="C76" s="1" t="n">
        <v>45472</v>
      </c>
      <c r="D76" t="inlineStr">
        <is>
          <t>JÄMTLANDS LÄN</t>
        </is>
      </c>
      <c r="E76" t="inlineStr">
        <is>
          <t>ÅRE</t>
        </is>
      </c>
      <c r="G76" t="n">
        <v>6.5</v>
      </c>
      <c r="H76" t="n">
        <v>1</v>
      </c>
      <c r="I76" t="n">
        <v>0</v>
      </c>
      <c r="J76" t="n">
        <v>4</v>
      </c>
      <c r="K76" t="n">
        <v>0</v>
      </c>
      <c r="L76" t="n">
        <v>0</v>
      </c>
      <c r="M76" t="n">
        <v>0</v>
      </c>
      <c r="N76" t="n">
        <v>0</v>
      </c>
      <c r="O76" t="n">
        <v>4</v>
      </c>
      <c r="P76" t="n">
        <v>0</v>
      </c>
      <c r="Q76" t="n">
        <v>4</v>
      </c>
      <c r="R76" s="2" t="inlineStr">
        <is>
          <t>Garnlav
Liten svartspik
Tretåig hackspett
Vitgrynig nållav</t>
        </is>
      </c>
      <c r="S76">
        <f>HYPERLINK("https://klasma.github.io/Logging_2321/artfynd/A 52464-2022 artfynd.xlsx", "A 52464-2022")</f>
        <v/>
      </c>
      <c r="T76">
        <f>HYPERLINK("https://klasma.github.io/Logging_2321/kartor/A 52464-2022 karta.png", "A 52464-2022")</f>
        <v/>
      </c>
      <c r="V76">
        <f>HYPERLINK("https://klasma.github.io/Logging_2321/klagomål/A 52464-2022 FSC-klagomål.docx", "A 52464-2022")</f>
        <v/>
      </c>
      <c r="W76">
        <f>HYPERLINK("https://klasma.github.io/Logging_2321/klagomålsmail/A 52464-2022 FSC-klagomål mail.docx", "A 52464-2022")</f>
        <v/>
      </c>
      <c r="X76">
        <f>HYPERLINK("https://klasma.github.io/Logging_2321/tillsyn/A 52464-2022 tillsynsbegäran.docx", "A 52464-2022")</f>
        <v/>
      </c>
      <c r="Y76">
        <f>HYPERLINK("https://klasma.github.io/Logging_2321/tillsynsmail/A 52464-2022 tillsynsbegäran mail.docx", "A 52464-2022")</f>
        <v/>
      </c>
      <c r="Z76">
        <f>HYPERLINK("https://klasma.github.io/Logging_2321/fåglar/A 52464-2022 prioriterade fågelarter.docx", "A 52464-2022")</f>
        <v/>
      </c>
    </row>
    <row r="77" ht="15" customHeight="1">
      <c r="A77" t="inlineStr">
        <is>
          <t>A 56183-2022</t>
        </is>
      </c>
      <c r="B77" s="1" t="n">
        <v>44889</v>
      </c>
      <c r="C77" s="1" t="n">
        <v>45472</v>
      </c>
      <c r="D77" t="inlineStr">
        <is>
          <t>JÄMTLANDS LÄN</t>
        </is>
      </c>
      <c r="E77" t="inlineStr">
        <is>
          <t>ÅRE</t>
        </is>
      </c>
      <c r="G77" t="n">
        <v>29.8</v>
      </c>
      <c r="H77" t="n">
        <v>1</v>
      </c>
      <c r="I77" t="n">
        <v>0</v>
      </c>
      <c r="J77" t="n">
        <v>4</v>
      </c>
      <c r="K77" t="n">
        <v>0</v>
      </c>
      <c r="L77" t="n">
        <v>0</v>
      </c>
      <c r="M77" t="n">
        <v>0</v>
      </c>
      <c r="N77" t="n">
        <v>0</v>
      </c>
      <c r="O77" t="n">
        <v>4</v>
      </c>
      <c r="P77" t="n">
        <v>0</v>
      </c>
      <c r="Q77" t="n">
        <v>4</v>
      </c>
      <c r="R77" s="2" t="inlineStr">
        <is>
          <t>Gammelgransskål
Granticka
Skrovellav
Tretåig hackspett</t>
        </is>
      </c>
      <c r="S77">
        <f>HYPERLINK("https://klasma.github.io/Logging_2321/artfynd/A 56183-2022 artfynd.xlsx", "A 56183-2022")</f>
        <v/>
      </c>
      <c r="T77">
        <f>HYPERLINK("https://klasma.github.io/Logging_2321/kartor/A 56183-2022 karta.png", "A 56183-2022")</f>
        <v/>
      </c>
      <c r="V77">
        <f>HYPERLINK("https://klasma.github.io/Logging_2321/klagomål/A 56183-2022 FSC-klagomål.docx", "A 56183-2022")</f>
        <v/>
      </c>
      <c r="W77">
        <f>HYPERLINK("https://klasma.github.io/Logging_2321/klagomålsmail/A 56183-2022 FSC-klagomål mail.docx", "A 56183-2022")</f>
        <v/>
      </c>
      <c r="X77">
        <f>HYPERLINK("https://klasma.github.io/Logging_2321/tillsyn/A 56183-2022 tillsynsbegäran.docx", "A 56183-2022")</f>
        <v/>
      </c>
      <c r="Y77">
        <f>HYPERLINK("https://klasma.github.io/Logging_2321/tillsynsmail/A 56183-2022 tillsynsbegäran mail.docx", "A 56183-2022")</f>
        <v/>
      </c>
      <c r="Z77">
        <f>HYPERLINK("https://klasma.github.io/Logging_2321/fåglar/A 56183-2022 prioriterade fågelarter.docx", "A 56183-2022")</f>
        <v/>
      </c>
    </row>
    <row r="78" ht="15" customHeight="1">
      <c r="A78" t="inlineStr">
        <is>
          <t>A 19701-2023</t>
        </is>
      </c>
      <c r="B78" s="1" t="n">
        <v>45051</v>
      </c>
      <c r="C78" s="1" t="n">
        <v>45472</v>
      </c>
      <c r="D78" t="inlineStr">
        <is>
          <t>JÄMTLANDS LÄN</t>
        </is>
      </c>
      <c r="E78" t="inlineStr">
        <is>
          <t>ÅRE</t>
        </is>
      </c>
      <c r="G78" t="n">
        <v>9.800000000000001</v>
      </c>
      <c r="H78" t="n">
        <v>2</v>
      </c>
      <c r="I78" t="n">
        <v>2</v>
      </c>
      <c r="J78" t="n">
        <v>1</v>
      </c>
      <c r="K78" t="n">
        <v>0</v>
      </c>
      <c r="L78" t="n">
        <v>0</v>
      </c>
      <c r="M78" t="n">
        <v>0</v>
      </c>
      <c r="N78" t="n">
        <v>0</v>
      </c>
      <c r="O78" t="n">
        <v>1</v>
      </c>
      <c r="P78" t="n">
        <v>0</v>
      </c>
      <c r="Q78" t="n">
        <v>4</v>
      </c>
      <c r="R78" s="2" t="inlineStr">
        <is>
          <t>Granticka
Spindelblomster
Ögonpyrola
Revlummer</t>
        </is>
      </c>
      <c r="S78">
        <f>HYPERLINK("https://klasma.github.io/Logging_2321/artfynd/A 19701-2023 artfynd.xlsx", "A 19701-2023")</f>
        <v/>
      </c>
      <c r="T78">
        <f>HYPERLINK("https://klasma.github.io/Logging_2321/kartor/A 19701-2023 karta.png", "A 19701-2023")</f>
        <v/>
      </c>
      <c r="V78">
        <f>HYPERLINK("https://klasma.github.io/Logging_2321/klagomål/A 19701-2023 FSC-klagomål.docx", "A 19701-2023")</f>
        <v/>
      </c>
      <c r="W78">
        <f>HYPERLINK("https://klasma.github.io/Logging_2321/klagomålsmail/A 19701-2023 FSC-klagomål mail.docx", "A 19701-2023")</f>
        <v/>
      </c>
      <c r="X78">
        <f>HYPERLINK("https://klasma.github.io/Logging_2321/tillsyn/A 19701-2023 tillsynsbegäran.docx", "A 19701-2023")</f>
        <v/>
      </c>
      <c r="Y78">
        <f>HYPERLINK("https://klasma.github.io/Logging_2321/tillsynsmail/A 19701-2023 tillsynsbegäran mail.docx", "A 19701-2023")</f>
        <v/>
      </c>
    </row>
    <row r="79" ht="15" customHeight="1">
      <c r="A79" t="inlineStr">
        <is>
          <t>A 8379-2024</t>
        </is>
      </c>
      <c r="B79" s="1" t="n">
        <v>45352</v>
      </c>
      <c r="C79" s="1" t="n">
        <v>45472</v>
      </c>
      <c r="D79" t="inlineStr">
        <is>
          <t>JÄMTLANDS LÄN</t>
        </is>
      </c>
      <c r="E79" t="inlineStr">
        <is>
          <t>ÅRE</t>
        </is>
      </c>
      <c r="G79" t="n">
        <v>14.9</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HYPERLINK("https://klasma.github.io/Logging_2321/artfynd/A 8379-2024 artfynd.xlsx", "A 8379-2024")</f>
        <v/>
      </c>
      <c r="T79">
        <f>HYPERLINK("https://klasma.github.io/Logging_2321/kartor/A 8379-2024 karta.png", "A 8379-2024")</f>
        <v/>
      </c>
      <c r="V79">
        <f>HYPERLINK("https://klasma.github.io/Logging_2321/klagomål/A 8379-2024 FSC-klagomål.docx", "A 8379-2024")</f>
        <v/>
      </c>
      <c r="W79">
        <f>HYPERLINK("https://klasma.github.io/Logging_2321/klagomålsmail/A 8379-2024 FSC-klagomål mail.docx", "A 8379-2024")</f>
        <v/>
      </c>
      <c r="X79">
        <f>HYPERLINK("https://klasma.github.io/Logging_2321/tillsyn/A 8379-2024 tillsynsbegäran.docx", "A 8379-2024")</f>
        <v/>
      </c>
      <c r="Y79">
        <f>HYPERLINK("https://klasma.github.io/Logging_2321/tillsynsmail/A 8379-2024 tillsynsbegäran mail.docx", "A 8379-2024")</f>
        <v/>
      </c>
      <c r="Z79">
        <f>HYPERLINK("https://klasma.github.io/Logging_2321/fåglar/A 8379-2024 prioriterade fågelarter.docx", "A 8379-2024")</f>
        <v/>
      </c>
    </row>
    <row r="80" ht="15" customHeight="1">
      <c r="A80" t="inlineStr">
        <is>
          <t>A 20035-2024</t>
        </is>
      </c>
      <c r="B80" s="1" t="n">
        <v>45434</v>
      </c>
      <c r="C80" s="1" t="n">
        <v>45472</v>
      </c>
      <c r="D80" t="inlineStr">
        <is>
          <t>JÄMTLANDS LÄN</t>
        </is>
      </c>
      <c r="E80" t="inlineStr">
        <is>
          <t>ÅRE</t>
        </is>
      </c>
      <c r="F80" t="inlineStr">
        <is>
          <t>Övriga Aktiebolag</t>
        </is>
      </c>
      <c r="G80" t="n">
        <v>15.4</v>
      </c>
      <c r="H80" t="n">
        <v>0</v>
      </c>
      <c r="I80" t="n">
        <v>0</v>
      </c>
      <c r="J80" t="n">
        <v>3</v>
      </c>
      <c r="K80" t="n">
        <v>1</v>
      </c>
      <c r="L80" t="n">
        <v>0</v>
      </c>
      <c r="M80" t="n">
        <v>0</v>
      </c>
      <c r="N80" t="n">
        <v>0</v>
      </c>
      <c r="O80" t="n">
        <v>4</v>
      </c>
      <c r="P80" t="n">
        <v>1</v>
      </c>
      <c r="Q80" t="n">
        <v>4</v>
      </c>
      <c r="R80" s="2" t="inlineStr">
        <is>
          <t>Norsk näverlav
Gammelgransskål
Garnlav
Gränsticka</t>
        </is>
      </c>
      <c r="S80">
        <f>HYPERLINK("https://klasma.github.io/Logging_2321/artfynd/A 20035-2024 artfynd.xlsx", "A 20035-2024")</f>
        <v/>
      </c>
      <c r="T80">
        <f>HYPERLINK("https://klasma.github.io/Logging_2321/kartor/A 20035-2024 karta.png", "A 20035-2024")</f>
        <v/>
      </c>
      <c r="V80">
        <f>HYPERLINK("https://klasma.github.io/Logging_2321/klagomål/A 20035-2024 FSC-klagomål.docx", "A 20035-2024")</f>
        <v/>
      </c>
      <c r="W80">
        <f>HYPERLINK("https://klasma.github.io/Logging_2321/klagomålsmail/A 20035-2024 FSC-klagomål mail.docx", "A 20035-2024")</f>
        <v/>
      </c>
      <c r="X80">
        <f>HYPERLINK("https://klasma.github.io/Logging_2321/tillsyn/A 20035-2024 tillsynsbegäran.docx", "A 20035-2024")</f>
        <v/>
      </c>
      <c r="Y80">
        <f>HYPERLINK("https://klasma.github.io/Logging_2321/tillsynsmail/A 20035-2024 tillsynsbegäran mail.docx", "A 20035-2024")</f>
        <v/>
      </c>
    </row>
    <row r="81" ht="15" customHeight="1">
      <c r="A81" t="inlineStr">
        <is>
          <t>A 26453-2024</t>
        </is>
      </c>
      <c r="B81" s="1" t="n">
        <v>45469</v>
      </c>
      <c r="C81" s="1" t="n">
        <v>45472</v>
      </c>
      <c r="D81" t="inlineStr">
        <is>
          <t>JÄMTLANDS LÄN</t>
        </is>
      </c>
      <c r="E81" t="inlineStr">
        <is>
          <t>ÅRE</t>
        </is>
      </c>
      <c r="F81" t="inlineStr">
        <is>
          <t>Övriga Aktiebolag</t>
        </is>
      </c>
      <c r="G81" t="n">
        <v>17.5</v>
      </c>
      <c r="H81" t="n">
        <v>0</v>
      </c>
      <c r="I81" t="n">
        <v>0</v>
      </c>
      <c r="J81" t="n">
        <v>4</v>
      </c>
      <c r="K81" t="n">
        <v>0</v>
      </c>
      <c r="L81" t="n">
        <v>0</v>
      </c>
      <c r="M81" t="n">
        <v>0</v>
      </c>
      <c r="N81" t="n">
        <v>0</v>
      </c>
      <c r="O81" t="n">
        <v>4</v>
      </c>
      <c r="P81" t="n">
        <v>0</v>
      </c>
      <c r="Q81" t="n">
        <v>4</v>
      </c>
      <c r="R81" s="2" t="inlineStr">
        <is>
          <t>Doftskinn
Gränsticka
Violettgrå tagellav
Vitgrynig nållav</t>
        </is>
      </c>
      <c r="S81">
        <f>HYPERLINK("https://klasma.github.io/Logging_2321/artfynd/A 26453-2024 artfynd.xlsx", "A 26453-2024")</f>
        <v/>
      </c>
      <c r="T81">
        <f>HYPERLINK("https://klasma.github.io/Logging_2321/kartor/A 26453-2024 karta.png", "A 26453-2024")</f>
        <v/>
      </c>
      <c r="V81">
        <f>HYPERLINK("https://klasma.github.io/Logging_2321/klagomål/A 26453-2024 FSC-klagomål.docx", "A 26453-2024")</f>
        <v/>
      </c>
      <c r="W81">
        <f>HYPERLINK("https://klasma.github.io/Logging_2321/klagomålsmail/A 26453-2024 FSC-klagomål mail.docx", "A 26453-2024")</f>
        <v/>
      </c>
      <c r="X81">
        <f>HYPERLINK("https://klasma.github.io/Logging_2321/tillsyn/A 26453-2024 tillsynsbegäran.docx", "A 26453-2024")</f>
        <v/>
      </c>
      <c r="Y81">
        <f>HYPERLINK("https://klasma.github.io/Logging_2321/tillsynsmail/A 26453-2024 tillsynsbegäran mail.docx", "A 26453-2024")</f>
        <v/>
      </c>
    </row>
    <row r="82" ht="15" customHeight="1">
      <c r="A82" t="inlineStr">
        <is>
          <t>A 24163-2019</t>
        </is>
      </c>
      <c r="B82" s="1" t="n">
        <v>43598</v>
      </c>
      <c r="C82" s="1" t="n">
        <v>45472</v>
      </c>
      <c r="D82" t="inlineStr">
        <is>
          <t>JÄMTLANDS LÄN</t>
        </is>
      </c>
      <c r="E82" t="inlineStr">
        <is>
          <t>ÅRE</t>
        </is>
      </c>
      <c r="G82" t="n">
        <v>16.5</v>
      </c>
      <c r="H82" t="n">
        <v>0</v>
      </c>
      <c r="I82" t="n">
        <v>0</v>
      </c>
      <c r="J82" t="n">
        <v>3</v>
      </c>
      <c r="K82" t="n">
        <v>0</v>
      </c>
      <c r="L82" t="n">
        <v>0</v>
      </c>
      <c r="M82" t="n">
        <v>0</v>
      </c>
      <c r="N82" t="n">
        <v>0</v>
      </c>
      <c r="O82" t="n">
        <v>3</v>
      </c>
      <c r="P82" t="n">
        <v>0</v>
      </c>
      <c r="Q82" t="n">
        <v>3</v>
      </c>
      <c r="R82" s="2" t="inlineStr">
        <is>
          <t>Garnlav
Lunglav
Rosenticka</t>
        </is>
      </c>
      <c r="S82">
        <f>HYPERLINK("https://klasma.github.io/Logging_2321/artfynd/A 24163-2019 artfynd.xlsx", "A 24163-2019")</f>
        <v/>
      </c>
      <c r="T82">
        <f>HYPERLINK("https://klasma.github.io/Logging_2321/kartor/A 24163-2019 karta.png", "A 24163-2019")</f>
        <v/>
      </c>
      <c r="V82">
        <f>HYPERLINK("https://klasma.github.io/Logging_2321/klagomål/A 24163-2019 FSC-klagomål.docx", "A 24163-2019")</f>
        <v/>
      </c>
      <c r="W82">
        <f>HYPERLINK("https://klasma.github.io/Logging_2321/klagomålsmail/A 24163-2019 FSC-klagomål mail.docx", "A 24163-2019")</f>
        <v/>
      </c>
      <c r="X82">
        <f>HYPERLINK("https://klasma.github.io/Logging_2321/tillsyn/A 24163-2019 tillsynsbegäran.docx", "A 24163-2019")</f>
        <v/>
      </c>
      <c r="Y82">
        <f>HYPERLINK("https://klasma.github.io/Logging_2321/tillsynsmail/A 24163-2019 tillsynsbegäran mail.docx", "A 24163-2019")</f>
        <v/>
      </c>
    </row>
    <row r="83" ht="15" customHeight="1">
      <c r="A83" t="inlineStr">
        <is>
          <t>A 29082-2020</t>
        </is>
      </c>
      <c r="B83" s="1" t="n">
        <v>44002</v>
      </c>
      <c r="C83" s="1" t="n">
        <v>45472</v>
      </c>
      <c r="D83" t="inlineStr">
        <is>
          <t>JÄMTLANDS LÄN</t>
        </is>
      </c>
      <c r="E83" t="inlineStr">
        <is>
          <t>ÅRE</t>
        </is>
      </c>
      <c r="G83" t="n">
        <v>3.1</v>
      </c>
      <c r="H83" t="n">
        <v>1</v>
      </c>
      <c r="I83" t="n">
        <v>0</v>
      </c>
      <c r="J83" t="n">
        <v>2</v>
      </c>
      <c r="K83" t="n">
        <v>0</v>
      </c>
      <c r="L83" t="n">
        <v>0</v>
      </c>
      <c r="M83" t="n">
        <v>0</v>
      </c>
      <c r="N83" t="n">
        <v>0</v>
      </c>
      <c r="O83" t="n">
        <v>2</v>
      </c>
      <c r="P83" t="n">
        <v>0</v>
      </c>
      <c r="Q83" t="n">
        <v>3</v>
      </c>
      <c r="R83" s="2" t="inlineStr">
        <is>
          <t>Garnlav
Granticka
Fläcknycklar</t>
        </is>
      </c>
      <c r="S83">
        <f>HYPERLINK("https://klasma.github.io/Logging_2321/artfynd/A 29082-2020 artfynd.xlsx", "A 29082-2020")</f>
        <v/>
      </c>
      <c r="T83">
        <f>HYPERLINK("https://klasma.github.io/Logging_2321/kartor/A 29082-2020 karta.png", "A 29082-2020")</f>
        <v/>
      </c>
      <c r="V83">
        <f>HYPERLINK("https://klasma.github.io/Logging_2321/klagomål/A 29082-2020 FSC-klagomål.docx", "A 29082-2020")</f>
        <v/>
      </c>
      <c r="W83">
        <f>HYPERLINK("https://klasma.github.io/Logging_2321/klagomålsmail/A 29082-2020 FSC-klagomål mail.docx", "A 29082-2020")</f>
        <v/>
      </c>
      <c r="X83">
        <f>HYPERLINK("https://klasma.github.io/Logging_2321/tillsyn/A 29082-2020 tillsynsbegäran.docx", "A 29082-2020")</f>
        <v/>
      </c>
      <c r="Y83">
        <f>HYPERLINK("https://klasma.github.io/Logging_2321/tillsynsmail/A 29082-2020 tillsynsbegäran mail.docx", "A 29082-2020")</f>
        <v/>
      </c>
    </row>
    <row r="84" ht="15" customHeight="1">
      <c r="A84" t="inlineStr">
        <is>
          <t>A 54743-2020</t>
        </is>
      </c>
      <c r="B84" s="1" t="n">
        <v>44127</v>
      </c>
      <c r="C84" s="1" t="n">
        <v>45472</v>
      </c>
      <c r="D84" t="inlineStr">
        <is>
          <t>JÄMTLANDS LÄN</t>
        </is>
      </c>
      <c r="E84" t="inlineStr">
        <is>
          <t>ÅRE</t>
        </is>
      </c>
      <c r="G84" t="n">
        <v>3.4</v>
      </c>
      <c r="H84" t="n">
        <v>0</v>
      </c>
      <c r="I84" t="n">
        <v>2</v>
      </c>
      <c r="J84" t="n">
        <v>1</v>
      </c>
      <c r="K84" t="n">
        <v>0</v>
      </c>
      <c r="L84" t="n">
        <v>0</v>
      </c>
      <c r="M84" t="n">
        <v>0</v>
      </c>
      <c r="N84" t="n">
        <v>0</v>
      </c>
      <c r="O84" t="n">
        <v>1</v>
      </c>
      <c r="P84" t="n">
        <v>0</v>
      </c>
      <c r="Q84" t="n">
        <v>3</v>
      </c>
      <c r="R84" s="2" t="inlineStr">
        <is>
          <t>Dofttaggsvamp
Kryddspindling
Svavelriska</t>
        </is>
      </c>
      <c r="S84">
        <f>HYPERLINK("https://klasma.github.io/Logging_2321/artfynd/A 54743-2020 artfynd.xlsx", "A 54743-2020")</f>
        <v/>
      </c>
      <c r="T84">
        <f>HYPERLINK("https://klasma.github.io/Logging_2321/kartor/A 54743-2020 karta.png", "A 54743-2020")</f>
        <v/>
      </c>
      <c r="V84">
        <f>HYPERLINK("https://klasma.github.io/Logging_2321/klagomål/A 54743-2020 FSC-klagomål.docx", "A 54743-2020")</f>
        <v/>
      </c>
      <c r="W84">
        <f>HYPERLINK("https://klasma.github.io/Logging_2321/klagomålsmail/A 54743-2020 FSC-klagomål mail.docx", "A 54743-2020")</f>
        <v/>
      </c>
      <c r="X84">
        <f>HYPERLINK("https://klasma.github.io/Logging_2321/tillsyn/A 54743-2020 tillsynsbegäran.docx", "A 54743-2020")</f>
        <v/>
      </c>
      <c r="Y84">
        <f>HYPERLINK("https://klasma.github.io/Logging_2321/tillsynsmail/A 54743-2020 tillsynsbegäran mail.docx", "A 54743-2020")</f>
        <v/>
      </c>
    </row>
    <row r="85" ht="15" customHeight="1">
      <c r="A85" t="inlineStr">
        <is>
          <t>A 54988-2020</t>
        </is>
      </c>
      <c r="B85" s="1" t="n">
        <v>44130</v>
      </c>
      <c r="C85" s="1" t="n">
        <v>45472</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61189-2020</t>
        </is>
      </c>
      <c r="B86" s="1" t="n">
        <v>44155</v>
      </c>
      <c r="C86" s="1" t="n">
        <v>45472</v>
      </c>
      <c r="D86" t="inlineStr">
        <is>
          <t>JÄMTLANDS LÄN</t>
        </is>
      </c>
      <c r="E86" t="inlineStr">
        <is>
          <t>ÅRE</t>
        </is>
      </c>
      <c r="F86" t="inlineStr">
        <is>
          <t>Övriga Aktiebolag</t>
        </is>
      </c>
      <c r="G86" t="n">
        <v>26.5</v>
      </c>
      <c r="H86" t="n">
        <v>0</v>
      </c>
      <c r="I86" t="n">
        <v>0</v>
      </c>
      <c r="J86" t="n">
        <v>3</v>
      </c>
      <c r="K86" t="n">
        <v>0</v>
      </c>
      <c r="L86" t="n">
        <v>0</v>
      </c>
      <c r="M86" t="n">
        <v>0</v>
      </c>
      <c r="N86" t="n">
        <v>0</v>
      </c>
      <c r="O86" t="n">
        <v>3</v>
      </c>
      <c r="P86" t="n">
        <v>0</v>
      </c>
      <c r="Q86" t="n">
        <v>3</v>
      </c>
      <c r="R86" s="2" t="inlineStr">
        <is>
          <t>Gammelgransskål
Garnlav
Gränsticka</t>
        </is>
      </c>
      <c r="S86">
        <f>HYPERLINK("https://klasma.github.io/Logging_2321/artfynd/A 61189-2020 artfynd.xlsx", "A 61189-2020")</f>
        <v/>
      </c>
      <c r="T86">
        <f>HYPERLINK("https://klasma.github.io/Logging_2321/kartor/A 61189-2020 karta.png", "A 61189-2020")</f>
        <v/>
      </c>
      <c r="V86">
        <f>HYPERLINK("https://klasma.github.io/Logging_2321/klagomål/A 61189-2020 FSC-klagomål.docx", "A 61189-2020")</f>
        <v/>
      </c>
      <c r="W86">
        <f>HYPERLINK("https://klasma.github.io/Logging_2321/klagomålsmail/A 61189-2020 FSC-klagomål mail.docx", "A 61189-2020")</f>
        <v/>
      </c>
      <c r="X86">
        <f>HYPERLINK("https://klasma.github.io/Logging_2321/tillsyn/A 61189-2020 tillsynsbegäran.docx", "A 61189-2020")</f>
        <v/>
      </c>
      <c r="Y86">
        <f>HYPERLINK("https://klasma.github.io/Logging_2321/tillsynsmail/A 61189-2020 tillsynsbegäran mail.docx", "A 61189-2020")</f>
        <v/>
      </c>
    </row>
    <row r="87" ht="15" customHeight="1">
      <c r="A87" t="inlineStr">
        <is>
          <t>A 61510-2020</t>
        </is>
      </c>
      <c r="B87" s="1" t="n">
        <v>44158</v>
      </c>
      <c r="C87" s="1" t="n">
        <v>45472</v>
      </c>
      <c r="D87" t="inlineStr">
        <is>
          <t>JÄMTLANDS LÄN</t>
        </is>
      </c>
      <c r="E87" t="inlineStr">
        <is>
          <t>ÅRE</t>
        </is>
      </c>
      <c r="F87" t="inlineStr">
        <is>
          <t>Övriga Aktiebolag</t>
        </is>
      </c>
      <c r="G87" t="n">
        <v>5.9</v>
      </c>
      <c r="H87" t="n">
        <v>2</v>
      </c>
      <c r="I87" t="n">
        <v>0</v>
      </c>
      <c r="J87" t="n">
        <v>2</v>
      </c>
      <c r="K87" t="n">
        <v>0</v>
      </c>
      <c r="L87" t="n">
        <v>0</v>
      </c>
      <c r="M87" t="n">
        <v>0</v>
      </c>
      <c r="N87" t="n">
        <v>0</v>
      </c>
      <c r="O87" t="n">
        <v>2</v>
      </c>
      <c r="P87" t="n">
        <v>0</v>
      </c>
      <c r="Q87" t="n">
        <v>3</v>
      </c>
      <c r="R87" s="2" t="inlineStr">
        <is>
          <t>Garnlav
Tretåig hackspett
Enkelbeckasin</t>
        </is>
      </c>
      <c r="S87">
        <f>HYPERLINK("https://klasma.github.io/Logging_2321/artfynd/A 61510-2020 artfynd.xlsx", "A 61510-2020")</f>
        <v/>
      </c>
      <c r="T87">
        <f>HYPERLINK("https://klasma.github.io/Logging_2321/kartor/A 61510-2020 karta.png", "A 61510-2020")</f>
        <v/>
      </c>
      <c r="V87">
        <f>HYPERLINK("https://klasma.github.io/Logging_2321/klagomål/A 61510-2020 FSC-klagomål.docx", "A 61510-2020")</f>
        <v/>
      </c>
      <c r="W87">
        <f>HYPERLINK("https://klasma.github.io/Logging_2321/klagomålsmail/A 61510-2020 FSC-klagomål mail.docx", "A 61510-2020")</f>
        <v/>
      </c>
      <c r="X87">
        <f>HYPERLINK("https://klasma.github.io/Logging_2321/tillsyn/A 61510-2020 tillsynsbegäran.docx", "A 61510-2020")</f>
        <v/>
      </c>
      <c r="Y87">
        <f>HYPERLINK("https://klasma.github.io/Logging_2321/tillsynsmail/A 61510-2020 tillsynsbegäran mail.docx", "A 61510-2020")</f>
        <v/>
      </c>
      <c r="Z87">
        <f>HYPERLINK("https://klasma.github.io/Logging_2321/fåglar/A 61510-2020 prioriterade fågelarter.docx", "A 61510-2020")</f>
        <v/>
      </c>
    </row>
    <row r="88" ht="15" customHeight="1">
      <c r="A88" t="inlineStr">
        <is>
          <t>A 10773-2021</t>
        </is>
      </c>
      <c r="B88" s="1" t="n">
        <v>44259</v>
      </c>
      <c r="C88" s="1" t="n">
        <v>45472</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14198-2021</t>
        </is>
      </c>
      <c r="B89" s="1" t="n">
        <v>44278</v>
      </c>
      <c r="C89" s="1" t="n">
        <v>45472</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45472</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72934-2021</t>
        </is>
      </c>
      <c r="B91" s="1" t="n">
        <v>44547</v>
      </c>
      <c r="C91" s="1" t="n">
        <v>45472</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45472</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45472</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58082-2022</t>
        </is>
      </c>
      <c r="B94" s="1" t="n">
        <v>44900</v>
      </c>
      <c r="C94" s="1" t="n">
        <v>45472</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59237-2022</t>
        </is>
      </c>
      <c r="B95" s="1" t="n">
        <v>44904</v>
      </c>
      <c r="C95" s="1" t="n">
        <v>45472</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8438-2023</t>
        </is>
      </c>
      <c r="B96" s="1" t="n">
        <v>44977</v>
      </c>
      <c r="C96" s="1" t="n">
        <v>45472</v>
      </c>
      <c r="D96" t="inlineStr">
        <is>
          <t>JÄMTLANDS LÄN</t>
        </is>
      </c>
      <c r="E96" t="inlineStr">
        <is>
          <t>ÅRE</t>
        </is>
      </c>
      <c r="F96" t="inlineStr">
        <is>
          <t>Övriga Aktiebolag</t>
        </is>
      </c>
      <c r="G96" t="n">
        <v>0.6</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8438-2023 artfynd.xlsx", "A 8438-2023")</f>
        <v/>
      </c>
      <c r="T96">
        <f>HYPERLINK("https://klasma.github.io/Logging_2321/kartor/A 8438-2023 karta.png", "A 8438-2023")</f>
        <v/>
      </c>
      <c r="V96">
        <f>HYPERLINK("https://klasma.github.io/Logging_2321/klagomål/A 8438-2023 FSC-klagomål.docx", "A 8438-2023")</f>
        <v/>
      </c>
      <c r="W96">
        <f>HYPERLINK("https://klasma.github.io/Logging_2321/klagomålsmail/A 8438-2023 FSC-klagomål mail.docx", "A 8438-2023")</f>
        <v/>
      </c>
      <c r="X96">
        <f>HYPERLINK("https://klasma.github.io/Logging_2321/tillsyn/A 8438-2023 tillsynsbegäran.docx", "A 8438-2023")</f>
        <v/>
      </c>
      <c r="Y96">
        <f>HYPERLINK("https://klasma.github.io/Logging_2321/tillsynsmail/A 8438-2023 tillsynsbegäran mail.docx", "A 8438-2023")</f>
        <v/>
      </c>
      <c r="Z96">
        <f>HYPERLINK("https://klasma.github.io/Logging_2321/fåglar/A 8438-2023 prioriterade fågelarter.docx", "A 8438-2023")</f>
        <v/>
      </c>
    </row>
    <row r="97" ht="15" customHeight="1">
      <c r="A97" t="inlineStr">
        <is>
          <t>A 8470-2023</t>
        </is>
      </c>
      <c r="B97" s="1" t="n">
        <v>44977</v>
      </c>
      <c r="C97" s="1" t="n">
        <v>45472</v>
      </c>
      <c r="D97" t="inlineStr">
        <is>
          <t>JÄMTLANDS LÄN</t>
        </is>
      </c>
      <c r="E97" t="inlineStr">
        <is>
          <t>ÅRE</t>
        </is>
      </c>
      <c r="F97" t="inlineStr">
        <is>
          <t>Övriga Aktiebolag</t>
        </is>
      </c>
      <c r="G97" t="n">
        <v>8.699999999999999</v>
      </c>
      <c r="H97" t="n">
        <v>1</v>
      </c>
      <c r="I97" t="n">
        <v>1</v>
      </c>
      <c r="J97" t="n">
        <v>2</v>
      </c>
      <c r="K97" t="n">
        <v>0</v>
      </c>
      <c r="L97" t="n">
        <v>0</v>
      </c>
      <c r="M97" t="n">
        <v>0</v>
      </c>
      <c r="N97" t="n">
        <v>0</v>
      </c>
      <c r="O97" t="n">
        <v>2</v>
      </c>
      <c r="P97" t="n">
        <v>0</v>
      </c>
      <c r="Q97" t="n">
        <v>3</v>
      </c>
      <c r="R97" s="2" t="inlineStr">
        <is>
          <t>Granticka
Tretåig hackspett
Skinnlav</t>
        </is>
      </c>
      <c r="S97">
        <f>HYPERLINK("https://klasma.github.io/Logging_2321/artfynd/A 8470-2023 artfynd.xlsx", "A 8470-2023")</f>
        <v/>
      </c>
      <c r="T97">
        <f>HYPERLINK("https://klasma.github.io/Logging_2321/kartor/A 8470-2023 karta.png", "A 8470-2023")</f>
        <v/>
      </c>
      <c r="V97">
        <f>HYPERLINK("https://klasma.github.io/Logging_2321/klagomål/A 8470-2023 FSC-klagomål.docx", "A 8470-2023")</f>
        <v/>
      </c>
      <c r="W97">
        <f>HYPERLINK("https://klasma.github.io/Logging_2321/klagomålsmail/A 8470-2023 FSC-klagomål mail.docx", "A 8470-2023")</f>
        <v/>
      </c>
      <c r="X97">
        <f>HYPERLINK("https://klasma.github.io/Logging_2321/tillsyn/A 8470-2023 tillsynsbegäran.docx", "A 8470-2023")</f>
        <v/>
      </c>
      <c r="Y97">
        <f>HYPERLINK("https://klasma.github.io/Logging_2321/tillsynsmail/A 8470-2023 tillsynsbegäran mail.docx", "A 8470-2023")</f>
        <v/>
      </c>
      <c r="Z97">
        <f>HYPERLINK("https://klasma.github.io/Logging_2321/fåglar/A 8470-2023 prioriterade fågelarter.docx", "A 8470-2023")</f>
        <v/>
      </c>
    </row>
    <row r="98" ht="15" customHeight="1">
      <c r="A98" t="inlineStr">
        <is>
          <t>A 10627-2023</t>
        </is>
      </c>
      <c r="B98" s="1" t="n">
        <v>44984</v>
      </c>
      <c r="C98" s="1" t="n">
        <v>45472</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20124-2023</t>
        </is>
      </c>
      <c r="B99" s="1" t="n">
        <v>45055</v>
      </c>
      <c r="C99" s="1" t="n">
        <v>45472</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23638-2023</t>
        </is>
      </c>
      <c r="B100" s="1" t="n">
        <v>45072</v>
      </c>
      <c r="C100" s="1" t="n">
        <v>45472</v>
      </c>
      <c r="D100" t="inlineStr">
        <is>
          <t>JÄMTLANDS LÄN</t>
        </is>
      </c>
      <c r="E100" t="inlineStr">
        <is>
          <t>ÅRE</t>
        </is>
      </c>
      <c r="G100" t="n">
        <v>11.2</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23638-2023 artfynd.xlsx", "A 23638-2023")</f>
        <v/>
      </c>
      <c r="T100">
        <f>HYPERLINK("https://klasma.github.io/Logging_2321/kartor/A 23638-2023 karta.png", "A 23638-2023")</f>
        <v/>
      </c>
      <c r="V100">
        <f>HYPERLINK("https://klasma.github.io/Logging_2321/klagomål/A 23638-2023 FSC-klagomål.docx", "A 23638-2023")</f>
        <v/>
      </c>
      <c r="W100">
        <f>HYPERLINK("https://klasma.github.io/Logging_2321/klagomålsmail/A 23638-2023 FSC-klagomål mail.docx", "A 23638-2023")</f>
        <v/>
      </c>
      <c r="X100">
        <f>HYPERLINK("https://klasma.github.io/Logging_2321/tillsyn/A 23638-2023 tillsynsbegäran.docx", "A 23638-2023")</f>
        <v/>
      </c>
      <c r="Y100">
        <f>HYPERLINK("https://klasma.github.io/Logging_2321/tillsynsmail/A 23638-2023 tillsynsbegäran mail.docx", "A 23638-2023")</f>
        <v/>
      </c>
      <c r="Z100">
        <f>HYPERLINK("https://klasma.github.io/Logging_2321/fåglar/A 23638-2023 prioriterade fågelarter.docx", "A 23638-2023")</f>
        <v/>
      </c>
    </row>
    <row r="101" ht="15" customHeight="1">
      <c r="A101" t="inlineStr">
        <is>
          <t>A 23729-2023</t>
        </is>
      </c>
      <c r="B101" s="1" t="n">
        <v>45072</v>
      </c>
      <c r="C101" s="1" t="n">
        <v>45472</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24549-2023</t>
        </is>
      </c>
      <c r="B102" s="1" t="n">
        <v>45082</v>
      </c>
      <c r="C102" s="1" t="n">
        <v>45472</v>
      </c>
      <c r="D102" t="inlineStr">
        <is>
          <t>JÄMTLANDS LÄN</t>
        </is>
      </c>
      <c r="E102" t="inlineStr">
        <is>
          <t>ÅRE</t>
        </is>
      </c>
      <c r="G102" t="n">
        <v>6.4</v>
      </c>
      <c r="H102" t="n">
        <v>2</v>
      </c>
      <c r="I102" t="n">
        <v>2</v>
      </c>
      <c r="J102" t="n">
        <v>0</v>
      </c>
      <c r="K102" t="n">
        <v>0</v>
      </c>
      <c r="L102" t="n">
        <v>0</v>
      </c>
      <c r="M102" t="n">
        <v>0</v>
      </c>
      <c r="N102" t="n">
        <v>0</v>
      </c>
      <c r="O102" t="n">
        <v>0</v>
      </c>
      <c r="P102" t="n">
        <v>0</v>
      </c>
      <c r="Q102" t="n">
        <v>3</v>
      </c>
      <c r="R102" s="2" t="inlineStr">
        <is>
          <t>Spindelblomster
Ögonpyrola
Revlummer</t>
        </is>
      </c>
      <c r="S102">
        <f>HYPERLINK("https://klasma.github.io/Logging_2321/artfynd/A 24549-2023 artfynd.xlsx", "A 24549-2023")</f>
        <v/>
      </c>
      <c r="T102">
        <f>HYPERLINK("https://klasma.github.io/Logging_2321/kartor/A 24549-2023 karta.png", "A 24549-2023")</f>
        <v/>
      </c>
      <c r="V102">
        <f>HYPERLINK("https://klasma.github.io/Logging_2321/klagomål/A 24549-2023 FSC-klagomål.docx", "A 24549-2023")</f>
        <v/>
      </c>
      <c r="W102">
        <f>HYPERLINK("https://klasma.github.io/Logging_2321/klagomålsmail/A 24549-2023 FSC-klagomål mail.docx", "A 24549-2023")</f>
        <v/>
      </c>
      <c r="X102">
        <f>HYPERLINK("https://klasma.github.io/Logging_2321/tillsyn/A 24549-2023 tillsynsbegäran.docx", "A 24549-2023")</f>
        <v/>
      </c>
      <c r="Y102">
        <f>HYPERLINK("https://klasma.github.io/Logging_2321/tillsynsmail/A 24549-2023 tillsynsbegäran mail.docx", "A 24549-2023")</f>
        <v/>
      </c>
    </row>
    <row r="103" ht="15" customHeight="1">
      <c r="A103" t="inlineStr">
        <is>
          <t>A 36260-2023</t>
        </is>
      </c>
      <c r="B103" s="1" t="n">
        <v>45151</v>
      </c>
      <c r="C103" s="1" t="n">
        <v>45472</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40245-2023</t>
        </is>
      </c>
      <c r="B104" s="1" t="n">
        <v>45167</v>
      </c>
      <c r="C104" s="1" t="n">
        <v>45472</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58387-2023</t>
        </is>
      </c>
      <c r="B105" s="1" t="n">
        <v>45250</v>
      </c>
      <c r="C105" s="1" t="n">
        <v>45472</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8121-2024</t>
        </is>
      </c>
      <c r="B106" s="1" t="n">
        <v>45351</v>
      </c>
      <c r="C106" s="1" t="n">
        <v>45472</v>
      </c>
      <c r="D106" t="inlineStr">
        <is>
          <t>JÄMTLANDS LÄN</t>
        </is>
      </c>
      <c r="E106" t="inlineStr">
        <is>
          <t>ÅRE</t>
        </is>
      </c>
      <c r="F106" t="inlineStr">
        <is>
          <t>Övriga Aktiebolag</t>
        </is>
      </c>
      <c r="G106" t="n">
        <v>14.7</v>
      </c>
      <c r="H106" t="n">
        <v>0</v>
      </c>
      <c r="I106" t="n">
        <v>0</v>
      </c>
      <c r="J106" t="n">
        <v>3</v>
      </c>
      <c r="K106" t="n">
        <v>0</v>
      </c>
      <c r="L106" t="n">
        <v>0</v>
      </c>
      <c r="M106" t="n">
        <v>0</v>
      </c>
      <c r="N106" t="n">
        <v>0</v>
      </c>
      <c r="O106" t="n">
        <v>3</v>
      </c>
      <c r="P106" t="n">
        <v>0</v>
      </c>
      <c r="Q106" t="n">
        <v>3</v>
      </c>
      <c r="R106" s="2" t="inlineStr">
        <is>
          <t>Dvärgbägarlav
Nordtagging
Skrovellav</t>
        </is>
      </c>
      <c r="S106">
        <f>HYPERLINK("https://klasma.github.io/Logging_2321/artfynd/A 8121-2024 artfynd.xlsx", "A 8121-2024")</f>
        <v/>
      </c>
      <c r="T106">
        <f>HYPERLINK("https://klasma.github.io/Logging_2321/kartor/A 8121-2024 karta.png", "A 8121-2024")</f>
        <v/>
      </c>
      <c r="V106">
        <f>HYPERLINK("https://klasma.github.io/Logging_2321/klagomål/A 8121-2024 FSC-klagomål.docx", "A 8121-2024")</f>
        <v/>
      </c>
      <c r="W106">
        <f>HYPERLINK("https://klasma.github.io/Logging_2321/klagomålsmail/A 8121-2024 FSC-klagomål mail.docx", "A 8121-2024")</f>
        <v/>
      </c>
      <c r="X106">
        <f>HYPERLINK("https://klasma.github.io/Logging_2321/tillsyn/A 8121-2024 tillsynsbegäran.docx", "A 8121-2024")</f>
        <v/>
      </c>
      <c r="Y106">
        <f>HYPERLINK("https://klasma.github.io/Logging_2321/tillsynsmail/A 8121-2024 tillsynsbegäran mail.docx", "A 8121-2024")</f>
        <v/>
      </c>
    </row>
    <row r="107" ht="15" customHeight="1">
      <c r="A107" t="inlineStr">
        <is>
          <t>A 10501-2024</t>
        </is>
      </c>
      <c r="B107" s="1" t="n">
        <v>45366</v>
      </c>
      <c r="C107" s="1" t="n">
        <v>45472</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17637-2024</t>
        </is>
      </c>
      <c r="B108" s="1" t="n">
        <v>45418</v>
      </c>
      <c r="C108" s="1" t="n">
        <v>45472</v>
      </c>
      <c r="D108" t="inlineStr">
        <is>
          <t>JÄMTLANDS LÄN</t>
        </is>
      </c>
      <c r="E108" t="inlineStr">
        <is>
          <t>ÅRE</t>
        </is>
      </c>
      <c r="F108" t="inlineStr">
        <is>
          <t>Övriga Aktiebolag</t>
        </is>
      </c>
      <c r="G108" t="n">
        <v>16.1</v>
      </c>
      <c r="H108" t="n">
        <v>1</v>
      </c>
      <c r="I108" t="n">
        <v>0</v>
      </c>
      <c r="J108" t="n">
        <v>2</v>
      </c>
      <c r="K108" t="n">
        <v>0</v>
      </c>
      <c r="L108" t="n">
        <v>0</v>
      </c>
      <c r="M108" t="n">
        <v>0</v>
      </c>
      <c r="N108" t="n">
        <v>0</v>
      </c>
      <c r="O108" t="n">
        <v>2</v>
      </c>
      <c r="P108" t="n">
        <v>0</v>
      </c>
      <c r="Q108" t="n">
        <v>3</v>
      </c>
      <c r="R108" s="2" t="inlineStr">
        <is>
          <t>Doftskinn
Garnlav
Fläcknycklar</t>
        </is>
      </c>
      <c r="S108">
        <f>HYPERLINK("https://klasma.github.io/Logging_2321/artfynd/A 17637-2024 artfynd.xlsx", "A 17637-2024")</f>
        <v/>
      </c>
      <c r="T108">
        <f>HYPERLINK("https://klasma.github.io/Logging_2321/kartor/A 17637-2024 karta.png", "A 17637-2024")</f>
        <v/>
      </c>
      <c r="V108">
        <f>HYPERLINK("https://klasma.github.io/Logging_2321/klagomål/A 17637-2024 FSC-klagomål.docx", "A 17637-2024")</f>
        <v/>
      </c>
      <c r="W108">
        <f>HYPERLINK("https://klasma.github.io/Logging_2321/klagomålsmail/A 17637-2024 FSC-klagomål mail.docx", "A 17637-2024")</f>
        <v/>
      </c>
      <c r="X108">
        <f>HYPERLINK("https://klasma.github.io/Logging_2321/tillsyn/A 17637-2024 tillsynsbegäran.docx", "A 17637-2024")</f>
        <v/>
      </c>
      <c r="Y108">
        <f>HYPERLINK("https://klasma.github.io/Logging_2321/tillsynsmail/A 17637-2024 tillsynsbegäran mail.docx", "A 17637-2024")</f>
        <v/>
      </c>
    </row>
    <row r="109" ht="15" customHeight="1">
      <c r="A109" t="inlineStr">
        <is>
          <t>A 18716-2024</t>
        </is>
      </c>
      <c r="B109" s="1" t="n">
        <v>45426</v>
      </c>
      <c r="C109" s="1" t="n">
        <v>45472</v>
      </c>
      <c r="D109" t="inlineStr">
        <is>
          <t>JÄMTLANDS LÄN</t>
        </is>
      </c>
      <c r="E109" t="inlineStr">
        <is>
          <t>ÅRE</t>
        </is>
      </c>
      <c r="F109" t="inlineStr">
        <is>
          <t>Övriga Aktiebolag</t>
        </is>
      </c>
      <c r="G109" t="n">
        <v>1.3</v>
      </c>
      <c r="H109" t="n">
        <v>1</v>
      </c>
      <c r="I109" t="n">
        <v>0</v>
      </c>
      <c r="J109" t="n">
        <v>3</v>
      </c>
      <c r="K109" t="n">
        <v>0</v>
      </c>
      <c r="L109" t="n">
        <v>0</v>
      </c>
      <c r="M109" t="n">
        <v>0</v>
      </c>
      <c r="N109" t="n">
        <v>0</v>
      </c>
      <c r="O109" t="n">
        <v>3</v>
      </c>
      <c r="P109" t="n">
        <v>0</v>
      </c>
      <c r="Q109" t="n">
        <v>3</v>
      </c>
      <c r="R109" s="2" t="inlineStr">
        <is>
          <t>Doftskinn
Granticka
Tretåig hackspett</t>
        </is>
      </c>
      <c r="S109">
        <f>HYPERLINK("https://klasma.github.io/Logging_2321/artfynd/A 18716-2024 artfynd.xlsx", "A 18716-2024")</f>
        <v/>
      </c>
      <c r="T109">
        <f>HYPERLINK("https://klasma.github.io/Logging_2321/kartor/A 18716-2024 karta.png", "A 18716-2024")</f>
        <v/>
      </c>
      <c r="V109">
        <f>HYPERLINK("https://klasma.github.io/Logging_2321/klagomål/A 18716-2024 FSC-klagomål.docx", "A 18716-2024")</f>
        <v/>
      </c>
      <c r="W109">
        <f>HYPERLINK("https://klasma.github.io/Logging_2321/klagomålsmail/A 18716-2024 FSC-klagomål mail.docx", "A 18716-2024")</f>
        <v/>
      </c>
      <c r="X109">
        <f>HYPERLINK("https://klasma.github.io/Logging_2321/tillsyn/A 18716-2024 tillsynsbegäran.docx", "A 18716-2024")</f>
        <v/>
      </c>
      <c r="Y109">
        <f>HYPERLINK("https://klasma.github.io/Logging_2321/tillsynsmail/A 18716-2024 tillsynsbegäran mail.docx", "A 18716-2024")</f>
        <v/>
      </c>
      <c r="Z109">
        <f>HYPERLINK("https://klasma.github.io/Logging_2321/fåglar/A 18716-2024 prioriterade fågelarter.docx", "A 18716-2024")</f>
        <v/>
      </c>
    </row>
    <row r="110" ht="15" customHeight="1">
      <c r="A110" t="inlineStr">
        <is>
          <t>A 35409-2019</t>
        </is>
      </c>
      <c r="B110" s="1" t="n">
        <v>43661</v>
      </c>
      <c r="C110" s="1" t="n">
        <v>45472</v>
      </c>
      <c r="D110" t="inlineStr">
        <is>
          <t>JÄMTLANDS LÄN</t>
        </is>
      </c>
      <c r="E110" t="inlineStr">
        <is>
          <t>ÅRE</t>
        </is>
      </c>
      <c r="G110" t="n">
        <v>2.5</v>
      </c>
      <c r="H110" t="n">
        <v>0</v>
      </c>
      <c r="I110" t="n">
        <v>1</v>
      </c>
      <c r="J110" t="n">
        <v>1</v>
      </c>
      <c r="K110" t="n">
        <v>0</v>
      </c>
      <c r="L110" t="n">
        <v>0</v>
      </c>
      <c r="M110" t="n">
        <v>0</v>
      </c>
      <c r="N110" t="n">
        <v>0</v>
      </c>
      <c r="O110" t="n">
        <v>1</v>
      </c>
      <c r="P110" t="n">
        <v>0</v>
      </c>
      <c r="Q110" t="n">
        <v>2</v>
      </c>
      <c r="R110" s="2" t="inlineStr">
        <is>
          <t>Garnlav
Trådticka</t>
        </is>
      </c>
      <c r="S110">
        <f>HYPERLINK("https://klasma.github.io/Logging_2321/artfynd/A 35409-2019 artfynd.xlsx", "A 35409-2019")</f>
        <v/>
      </c>
      <c r="T110">
        <f>HYPERLINK("https://klasma.github.io/Logging_2321/kartor/A 35409-2019 karta.png", "A 35409-2019")</f>
        <v/>
      </c>
      <c r="V110">
        <f>HYPERLINK("https://klasma.github.io/Logging_2321/klagomål/A 35409-2019 FSC-klagomål.docx", "A 35409-2019")</f>
        <v/>
      </c>
      <c r="W110">
        <f>HYPERLINK("https://klasma.github.io/Logging_2321/klagomålsmail/A 35409-2019 FSC-klagomål mail.docx", "A 35409-2019")</f>
        <v/>
      </c>
      <c r="X110">
        <f>HYPERLINK("https://klasma.github.io/Logging_2321/tillsyn/A 35409-2019 tillsynsbegäran.docx", "A 35409-2019")</f>
        <v/>
      </c>
      <c r="Y110">
        <f>HYPERLINK("https://klasma.github.io/Logging_2321/tillsynsmail/A 35409-2019 tillsynsbegäran mail.docx", "A 35409-2019")</f>
        <v/>
      </c>
    </row>
    <row r="111" ht="15" customHeight="1">
      <c r="A111" t="inlineStr">
        <is>
          <t>A 46012-2019</t>
        </is>
      </c>
      <c r="B111" s="1" t="n">
        <v>43718</v>
      </c>
      <c r="C111" s="1" t="n">
        <v>45472</v>
      </c>
      <c r="D111" t="inlineStr">
        <is>
          <t>JÄMTLANDS LÄN</t>
        </is>
      </c>
      <c r="E111" t="inlineStr">
        <is>
          <t>ÅRE</t>
        </is>
      </c>
      <c r="F111" t="inlineStr">
        <is>
          <t>Kommuner</t>
        </is>
      </c>
      <c r="G111" t="n">
        <v>13.4</v>
      </c>
      <c r="H111" t="n">
        <v>1</v>
      </c>
      <c r="I111" t="n">
        <v>0</v>
      </c>
      <c r="J111" t="n">
        <v>1</v>
      </c>
      <c r="K111" t="n">
        <v>1</v>
      </c>
      <c r="L111" t="n">
        <v>0</v>
      </c>
      <c r="M111" t="n">
        <v>0</v>
      </c>
      <c r="N111" t="n">
        <v>0</v>
      </c>
      <c r="O111" t="n">
        <v>2</v>
      </c>
      <c r="P111" t="n">
        <v>1</v>
      </c>
      <c r="Q111" t="n">
        <v>2</v>
      </c>
      <c r="R111" s="2" t="inlineStr">
        <is>
          <t>Knärot
Ullticka</t>
        </is>
      </c>
      <c r="S111">
        <f>HYPERLINK("https://klasma.github.io/Logging_2321/artfynd/A 46012-2019 artfynd.xlsx", "A 46012-2019")</f>
        <v/>
      </c>
      <c r="T111">
        <f>HYPERLINK("https://klasma.github.io/Logging_2321/kartor/A 46012-2019 karta.png", "A 46012-2019")</f>
        <v/>
      </c>
      <c r="U111">
        <f>HYPERLINK("https://klasma.github.io/Logging_2321/knärot/A 46012-2019 karta knärot.png", "A 46012-2019")</f>
        <v/>
      </c>
      <c r="V111">
        <f>HYPERLINK("https://klasma.github.io/Logging_2321/klagomål/A 46012-2019 FSC-klagomål.docx", "A 46012-2019")</f>
        <v/>
      </c>
      <c r="W111">
        <f>HYPERLINK("https://klasma.github.io/Logging_2321/klagomålsmail/A 46012-2019 FSC-klagomål mail.docx", "A 46012-2019")</f>
        <v/>
      </c>
      <c r="X111">
        <f>HYPERLINK("https://klasma.github.io/Logging_2321/tillsyn/A 46012-2019 tillsynsbegäran.docx", "A 46012-2019")</f>
        <v/>
      </c>
      <c r="Y111">
        <f>HYPERLINK("https://klasma.github.io/Logging_2321/tillsynsmail/A 46012-2019 tillsynsbegäran mail.docx", "A 46012-2019")</f>
        <v/>
      </c>
    </row>
    <row r="112" ht="15" customHeight="1">
      <c r="A112" t="inlineStr">
        <is>
          <t>A 32661-2020</t>
        </is>
      </c>
      <c r="B112" s="1" t="n">
        <v>44018</v>
      </c>
      <c r="C112" s="1" t="n">
        <v>45472</v>
      </c>
      <c r="D112" t="inlineStr">
        <is>
          <t>JÄMTLANDS LÄN</t>
        </is>
      </c>
      <c r="E112" t="inlineStr">
        <is>
          <t>ÅRE</t>
        </is>
      </c>
      <c r="G112" t="n">
        <v>1.8</v>
      </c>
      <c r="H112" t="n">
        <v>0</v>
      </c>
      <c r="I112" t="n">
        <v>1</v>
      </c>
      <c r="J112" t="n">
        <v>1</v>
      </c>
      <c r="K112" t="n">
        <v>0</v>
      </c>
      <c r="L112" t="n">
        <v>0</v>
      </c>
      <c r="M112" t="n">
        <v>0</v>
      </c>
      <c r="N112" t="n">
        <v>0</v>
      </c>
      <c r="O112" t="n">
        <v>1</v>
      </c>
      <c r="P112" t="n">
        <v>0</v>
      </c>
      <c r="Q112" t="n">
        <v>2</v>
      </c>
      <c r="R112" s="2" t="inlineStr">
        <is>
          <t>Garnlav
Luddlav</t>
        </is>
      </c>
      <c r="S112">
        <f>HYPERLINK("https://klasma.github.io/Logging_2321/artfynd/A 32661-2020 artfynd.xlsx", "A 32661-2020")</f>
        <v/>
      </c>
      <c r="T112">
        <f>HYPERLINK("https://klasma.github.io/Logging_2321/kartor/A 32661-2020 karta.png", "A 32661-2020")</f>
        <v/>
      </c>
      <c r="V112">
        <f>HYPERLINK("https://klasma.github.io/Logging_2321/klagomål/A 32661-2020 FSC-klagomål.docx", "A 32661-2020")</f>
        <v/>
      </c>
      <c r="W112">
        <f>HYPERLINK("https://klasma.github.io/Logging_2321/klagomålsmail/A 32661-2020 FSC-klagomål mail.docx", "A 32661-2020")</f>
        <v/>
      </c>
      <c r="X112">
        <f>HYPERLINK("https://klasma.github.io/Logging_2321/tillsyn/A 32661-2020 tillsynsbegäran.docx", "A 32661-2020")</f>
        <v/>
      </c>
      <c r="Y112">
        <f>HYPERLINK("https://klasma.github.io/Logging_2321/tillsynsmail/A 32661-2020 tillsynsbegäran mail.docx", "A 32661-2020")</f>
        <v/>
      </c>
    </row>
    <row r="113" ht="15" customHeight="1">
      <c r="A113" t="inlineStr">
        <is>
          <t>A 35623-2020</t>
        </is>
      </c>
      <c r="B113" s="1" t="n">
        <v>44046</v>
      </c>
      <c r="C113" s="1" t="n">
        <v>45472</v>
      </c>
      <c r="D113" t="inlineStr">
        <is>
          <t>JÄMTLANDS LÄN</t>
        </is>
      </c>
      <c r="E113" t="inlineStr">
        <is>
          <t>ÅRE</t>
        </is>
      </c>
      <c r="G113" t="n">
        <v>15.8</v>
      </c>
      <c r="H113" t="n">
        <v>0</v>
      </c>
      <c r="I113" t="n">
        <v>0</v>
      </c>
      <c r="J113" t="n">
        <v>1</v>
      </c>
      <c r="K113" t="n">
        <v>1</v>
      </c>
      <c r="L113" t="n">
        <v>0</v>
      </c>
      <c r="M113" t="n">
        <v>0</v>
      </c>
      <c r="N113" t="n">
        <v>0</v>
      </c>
      <c r="O113" t="n">
        <v>2</v>
      </c>
      <c r="P113" t="n">
        <v>1</v>
      </c>
      <c r="Q113" t="n">
        <v>2</v>
      </c>
      <c r="R113" s="2" t="inlineStr">
        <is>
          <t>Norsk näverlav
Gammelgransskål</t>
        </is>
      </c>
      <c r="S113">
        <f>HYPERLINK("https://klasma.github.io/Logging_2321/artfynd/A 35623-2020 artfynd.xlsx", "A 35623-2020")</f>
        <v/>
      </c>
      <c r="T113">
        <f>HYPERLINK("https://klasma.github.io/Logging_2321/kartor/A 35623-2020 karta.png", "A 35623-2020")</f>
        <v/>
      </c>
      <c r="V113">
        <f>HYPERLINK("https://klasma.github.io/Logging_2321/klagomål/A 35623-2020 FSC-klagomål.docx", "A 35623-2020")</f>
        <v/>
      </c>
      <c r="W113">
        <f>HYPERLINK("https://klasma.github.io/Logging_2321/klagomålsmail/A 35623-2020 FSC-klagomål mail.docx", "A 35623-2020")</f>
        <v/>
      </c>
      <c r="X113">
        <f>HYPERLINK("https://klasma.github.io/Logging_2321/tillsyn/A 35623-2020 tillsynsbegäran.docx", "A 35623-2020")</f>
        <v/>
      </c>
      <c r="Y113">
        <f>HYPERLINK("https://klasma.github.io/Logging_2321/tillsynsmail/A 35623-2020 tillsynsbegäran mail.docx", "A 35623-2020")</f>
        <v/>
      </c>
    </row>
    <row r="114" ht="15" customHeight="1">
      <c r="A114" t="inlineStr">
        <is>
          <t>A 52778-2020</t>
        </is>
      </c>
      <c r="B114" s="1" t="n">
        <v>44119</v>
      </c>
      <c r="C114" s="1" t="n">
        <v>45472</v>
      </c>
      <c r="D114" t="inlineStr">
        <is>
          <t>JÄMTLANDS LÄN</t>
        </is>
      </c>
      <c r="E114" t="inlineStr">
        <is>
          <t>ÅRE</t>
        </is>
      </c>
      <c r="G114" t="n">
        <v>16.5</v>
      </c>
      <c r="H114" t="n">
        <v>0</v>
      </c>
      <c r="I114" t="n">
        <v>0</v>
      </c>
      <c r="J114" t="n">
        <v>2</v>
      </c>
      <c r="K114" t="n">
        <v>0</v>
      </c>
      <c r="L114" t="n">
        <v>0</v>
      </c>
      <c r="M114" t="n">
        <v>0</v>
      </c>
      <c r="N114" t="n">
        <v>0</v>
      </c>
      <c r="O114" t="n">
        <v>2</v>
      </c>
      <c r="P114" t="n">
        <v>0</v>
      </c>
      <c r="Q114" t="n">
        <v>2</v>
      </c>
      <c r="R114" s="2" t="inlineStr">
        <is>
          <t>Garnlav
Granticka</t>
        </is>
      </c>
      <c r="S114">
        <f>HYPERLINK("https://klasma.github.io/Logging_2321/artfynd/A 52778-2020 artfynd.xlsx", "A 52778-2020")</f>
        <v/>
      </c>
      <c r="T114">
        <f>HYPERLINK("https://klasma.github.io/Logging_2321/kartor/A 52778-2020 karta.png", "A 52778-2020")</f>
        <v/>
      </c>
      <c r="V114">
        <f>HYPERLINK("https://klasma.github.io/Logging_2321/klagomål/A 52778-2020 FSC-klagomål.docx", "A 52778-2020")</f>
        <v/>
      </c>
      <c r="W114">
        <f>HYPERLINK("https://klasma.github.io/Logging_2321/klagomålsmail/A 52778-2020 FSC-klagomål mail.docx", "A 52778-2020")</f>
        <v/>
      </c>
      <c r="X114">
        <f>HYPERLINK("https://klasma.github.io/Logging_2321/tillsyn/A 52778-2020 tillsynsbegäran.docx", "A 52778-2020")</f>
        <v/>
      </c>
      <c r="Y114">
        <f>HYPERLINK("https://klasma.github.io/Logging_2321/tillsynsmail/A 52778-2020 tillsynsbegäran mail.docx", "A 52778-2020")</f>
        <v/>
      </c>
    </row>
    <row r="115" ht="15" customHeight="1">
      <c r="A115" t="inlineStr">
        <is>
          <t>A 5388-2021</t>
        </is>
      </c>
      <c r="B115" s="1" t="n">
        <v>44229</v>
      </c>
      <c r="C115" s="1" t="n">
        <v>45472</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18792-2021</t>
        </is>
      </c>
      <c r="B116" s="1" t="n">
        <v>44307</v>
      </c>
      <c r="C116" s="1" t="n">
        <v>45472</v>
      </c>
      <c r="D116" t="inlineStr">
        <is>
          <t>JÄMTLANDS LÄN</t>
        </is>
      </c>
      <c r="E116" t="inlineStr">
        <is>
          <t>ÅRE</t>
        </is>
      </c>
      <c r="G116" t="n">
        <v>16.6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18792-2021 artfynd.xlsx", "A 18792-2021")</f>
        <v/>
      </c>
      <c r="T116">
        <f>HYPERLINK("https://klasma.github.io/Logging_2321/kartor/A 18792-2021 karta.png", "A 18792-2021")</f>
        <v/>
      </c>
      <c r="V116">
        <f>HYPERLINK("https://klasma.github.io/Logging_2321/klagomål/A 18792-2021 FSC-klagomål.docx", "A 18792-2021")</f>
        <v/>
      </c>
      <c r="W116">
        <f>HYPERLINK("https://klasma.github.io/Logging_2321/klagomålsmail/A 18792-2021 FSC-klagomål mail.docx", "A 18792-2021")</f>
        <v/>
      </c>
      <c r="X116">
        <f>HYPERLINK("https://klasma.github.io/Logging_2321/tillsyn/A 18792-2021 tillsynsbegäran.docx", "A 18792-2021")</f>
        <v/>
      </c>
      <c r="Y116">
        <f>HYPERLINK("https://klasma.github.io/Logging_2321/tillsynsmail/A 18792-2021 tillsynsbegäran mail.docx", "A 18792-2021")</f>
        <v/>
      </c>
      <c r="Z116">
        <f>HYPERLINK("https://klasma.github.io/Logging_2321/fåglar/A 18792-2021 prioriterade fågelarter.docx", "A 18792-2021")</f>
        <v/>
      </c>
    </row>
    <row r="117" ht="15" customHeight="1">
      <c r="A117" t="inlineStr">
        <is>
          <t>A 23566-2021</t>
        </is>
      </c>
      <c r="B117" s="1" t="n">
        <v>44334</v>
      </c>
      <c r="C117" s="1" t="n">
        <v>45472</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45472</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64663-2021</t>
        </is>
      </c>
      <c r="B119" s="1" t="n">
        <v>44512</v>
      </c>
      <c r="C119" s="1" t="n">
        <v>45472</v>
      </c>
      <c r="D119" t="inlineStr">
        <is>
          <t>JÄMTLANDS LÄN</t>
        </is>
      </c>
      <c r="E119" t="inlineStr">
        <is>
          <t>ÅRE</t>
        </is>
      </c>
      <c r="G119" t="n">
        <v>14.5</v>
      </c>
      <c r="H119" t="n">
        <v>0</v>
      </c>
      <c r="I119" t="n">
        <v>0</v>
      </c>
      <c r="J119" t="n">
        <v>1</v>
      </c>
      <c r="K119" t="n">
        <v>1</v>
      </c>
      <c r="L119" t="n">
        <v>0</v>
      </c>
      <c r="M119" t="n">
        <v>0</v>
      </c>
      <c r="N119" t="n">
        <v>0</v>
      </c>
      <c r="O119" t="n">
        <v>2</v>
      </c>
      <c r="P119" t="n">
        <v>1</v>
      </c>
      <c r="Q119" t="n">
        <v>2</v>
      </c>
      <c r="R119" s="2" t="inlineStr">
        <is>
          <t>Sotbandad spindling
Vitterspindling</t>
        </is>
      </c>
      <c r="S119">
        <f>HYPERLINK("https://klasma.github.io/Logging_2321/artfynd/A 64663-2021 artfynd.xlsx", "A 64663-2021")</f>
        <v/>
      </c>
      <c r="T119">
        <f>HYPERLINK("https://klasma.github.io/Logging_2321/kartor/A 64663-2021 karta.png", "A 64663-2021")</f>
        <v/>
      </c>
      <c r="V119">
        <f>HYPERLINK("https://klasma.github.io/Logging_2321/klagomål/A 64663-2021 FSC-klagomål.docx", "A 64663-2021")</f>
        <v/>
      </c>
      <c r="W119">
        <f>HYPERLINK("https://klasma.github.io/Logging_2321/klagomålsmail/A 64663-2021 FSC-klagomål mail.docx", "A 64663-2021")</f>
        <v/>
      </c>
      <c r="X119">
        <f>HYPERLINK("https://klasma.github.io/Logging_2321/tillsyn/A 64663-2021 tillsynsbegäran.docx", "A 64663-2021")</f>
        <v/>
      </c>
      <c r="Y119">
        <f>HYPERLINK("https://klasma.github.io/Logging_2321/tillsynsmail/A 64663-2021 tillsynsbegäran mail.docx", "A 64663-2021")</f>
        <v/>
      </c>
    </row>
    <row r="120" ht="15" customHeight="1">
      <c r="A120" t="inlineStr">
        <is>
          <t>A 64668-2021</t>
        </is>
      </c>
      <c r="B120" s="1" t="n">
        <v>44512</v>
      </c>
      <c r="C120" s="1" t="n">
        <v>45472</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5160-2022</t>
        </is>
      </c>
      <c r="B121" s="1" t="n">
        <v>44593</v>
      </c>
      <c r="C121" s="1" t="n">
        <v>45472</v>
      </c>
      <c r="D121" t="inlineStr">
        <is>
          <t>JÄMTLANDS LÄN</t>
        </is>
      </c>
      <c r="E121" t="inlineStr">
        <is>
          <t>ÅRE</t>
        </is>
      </c>
      <c r="G121" t="n">
        <v>11.4</v>
      </c>
      <c r="H121" t="n">
        <v>2</v>
      </c>
      <c r="I121" t="n">
        <v>0</v>
      </c>
      <c r="J121" t="n">
        <v>1</v>
      </c>
      <c r="K121" t="n">
        <v>0</v>
      </c>
      <c r="L121" t="n">
        <v>0</v>
      </c>
      <c r="M121" t="n">
        <v>0</v>
      </c>
      <c r="N121" t="n">
        <v>0</v>
      </c>
      <c r="O121" t="n">
        <v>1</v>
      </c>
      <c r="P121" t="n">
        <v>0</v>
      </c>
      <c r="Q121" t="n">
        <v>2</v>
      </c>
      <c r="R121" s="2" t="inlineStr">
        <is>
          <t>Tretåig hackspett
Vanlig groda</t>
        </is>
      </c>
      <c r="S121">
        <f>HYPERLINK("https://klasma.github.io/Logging_2321/artfynd/A 5160-2022 artfynd.xlsx", "A 5160-2022")</f>
        <v/>
      </c>
      <c r="T121">
        <f>HYPERLINK("https://klasma.github.io/Logging_2321/kartor/A 5160-2022 karta.png", "A 5160-2022")</f>
        <v/>
      </c>
      <c r="V121">
        <f>HYPERLINK("https://klasma.github.io/Logging_2321/klagomål/A 5160-2022 FSC-klagomål.docx", "A 5160-2022")</f>
        <v/>
      </c>
      <c r="W121">
        <f>HYPERLINK("https://klasma.github.io/Logging_2321/klagomålsmail/A 5160-2022 FSC-klagomål mail.docx", "A 5160-2022")</f>
        <v/>
      </c>
      <c r="X121">
        <f>HYPERLINK("https://klasma.github.io/Logging_2321/tillsyn/A 5160-2022 tillsynsbegäran.docx", "A 5160-2022")</f>
        <v/>
      </c>
      <c r="Y121">
        <f>HYPERLINK("https://klasma.github.io/Logging_2321/tillsynsmail/A 5160-2022 tillsynsbegäran mail.docx", "A 5160-2022")</f>
        <v/>
      </c>
      <c r="Z121">
        <f>HYPERLINK("https://klasma.github.io/Logging_2321/fåglar/A 5160-2022 prioriterade fågelarter.docx", "A 5160-2022")</f>
        <v/>
      </c>
    </row>
    <row r="122" ht="15" customHeight="1">
      <c r="A122" t="inlineStr">
        <is>
          <t>A 22231-2022</t>
        </is>
      </c>
      <c r="B122" s="1" t="n">
        <v>44712</v>
      </c>
      <c r="C122" s="1" t="n">
        <v>45472</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22974-2022</t>
        </is>
      </c>
      <c r="B123" s="1" t="n">
        <v>44716</v>
      </c>
      <c r="C123" s="1" t="n">
        <v>45472</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32207-2022</t>
        </is>
      </c>
      <c r="B124" s="1" t="n">
        <v>44781</v>
      </c>
      <c r="C124" s="1" t="n">
        <v>45472</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55739-2022</t>
        </is>
      </c>
      <c r="B125" s="1" t="n">
        <v>44888</v>
      </c>
      <c r="C125" s="1" t="n">
        <v>45472</v>
      </c>
      <c r="D125" t="inlineStr">
        <is>
          <t>JÄMTLANDS LÄN</t>
        </is>
      </c>
      <c r="E125" t="inlineStr">
        <is>
          <t>ÅRE</t>
        </is>
      </c>
      <c r="F125" t="inlineStr">
        <is>
          <t>Övriga Aktiebolag</t>
        </is>
      </c>
      <c r="G125" t="n">
        <v>10.2</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55739-2022 artfynd.xlsx", "A 55739-2022")</f>
        <v/>
      </c>
      <c r="T125">
        <f>HYPERLINK("https://klasma.github.io/Logging_2321/kartor/A 55739-2022 karta.png", "A 55739-2022")</f>
        <v/>
      </c>
      <c r="V125">
        <f>HYPERLINK("https://klasma.github.io/Logging_2321/klagomål/A 55739-2022 FSC-klagomål.docx", "A 55739-2022")</f>
        <v/>
      </c>
      <c r="W125">
        <f>HYPERLINK("https://klasma.github.io/Logging_2321/klagomålsmail/A 55739-2022 FSC-klagomål mail.docx", "A 55739-2022")</f>
        <v/>
      </c>
      <c r="X125">
        <f>HYPERLINK("https://klasma.github.io/Logging_2321/tillsyn/A 55739-2022 tillsynsbegäran.docx", "A 55739-2022")</f>
        <v/>
      </c>
      <c r="Y125">
        <f>HYPERLINK("https://klasma.github.io/Logging_2321/tillsynsmail/A 55739-2022 tillsynsbegäran mail.docx", "A 55739-2022")</f>
        <v/>
      </c>
      <c r="Z125">
        <f>HYPERLINK("https://klasma.github.io/Logging_2321/fåglar/A 55739-2022 prioriterade fågelarter.docx", "A 55739-2022")</f>
        <v/>
      </c>
    </row>
    <row r="126" ht="15" customHeight="1">
      <c r="A126" t="inlineStr">
        <is>
          <t>A 56472-2022</t>
        </is>
      </c>
      <c r="B126" s="1" t="n">
        <v>44893</v>
      </c>
      <c r="C126" s="1" t="n">
        <v>45472</v>
      </c>
      <c r="D126" t="inlineStr">
        <is>
          <t>JÄMTLANDS LÄN</t>
        </is>
      </c>
      <c r="E126" t="inlineStr">
        <is>
          <t>ÅRE</t>
        </is>
      </c>
      <c r="F126" t="inlineStr">
        <is>
          <t>Övriga Aktiebolag</t>
        </is>
      </c>
      <c r="G126" t="n">
        <v>22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56472-2022 artfynd.xlsx", "A 56472-2022")</f>
        <v/>
      </c>
      <c r="T126">
        <f>HYPERLINK("https://klasma.github.io/Logging_2321/kartor/A 56472-2022 karta.png", "A 56472-2022")</f>
        <v/>
      </c>
      <c r="V126">
        <f>HYPERLINK("https://klasma.github.io/Logging_2321/klagomål/A 56472-2022 FSC-klagomål.docx", "A 56472-2022")</f>
        <v/>
      </c>
      <c r="W126">
        <f>HYPERLINK("https://klasma.github.io/Logging_2321/klagomålsmail/A 56472-2022 FSC-klagomål mail.docx", "A 56472-2022")</f>
        <v/>
      </c>
      <c r="X126">
        <f>HYPERLINK("https://klasma.github.io/Logging_2321/tillsyn/A 56472-2022 tillsynsbegäran.docx", "A 56472-2022")</f>
        <v/>
      </c>
      <c r="Y126">
        <f>HYPERLINK("https://klasma.github.io/Logging_2321/tillsynsmail/A 56472-2022 tillsynsbegäran mail.docx", "A 56472-2022")</f>
        <v/>
      </c>
      <c r="Z126">
        <f>HYPERLINK("https://klasma.github.io/Logging_2321/fåglar/A 56472-2022 prioriterade fågelarter.docx", "A 56472-2022")</f>
        <v/>
      </c>
    </row>
    <row r="127" ht="15" customHeight="1">
      <c r="A127" t="inlineStr">
        <is>
          <t>A 60533-2022</t>
        </is>
      </c>
      <c r="B127" s="1" t="n">
        <v>44904</v>
      </c>
      <c r="C127" s="1" t="n">
        <v>45472</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3152-2023</t>
        </is>
      </c>
      <c r="B128" s="1" t="n">
        <v>44946</v>
      </c>
      <c r="C128" s="1" t="n">
        <v>45472</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5531-2023</t>
        </is>
      </c>
      <c r="B129" s="1" t="n">
        <v>44957</v>
      </c>
      <c r="C129" s="1" t="n">
        <v>45472</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5418-2023</t>
        </is>
      </c>
      <c r="B130" s="1" t="n">
        <v>44957</v>
      </c>
      <c r="C130" s="1" t="n">
        <v>45472</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6107-2023</t>
        </is>
      </c>
      <c r="B131" s="1" t="n">
        <v>44964</v>
      </c>
      <c r="C131" s="1" t="n">
        <v>45472</v>
      </c>
      <c r="D131" t="inlineStr">
        <is>
          <t>JÄMTLANDS LÄN</t>
        </is>
      </c>
      <c r="E131" t="inlineStr">
        <is>
          <t>ÅRE</t>
        </is>
      </c>
      <c r="G131" t="n">
        <v>1.9</v>
      </c>
      <c r="H131" t="n">
        <v>0</v>
      </c>
      <c r="I131" t="n">
        <v>1</v>
      </c>
      <c r="J131" t="n">
        <v>1</v>
      </c>
      <c r="K131" t="n">
        <v>0</v>
      </c>
      <c r="L131" t="n">
        <v>0</v>
      </c>
      <c r="M131" t="n">
        <v>0</v>
      </c>
      <c r="N131" t="n">
        <v>0</v>
      </c>
      <c r="O131" t="n">
        <v>1</v>
      </c>
      <c r="P131" t="n">
        <v>0</v>
      </c>
      <c r="Q131" t="n">
        <v>2</v>
      </c>
      <c r="R131" s="2" t="inlineStr">
        <is>
          <t>Skrovellav
Stuplav</t>
        </is>
      </c>
      <c r="S131">
        <f>HYPERLINK("https://klasma.github.io/Logging_2321/artfynd/A 6107-2023 artfynd.xlsx", "A 6107-2023")</f>
        <v/>
      </c>
      <c r="T131">
        <f>HYPERLINK("https://klasma.github.io/Logging_2321/kartor/A 6107-2023 karta.png", "A 6107-2023")</f>
        <v/>
      </c>
      <c r="V131">
        <f>HYPERLINK("https://klasma.github.io/Logging_2321/klagomål/A 6107-2023 FSC-klagomål.docx", "A 6107-2023")</f>
        <v/>
      </c>
      <c r="W131">
        <f>HYPERLINK("https://klasma.github.io/Logging_2321/klagomålsmail/A 6107-2023 FSC-klagomål mail.docx", "A 6107-2023")</f>
        <v/>
      </c>
      <c r="X131">
        <f>HYPERLINK("https://klasma.github.io/Logging_2321/tillsyn/A 6107-2023 tillsynsbegäran.docx", "A 6107-2023")</f>
        <v/>
      </c>
      <c r="Y131">
        <f>HYPERLINK("https://klasma.github.io/Logging_2321/tillsynsmail/A 6107-2023 tillsynsbegäran mail.docx", "A 6107-2023")</f>
        <v/>
      </c>
    </row>
    <row r="132" ht="15" customHeight="1">
      <c r="A132" t="inlineStr">
        <is>
          <t>A 6108-2023</t>
        </is>
      </c>
      <c r="B132" s="1" t="n">
        <v>44964</v>
      </c>
      <c r="C132" s="1" t="n">
        <v>45472</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7401-2023</t>
        </is>
      </c>
      <c r="B133" s="1" t="n">
        <v>44966</v>
      </c>
      <c r="C133" s="1" t="n">
        <v>45472</v>
      </c>
      <c r="D133" t="inlineStr">
        <is>
          <t>JÄMTLANDS LÄN</t>
        </is>
      </c>
      <c r="E133" t="inlineStr">
        <is>
          <t>ÅRE</t>
        </is>
      </c>
      <c r="G133" t="n">
        <v>3.5</v>
      </c>
      <c r="H133" t="n">
        <v>2</v>
      </c>
      <c r="I133" t="n">
        <v>1</v>
      </c>
      <c r="J133" t="n">
        <v>0</v>
      </c>
      <c r="K133" t="n">
        <v>0</v>
      </c>
      <c r="L133" t="n">
        <v>0</v>
      </c>
      <c r="M133" t="n">
        <v>0</v>
      </c>
      <c r="N133" t="n">
        <v>0</v>
      </c>
      <c r="O133" t="n">
        <v>0</v>
      </c>
      <c r="P133" t="n">
        <v>0</v>
      </c>
      <c r="Q133" t="n">
        <v>2</v>
      </c>
      <c r="R133" s="2" t="inlineStr">
        <is>
          <t>Tvåblad
Revlummer</t>
        </is>
      </c>
      <c r="S133">
        <f>HYPERLINK("https://klasma.github.io/Logging_2321/artfynd/A 7401-2023 artfynd.xlsx", "A 7401-2023")</f>
        <v/>
      </c>
      <c r="T133">
        <f>HYPERLINK("https://klasma.github.io/Logging_2321/kartor/A 7401-2023 karta.png", "A 7401-2023")</f>
        <v/>
      </c>
      <c r="V133">
        <f>HYPERLINK("https://klasma.github.io/Logging_2321/klagomål/A 7401-2023 FSC-klagomål.docx", "A 7401-2023")</f>
        <v/>
      </c>
      <c r="W133">
        <f>HYPERLINK("https://klasma.github.io/Logging_2321/klagomålsmail/A 7401-2023 FSC-klagomål mail.docx", "A 7401-2023")</f>
        <v/>
      </c>
      <c r="X133">
        <f>HYPERLINK("https://klasma.github.io/Logging_2321/tillsyn/A 7401-2023 tillsynsbegäran.docx", "A 7401-2023")</f>
        <v/>
      </c>
      <c r="Y133">
        <f>HYPERLINK("https://klasma.github.io/Logging_2321/tillsynsmail/A 7401-2023 tillsynsbegäran mail.docx", "A 7401-2023")</f>
        <v/>
      </c>
    </row>
    <row r="134" ht="15" customHeight="1">
      <c r="A134" t="inlineStr">
        <is>
          <t>A 13625-2023</t>
        </is>
      </c>
      <c r="B134" s="1" t="n">
        <v>45006</v>
      </c>
      <c r="C134" s="1" t="n">
        <v>45472</v>
      </c>
      <c r="D134" t="inlineStr">
        <is>
          <t>JÄMTLANDS LÄN</t>
        </is>
      </c>
      <c r="E134" t="inlineStr">
        <is>
          <t>ÅRE</t>
        </is>
      </c>
      <c r="G134" t="n">
        <v>22.9</v>
      </c>
      <c r="H134" t="n">
        <v>1</v>
      </c>
      <c r="I134" t="n">
        <v>0</v>
      </c>
      <c r="J134" t="n">
        <v>2</v>
      </c>
      <c r="K134" t="n">
        <v>0</v>
      </c>
      <c r="L134" t="n">
        <v>0</v>
      </c>
      <c r="M134" t="n">
        <v>0</v>
      </c>
      <c r="N134" t="n">
        <v>0</v>
      </c>
      <c r="O134" t="n">
        <v>2</v>
      </c>
      <c r="P134" t="n">
        <v>0</v>
      </c>
      <c r="Q134" t="n">
        <v>2</v>
      </c>
      <c r="R134" s="2" t="inlineStr">
        <is>
          <t>Tretåig hackspett
Vitskaftad svartspik</t>
        </is>
      </c>
      <c r="S134">
        <f>HYPERLINK("https://klasma.github.io/Logging_2321/artfynd/A 13625-2023 artfynd.xlsx", "A 13625-2023")</f>
        <v/>
      </c>
      <c r="T134">
        <f>HYPERLINK("https://klasma.github.io/Logging_2321/kartor/A 13625-2023 karta.png", "A 13625-2023")</f>
        <v/>
      </c>
      <c r="V134">
        <f>HYPERLINK("https://klasma.github.io/Logging_2321/klagomål/A 13625-2023 FSC-klagomål.docx", "A 13625-2023")</f>
        <v/>
      </c>
      <c r="W134">
        <f>HYPERLINK("https://klasma.github.io/Logging_2321/klagomålsmail/A 13625-2023 FSC-klagomål mail.docx", "A 13625-2023")</f>
        <v/>
      </c>
      <c r="X134">
        <f>HYPERLINK("https://klasma.github.io/Logging_2321/tillsyn/A 13625-2023 tillsynsbegäran.docx", "A 13625-2023")</f>
        <v/>
      </c>
      <c r="Y134">
        <f>HYPERLINK("https://klasma.github.io/Logging_2321/tillsynsmail/A 13625-2023 tillsynsbegäran mail.docx", "A 13625-2023")</f>
        <v/>
      </c>
      <c r="Z134">
        <f>HYPERLINK("https://klasma.github.io/Logging_2321/fåglar/A 13625-2023 prioriterade fågelarter.docx", "A 13625-2023")</f>
        <v/>
      </c>
    </row>
    <row r="135" ht="15" customHeight="1">
      <c r="A135" t="inlineStr">
        <is>
          <t>A 19699-2023</t>
        </is>
      </c>
      <c r="B135" s="1" t="n">
        <v>45051</v>
      </c>
      <c r="C135" s="1" t="n">
        <v>45472</v>
      </c>
      <c r="D135" t="inlineStr">
        <is>
          <t>JÄMTLANDS LÄN</t>
        </is>
      </c>
      <c r="E135" t="inlineStr">
        <is>
          <t>ÅRE</t>
        </is>
      </c>
      <c r="G135" t="n">
        <v>0.7</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19699-2023 artfynd.xlsx", "A 19699-2023")</f>
        <v/>
      </c>
      <c r="T135">
        <f>HYPERLINK("https://klasma.github.io/Logging_2321/kartor/A 19699-2023 karta.png", "A 19699-2023")</f>
        <v/>
      </c>
      <c r="V135">
        <f>HYPERLINK("https://klasma.github.io/Logging_2321/klagomål/A 19699-2023 FSC-klagomål.docx", "A 19699-2023")</f>
        <v/>
      </c>
      <c r="W135">
        <f>HYPERLINK("https://klasma.github.io/Logging_2321/klagomålsmail/A 19699-2023 FSC-klagomål mail.docx", "A 19699-2023")</f>
        <v/>
      </c>
      <c r="X135">
        <f>HYPERLINK("https://klasma.github.io/Logging_2321/tillsyn/A 19699-2023 tillsynsbegäran.docx", "A 19699-2023")</f>
        <v/>
      </c>
      <c r="Y135">
        <f>HYPERLINK("https://klasma.github.io/Logging_2321/tillsynsmail/A 19699-2023 tillsynsbegäran mail.docx", "A 19699-2023")</f>
        <v/>
      </c>
    </row>
    <row r="136" ht="15" customHeight="1">
      <c r="A136" t="inlineStr">
        <is>
          <t>A 23706-2023</t>
        </is>
      </c>
      <c r="B136" s="1" t="n">
        <v>45072</v>
      </c>
      <c r="C136" s="1" t="n">
        <v>45472</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26098-2023</t>
        </is>
      </c>
      <c r="B137" s="1" t="n">
        <v>45091</v>
      </c>
      <c r="C137" s="1" t="n">
        <v>45472</v>
      </c>
      <c r="D137" t="inlineStr">
        <is>
          <t>JÄMTLANDS LÄN</t>
        </is>
      </c>
      <c r="E137" t="inlineStr">
        <is>
          <t>ÅRE</t>
        </is>
      </c>
      <c r="G137" t="n">
        <v>15.7</v>
      </c>
      <c r="H137" t="n">
        <v>0</v>
      </c>
      <c r="I137" t="n">
        <v>0</v>
      </c>
      <c r="J137" t="n">
        <v>2</v>
      </c>
      <c r="K137" t="n">
        <v>0</v>
      </c>
      <c r="L137" t="n">
        <v>0</v>
      </c>
      <c r="M137" t="n">
        <v>0</v>
      </c>
      <c r="N137" t="n">
        <v>0</v>
      </c>
      <c r="O137" t="n">
        <v>2</v>
      </c>
      <c r="P137" t="n">
        <v>0</v>
      </c>
      <c r="Q137" t="n">
        <v>2</v>
      </c>
      <c r="R137" s="2" t="inlineStr">
        <is>
          <t>Lunglav
Skrovellav</t>
        </is>
      </c>
      <c r="S137">
        <f>HYPERLINK("https://klasma.github.io/Logging_2321/artfynd/A 26098-2023 artfynd.xlsx", "A 26098-2023")</f>
        <v/>
      </c>
      <c r="T137">
        <f>HYPERLINK("https://klasma.github.io/Logging_2321/kartor/A 26098-2023 karta.png", "A 26098-2023")</f>
        <v/>
      </c>
      <c r="V137">
        <f>HYPERLINK("https://klasma.github.io/Logging_2321/klagomål/A 26098-2023 FSC-klagomål.docx", "A 26098-2023")</f>
        <v/>
      </c>
      <c r="W137">
        <f>HYPERLINK("https://klasma.github.io/Logging_2321/klagomålsmail/A 26098-2023 FSC-klagomål mail.docx", "A 26098-2023")</f>
        <v/>
      </c>
      <c r="X137">
        <f>HYPERLINK("https://klasma.github.io/Logging_2321/tillsyn/A 26098-2023 tillsynsbegäran.docx", "A 26098-2023")</f>
        <v/>
      </c>
      <c r="Y137">
        <f>HYPERLINK("https://klasma.github.io/Logging_2321/tillsynsmail/A 26098-2023 tillsynsbegäran mail.docx", "A 26098-2023")</f>
        <v/>
      </c>
    </row>
    <row r="138" ht="15" customHeight="1">
      <c r="A138" t="inlineStr">
        <is>
          <t>A 53014-2023</t>
        </is>
      </c>
      <c r="B138" s="1" t="n">
        <v>45226</v>
      </c>
      <c r="C138" s="1" t="n">
        <v>45472</v>
      </c>
      <c r="D138" t="inlineStr">
        <is>
          <t>JÄMTLANDS LÄN</t>
        </is>
      </c>
      <c r="E138" t="inlineStr">
        <is>
          <t>ÅRE</t>
        </is>
      </c>
      <c r="F138" t="inlineStr">
        <is>
          <t>Övriga Aktiebolag</t>
        </is>
      </c>
      <c r="G138" t="n">
        <v>9.4</v>
      </c>
      <c r="H138" t="n">
        <v>1</v>
      </c>
      <c r="I138" t="n">
        <v>1</v>
      </c>
      <c r="J138" t="n">
        <v>1</v>
      </c>
      <c r="K138" t="n">
        <v>0</v>
      </c>
      <c r="L138" t="n">
        <v>0</v>
      </c>
      <c r="M138" t="n">
        <v>0</v>
      </c>
      <c r="N138" t="n">
        <v>0</v>
      </c>
      <c r="O138" t="n">
        <v>1</v>
      </c>
      <c r="P138" t="n">
        <v>0</v>
      </c>
      <c r="Q138" t="n">
        <v>2</v>
      </c>
      <c r="R138" s="2" t="inlineStr">
        <is>
          <t>Vedflikmossa
Spindelblomster</t>
        </is>
      </c>
      <c r="S138">
        <f>HYPERLINK("https://klasma.github.io/Logging_2321/artfynd/A 53014-2023 artfynd.xlsx", "A 53014-2023")</f>
        <v/>
      </c>
      <c r="T138">
        <f>HYPERLINK("https://klasma.github.io/Logging_2321/kartor/A 53014-2023 karta.png", "A 53014-2023")</f>
        <v/>
      </c>
      <c r="V138">
        <f>HYPERLINK("https://klasma.github.io/Logging_2321/klagomål/A 53014-2023 FSC-klagomål.docx", "A 53014-2023")</f>
        <v/>
      </c>
      <c r="W138">
        <f>HYPERLINK("https://klasma.github.io/Logging_2321/klagomålsmail/A 53014-2023 FSC-klagomål mail.docx", "A 53014-2023")</f>
        <v/>
      </c>
      <c r="X138">
        <f>HYPERLINK("https://klasma.github.io/Logging_2321/tillsyn/A 53014-2023 tillsynsbegäran.docx", "A 53014-2023")</f>
        <v/>
      </c>
      <c r="Y138">
        <f>HYPERLINK("https://klasma.github.io/Logging_2321/tillsynsmail/A 53014-2023 tillsynsbegäran mail.docx", "A 53014-2023")</f>
        <v/>
      </c>
    </row>
    <row r="139" ht="15" customHeight="1">
      <c r="A139" t="inlineStr">
        <is>
          <t>A 54055-2023</t>
        </is>
      </c>
      <c r="B139" s="1" t="n">
        <v>45231</v>
      </c>
      <c r="C139" s="1" t="n">
        <v>45472</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54128-2023</t>
        </is>
      </c>
      <c r="B140" s="1" t="n">
        <v>45232</v>
      </c>
      <c r="C140" s="1" t="n">
        <v>45472</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57771-2023</t>
        </is>
      </c>
      <c r="B141" s="1" t="n">
        <v>45246</v>
      </c>
      <c r="C141" s="1" t="n">
        <v>45472</v>
      </c>
      <c r="D141" t="inlineStr">
        <is>
          <t>JÄMTLANDS LÄN</t>
        </is>
      </c>
      <c r="E141" t="inlineStr">
        <is>
          <t>ÅRE</t>
        </is>
      </c>
      <c r="G141" t="n">
        <v>2.1</v>
      </c>
      <c r="H141" t="n">
        <v>0</v>
      </c>
      <c r="I141" t="n">
        <v>0</v>
      </c>
      <c r="J141" t="n">
        <v>2</v>
      </c>
      <c r="K141" t="n">
        <v>0</v>
      </c>
      <c r="L141" t="n">
        <v>0</v>
      </c>
      <c r="M141" t="n">
        <v>0</v>
      </c>
      <c r="N141" t="n">
        <v>0</v>
      </c>
      <c r="O141" t="n">
        <v>2</v>
      </c>
      <c r="P141" t="n">
        <v>0</v>
      </c>
      <c r="Q141" t="n">
        <v>2</v>
      </c>
      <c r="R141" s="2" t="inlineStr">
        <is>
          <t>Granticka
Harticka</t>
        </is>
      </c>
      <c r="S141">
        <f>HYPERLINK("https://klasma.github.io/Logging_2321/artfynd/A 57771-2023 artfynd.xlsx", "A 57771-2023")</f>
        <v/>
      </c>
      <c r="T141">
        <f>HYPERLINK("https://klasma.github.io/Logging_2321/kartor/A 57771-2023 karta.png", "A 57771-2023")</f>
        <v/>
      </c>
      <c r="V141">
        <f>HYPERLINK("https://klasma.github.io/Logging_2321/klagomål/A 57771-2023 FSC-klagomål.docx", "A 57771-2023")</f>
        <v/>
      </c>
      <c r="W141">
        <f>HYPERLINK("https://klasma.github.io/Logging_2321/klagomålsmail/A 57771-2023 FSC-klagomål mail.docx", "A 57771-2023")</f>
        <v/>
      </c>
      <c r="X141">
        <f>HYPERLINK("https://klasma.github.io/Logging_2321/tillsyn/A 57771-2023 tillsynsbegäran.docx", "A 57771-2023")</f>
        <v/>
      </c>
      <c r="Y141">
        <f>HYPERLINK("https://klasma.github.io/Logging_2321/tillsynsmail/A 57771-2023 tillsynsbegäran mail.docx", "A 57771-2023")</f>
        <v/>
      </c>
    </row>
    <row r="142" ht="15" customHeight="1">
      <c r="A142" t="inlineStr">
        <is>
          <t>A 12466-2024</t>
        </is>
      </c>
      <c r="B142" s="1" t="n">
        <v>45379</v>
      </c>
      <c r="C142" s="1" t="n">
        <v>45472</v>
      </c>
      <c r="D142" t="inlineStr">
        <is>
          <t>JÄMTLANDS LÄN</t>
        </is>
      </c>
      <c r="E142" t="inlineStr">
        <is>
          <t>ÅRE</t>
        </is>
      </c>
      <c r="G142" t="n">
        <v>7.1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12466-2024 artfynd.xlsx", "A 12466-2024")</f>
        <v/>
      </c>
      <c r="T142">
        <f>HYPERLINK("https://klasma.github.io/Logging_2321/kartor/A 12466-2024 karta.png", "A 12466-2024")</f>
        <v/>
      </c>
      <c r="V142">
        <f>HYPERLINK("https://klasma.github.io/Logging_2321/klagomål/A 12466-2024 FSC-klagomål.docx", "A 12466-2024")</f>
        <v/>
      </c>
      <c r="W142">
        <f>HYPERLINK("https://klasma.github.io/Logging_2321/klagomålsmail/A 12466-2024 FSC-klagomål mail.docx", "A 12466-2024")</f>
        <v/>
      </c>
      <c r="X142">
        <f>HYPERLINK("https://klasma.github.io/Logging_2321/tillsyn/A 12466-2024 tillsynsbegäran.docx", "A 12466-2024")</f>
        <v/>
      </c>
      <c r="Y142">
        <f>HYPERLINK("https://klasma.github.io/Logging_2321/tillsynsmail/A 12466-2024 tillsynsbegäran mail.docx", "A 12466-2024")</f>
        <v/>
      </c>
      <c r="Z142">
        <f>HYPERLINK("https://klasma.github.io/Logging_2321/fåglar/A 12466-2024 prioriterade fågelarter.docx", "A 12466-2024")</f>
        <v/>
      </c>
    </row>
    <row r="143" ht="15" customHeight="1">
      <c r="A143" t="inlineStr">
        <is>
          <t>A 17489-2024</t>
        </is>
      </c>
      <c r="B143" s="1" t="n">
        <v>45415</v>
      </c>
      <c r="C143" s="1" t="n">
        <v>45472</v>
      </c>
      <c r="D143" t="inlineStr">
        <is>
          <t>JÄMTLANDS LÄN</t>
        </is>
      </c>
      <c r="E143" t="inlineStr">
        <is>
          <t>ÅRE</t>
        </is>
      </c>
      <c r="G143" t="n">
        <v>12.9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17489-2024 artfynd.xlsx", "A 17489-2024")</f>
        <v/>
      </c>
      <c r="T143">
        <f>HYPERLINK("https://klasma.github.io/Logging_2321/kartor/A 17489-2024 karta.png", "A 17489-2024")</f>
        <v/>
      </c>
      <c r="V143">
        <f>HYPERLINK("https://klasma.github.io/Logging_2321/klagomål/A 17489-2024 FSC-klagomål.docx", "A 17489-2024")</f>
        <v/>
      </c>
      <c r="W143">
        <f>HYPERLINK("https://klasma.github.io/Logging_2321/klagomålsmail/A 17489-2024 FSC-klagomål mail.docx", "A 17489-2024")</f>
        <v/>
      </c>
      <c r="X143">
        <f>HYPERLINK("https://klasma.github.io/Logging_2321/tillsyn/A 17489-2024 tillsynsbegäran.docx", "A 17489-2024")</f>
        <v/>
      </c>
      <c r="Y143">
        <f>HYPERLINK("https://klasma.github.io/Logging_2321/tillsynsmail/A 17489-2024 tillsynsbegäran mail.docx", "A 17489-2024")</f>
        <v/>
      </c>
      <c r="Z143">
        <f>HYPERLINK("https://klasma.github.io/Logging_2321/fåglar/A 17489-2024 prioriterade fågelarter.docx", "A 17489-2024")</f>
        <v/>
      </c>
    </row>
    <row r="144" ht="15" customHeight="1">
      <c r="A144" t="inlineStr">
        <is>
          <t>A 18719-2024</t>
        </is>
      </c>
      <c r="B144" s="1" t="n">
        <v>45426</v>
      </c>
      <c r="C144" s="1" t="n">
        <v>45472</v>
      </c>
      <c r="D144" t="inlineStr">
        <is>
          <t>JÄMTLANDS LÄN</t>
        </is>
      </c>
      <c r="E144" t="inlineStr">
        <is>
          <t>ÅRE</t>
        </is>
      </c>
      <c r="F144" t="inlineStr">
        <is>
          <t>Övriga Aktiebolag</t>
        </is>
      </c>
      <c r="G144" t="n">
        <v>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18719-2024 artfynd.xlsx", "A 18719-2024")</f>
        <v/>
      </c>
      <c r="T144">
        <f>HYPERLINK("https://klasma.github.io/Logging_2321/kartor/A 18719-2024 karta.png", "A 18719-2024")</f>
        <v/>
      </c>
      <c r="V144">
        <f>HYPERLINK("https://klasma.github.io/Logging_2321/klagomål/A 18719-2024 FSC-klagomål.docx", "A 18719-2024")</f>
        <v/>
      </c>
      <c r="W144">
        <f>HYPERLINK("https://klasma.github.io/Logging_2321/klagomålsmail/A 18719-2024 FSC-klagomål mail.docx", "A 18719-2024")</f>
        <v/>
      </c>
      <c r="X144">
        <f>HYPERLINK("https://klasma.github.io/Logging_2321/tillsyn/A 18719-2024 tillsynsbegäran.docx", "A 18719-2024")</f>
        <v/>
      </c>
      <c r="Y144">
        <f>HYPERLINK("https://klasma.github.io/Logging_2321/tillsynsmail/A 18719-2024 tillsynsbegäran mail.docx", "A 18719-2024")</f>
        <v/>
      </c>
      <c r="Z144">
        <f>HYPERLINK("https://klasma.github.io/Logging_2321/fåglar/A 18719-2024 prioriterade fågelarter.docx", "A 18719-2024")</f>
        <v/>
      </c>
    </row>
    <row r="145" ht="15" customHeight="1">
      <c r="A145" t="inlineStr">
        <is>
          <t>A 23625-2024</t>
        </is>
      </c>
      <c r="B145" s="1" t="n">
        <v>45454</v>
      </c>
      <c r="C145" s="1" t="n">
        <v>45472</v>
      </c>
      <c r="D145" t="inlineStr">
        <is>
          <t>JÄMTLANDS LÄN</t>
        </is>
      </c>
      <c r="E145" t="inlineStr">
        <is>
          <t>ÅRE</t>
        </is>
      </c>
      <c r="G145" t="n">
        <v>15.2</v>
      </c>
      <c r="H145" t="n">
        <v>2</v>
      </c>
      <c r="I145" t="n">
        <v>0</v>
      </c>
      <c r="J145" t="n">
        <v>1</v>
      </c>
      <c r="K145" t="n">
        <v>0</v>
      </c>
      <c r="L145" t="n">
        <v>0</v>
      </c>
      <c r="M145" t="n">
        <v>0</v>
      </c>
      <c r="N145" t="n">
        <v>0</v>
      </c>
      <c r="O145" t="n">
        <v>1</v>
      </c>
      <c r="P145" t="n">
        <v>0</v>
      </c>
      <c r="Q145" t="n">
        <v>2</v>
      </c>
      <c r="R145" s="2" t="inlineStr">
        <is>
          <t>Tretåig hackspett
Lavskrika</t>
        </is>
      </c>
      <c r="S145">
        <f>HYPERLINK("https://klasma.github.io/Logging_2321/artfynd/A 23625-2024 artfynd.xlsx", "A 23625-2024")</f>
        <v/>
      </c>
      <c r="T145">
        <f>HYPERLINK("https://klasma.github.io/Logging_2321/kartor/A 23625-2024 karta.png", "A 23625-2024")</f>
        <v/>
      </c>
      <c r="V145">
        <f>HYPERLINK("https://klasma.github.io/Logging_2321/klagomål/A 23625-2024 FSC-klagomål.docx", "A 23625-2024")</f>
        <v/>
      </c>
      <c r="W145">
        <f>HYPERLINK("https://klasma.github.io/Logging_2321/klagomålsmail/A 23625-2024 FSC-klagomål mail.docx", "A 23625-2024")</f>
        <v/>
      </c>
      <c r="X145">
        <f>HYPERLINK("https://klasma.github.io/Logging_2321/tillsyn/A 23625-2024 tillsynsbegäran.docx", "A 23625-2024")</f>
        <v/>
      </c>
      <c r="Y145">
        <f>HYPERLINK("https://klasma.github.io/Logging_2321/tillsynsmail/A 23625-2024 tillsynsbegäran mail.docx", "A 23625-2024")</f>
        <v/>
      </c>
      <c r="Z145">
        <f>HYPERLINK("https://klasma.github.io/Logging_2321/fåglar/A 23625-2024 prioriterade fågelarter.docx", "A 23625-2024")</f>
        <v/>
      </c>
    </row>
    <row r="146" ht="15" customHeight="1">
      <c r="A146" t="inlineStr">
        <is>
          <t>A 59825-2019</t>
        </is>
      </c>
      <c r="B146" s="1" t="n">
        <v>43774</v>
      </c>
      <c r="C146" s="1" t="n">
        <v>45472</v>
      </c>
      <c r="D146" t="inlineStr">
        <is>
          <t>JÄMTLANDS LÄN</t>
        </is>
      </c>
      <c r="E146" t="inlineStr">
        <is>
          <t>ÅRE</t>
        </is>
      </c>
      <c r="G146" t="n">
        <v>6.8</v>
      </c>
      <c r="H146" t="n">
        <v>0</v>
      </c>
      <c r="I146" t="n">
        <v>0</v>
      </c>
      <c r="J146" t="n">
        <v>1</v>
      </c>
      <c r="K146" t="n">
        <v>0</v>
      </c>
      <c r="L146" t="n">
        <v>0</v>
      </c>
      <c r="M146" t="n">
        <v>0</v>
      </c>
      <c r="N146" t="n">
        <v>0</v>
      </c>
      <c r="O146" t="n">
        <v>1</v>
      </c>
      <c r="P146" t="n">
        <v>0</v>
      </c>
      <c r="Q146" t="n">
        <v>1</v>
      </c>
      <c r="R146" s="2" t="inlineStr">
        <is>
          <t>Lunglav</t>
        </is>
      </c>
      <c r="S146">
        <f>HYPERLINK("https://klasma.github.io/Logging_2321/artfynd/A 59825-2019 artfynd.xlsx", "A 59825-2019")</f>
        <v/>
      </c>
      <c r="T146">
        <f>HYPERLINK("https://klasma.github.io/Logging_2321/kartor/A 59825-2019 karta.png", "A 59825-2019")</f>
        <v/>
      </c>
      <c r="V146">
        <f>HYPERLINK("https://klasma.github.io/Logging_2321/klagomål/A 59825-2019 FSC-klagomål.docx", "A 59825-2019")</f>
        <v/>
      </c>
      <c r="W146">
        <f>HYPERLINK("https://klasma.github.io/Logging_2321/klagomålsmail/A 59825-2019 FSC-klagomål mail.docx", "A 59825-2019")</f>
        <v/>
      </c>
      <c r="X146">
        <f>HYPERLINK("https://klasma.github.io/Logging_2321/tillsyn/A 59825-2019 tillsynsbegäran.docx", "A 59825-2019")</f>
        <v/>
      </c>
      <c r="Y146">
        <f>HYPERLINK("https://klasma.github.io/Logging_2321/tillsynsmail/A 59825-2019 tillsynsbegäran mail.docx", "A 59825-2019")</f>
        <v/>
      </c>
    </row>
    <row r="147" ht="15" customHeight="1">
      <c r="A147" t="inlineStr">
        <is>
          <t>A 20979-2020</t>
        </is>
      </c>
      <c r="B147" s="1" t="n">
        <v>43950</v>
      </c>
      <c r="C147" s="1" t="n">
        <v>45472</v>
      </c>
      <c r="D147" t="inlineStr">
        <is>
          <t>JÄMTLANDS LÄN</t>
        </is>
      </c>
      <c r="E147" t="inlineStr">
        <is>
          <t>ÅRE</t>
        </is>
      </c>
      <c r="G147" t="n">
        <v>16.5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20979-2020 artfynd.xlsx", "A 20979-2020")</f>
        <v/>
      </c>
      <c r="T147">
        <f>HYPERLINK("https://klasma.github.io/Logging_2321/kartor/A 20979-2020 karta.png", "A 20979-2020")</f>
        <v/>
      </c>
      <c r="V147">
        <f>HYPERLINK("https://klasma.github.io/Logging_2321/klagomål/A 20979-2020 FSC-klagomål.docx", "A 20979-2020")</f>
        <v/>
      </c>
      <c r="W147">
        <f>HYPERLINK("https://klasma.github.io/Logging_2321/klagomålsmail/A 20979-2020 FSC-klagomål mail.docx", "A 20979-2020")</f>
        <v/>
      </c>
      <c r="X147">
        <f>HYPERLINK("https://klasma.github.io/Logging_2321/tillsyn/A 20979-2020 tillsynsbegäran.docx", "A 20979-2020")</f>
        <v/>
      </c>
      <c r="Y147">
        <f>HYPERLINK("https://klasma.github.io/Logging_2321/tillsynsmail/A 20979-2020 tillsynsbegäran mail.docx", "A 20979-2020")</f>
        <v/>
      </c>
      <c r="Z147">
        <f>HYPERLINK("https://klasma.github.io/Logging_2321/fåglar/A 20979-2020 prioriterade fågelarter.docx", "A 20979-2020")</f>
        <v/>
      </c>
    </row>
    <row r="148" ht="15" customHeight="1">
      <c r="A148" t="inlineStr">
        <is>
          <t>A 29084-2020</t>
        </is>
      </c>
      <c r="B148" s="1" t="n">
        <v>44002</v>
      </c>
      <c r="C148" s="1" t="n">
        <v>45472</v>
      </c>
      <c r="D148" t="inlineStr">
        <is>
          <t>JÄMTLANDS LÄN</t>
        </is>
      </c>
      <c r="E148" t="inlineStr">
        <is>
          <t>ÅRE</t>
        </is>
      </c>
      <c r="G148" t="n">
        <v>15.5</v>
      </c>
      <c r="H148" t="n">
        <v>0</v>
      </c>
      <c r="I148" t="n">
        <v>0</v>
      </c>
      <c r="J148" t="n">
        <v>1</v>
      </c>
      <c r="K148" t="n">
        <v>0</v>
      </c>
      <c r="L148" t="n">
        <v>0</v>
      </c>
      <c r="M148" t="n">
        <v>0</v>
      </c>
      <c r="N148" t="n">
        <v>0</v>
      </c>
      <c r="O148" t="n">
        <v>1</v>
      </c>
      <c r="P148" t="n">
        <v>0</v>
      </c>
      <c r="Q148" t="n">
        <v>1</v>
      </c>
      <c r="R148" s="2" t="inlineStr">
        <is>
          <t>Gränsticka</t>
        </is>
      </c>
      <c r="S148">
        <f>HYPERLINK("https://klasma.github.io/Logging_2321/artfynd/A 29084-2020 artfynd.xlsx", "A 29084-2020")</f>
        <v/>
      </c>
      <c r="T148">
        <f>HYPERLINK("https://klasma.github.io/Logging_2321/kartor/A 29084-2020 karta.png", "A 29084-2020")</f>
        <v/>
      </c>
      <c r="V148">
        <f>HYPERLINK("https://klasma.github.io/Logging_2321/klagomål/A 29084-2020 FSC-klagomål.docx", "A 29084-2020")</f>
        <v/>
      </c>
      <c r="W148">
        <f>HYPERLINK("https://klasma.github.io/Logging_2321/klagomålsmail/A 29084-2020 FSC-klagomål mail.docx", "A 29084-2020")</f>
        <v/>
      </c>
      <c r="X148">
        <f>HYPERLINK("https://klasma.github.io/Logging_2321/tillsyn/A 29084-2020 tillsynsbegäran.docx", "A 29084-2020")</f>
        <v/>
      </c>
      <c r="Y148">
        <f>HYPERLINK("https://klasma.github.io/Logging_2321/tillsynsmail/A 29084-2020 tillsynsbegäran mail.docx", "A 29084-2020")</f>
        <v/>
      </c>
    </row>
    <row r="149" ht="15" customHeight="1">
      <c r="A149" t="inlineStr">
        <is>
          <t>A 46966-2020</t>
        </is>
      </c>
      <c r="B149" s="1" t="n">
        <v>44090</v>
      </c>
      <c r="C149" s="1" t="n">
        <v>45472</v>
      </c>
      <c r="D149" t="inlineStr">
        <is>
          <t>JÄMTLANDS LÄN</t>
        </is>
      </c>
      <c r="E149" t="inlineStr">
        <is>
          <t>ÅRE</t>
        </is>
      </c>
      <c r="G149" t="n">
        <v>13.7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46966-2020 artfynd.xlsx", "A 46966-2020")</f>
        <v/>
      </c>
      <c r="T149">
        <f>HYPERLINK("https://klasma.github.io/Logging_2321/kartor/A 46966-2020 karta.png", "A 46966-2020")</f>
        <v/>
      </c>
      <c r="V149">
        <f>HYPERLINK("https://klasma.github.io/Logging_2321/klagomål/A 46966-2020 FSC-klagomål.docx", "A 46966-2020")</f>
        <v/>
      </c>
      <c r="W149">
        <f>HYPERLINK("https://klasma.github.io/Logging_2321/klagomålsmail/A 46966-2020 FSC-klagomål mail.docx", "A 46966-2020")</f>
        <v/>
      </c>
      <c r="X149">
        <f>HYPERLINK("https://klasma.github.io/Logging_2321/tillsyn/A 46966-2020 tillsynsbegäran.docx", "A 46966-2020")</f>
        <v/>
      </c>
      <c r="Y149">
        <f>HYPERLINK("https://klasma.github.io/Logging_2321/tillsynsmail/A 46966-2020 tillsynsbegäran mail.docx", "A 46966-2020")</f>
        <v/>
      </c>
      <c r="Z149">
        <f>HYPERLINK("https://klasma.github.io/Logging_2321/fåglar/A 46966-2020 prioriterade fågelarter.docx", "A 46966-2020")</f>
        <v/>
      </c>
    </row>
    <row r="150" ht="15" customHeight="1">
      <c r="A150" t="inlineStr">
        <is>
          <t>A 46959-2020</t>
        </is>
      </c>
      <c r="B150" s="1" t="n">
        <v>44090</v>
      </c>
      <c r="C150" s="1" t="n">
        <v>45472</v>
      </c>
      <c r="D150" t="inlineStr">
        <is>
          <t>JÄMTLANDS LÄN</t>
        </is>
      </c>
      <c r="E150" t="inlineStr">
        <is>
          <t>ÅRE</t>
        </is>
      </c>
      <c r="G150" t="n">
        <v>4.7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46959-2020 artfynd.xlsx", "A 46959-2020")</f>
        <v/>
      </c>
      <c r="T150">
        <f>HYPERLINK("https://klasma.github.io/Logging_2321/kartor/A 46959-2020 karta.png", "A 46959-2020")</f>
        <v/>
      </c>
      <c r="V150">
        <f>HYPERLINK("https://klasma.github.io/Logging_2321/klagomål/A 46959-2020 FSC-klagomål.docx", "A 46959-2020")</f>
        <v/>
      </c>
      <c r="W150">
        <f>HYPERLINK("https://klasma.github.io/Logging_2321/klagomålsmail/A 46959-2020 FSC-klagomål mail.docx", "A 46959-2020")</f>
        <v/>
      </c>
      <c r="X150">
        <f>HYPERLINK("https://klasma.github.io/Logging_2321/tillsyn/A 46959-2020 tillsynsbegäran.docx", "A 46959-2020")</f>
        <v/>
      </c>
      <c r="Y150">
        <f>HYPERLINK("https://klasma.github.io/Logging_2321/tillsynsmail/A 46959-2020 tillsynsbegäran mail.docx", "A 46959-2020")</f>
        <v/>
      </c>
      <c r="Z150">
        <f>HYPERLINK("https://klasma.github.io/Logging_2321/fåglar/A 46959-2020 prioriterade fågelarter.docx", "A 46959-2020")</f>
        <v/>
      </c>
    </row>
    <row r="151" ht="15" customHeight="1">
      <c r="A151" t="inlineStr">
        <is>
          <t>A 52542-2020</t>
        </is>
      </c>
      <c r="B151" s="1" t="n">
        <v>44116</v>
      </c>
      <c r="C151" s="1" t="n">
        <v>45472</v>
      </c>
      <c r="D151" t="inlineStr">
        <is>
          <t>JÄMTLANDS LÄN</t>
        </is>
      </c>
      <c r="E151" t="inlineStr">
        <is>
          <t>ÅRE</t>
        </is>
      </c>
      <c r="G151" t="n">
        <v>5.5</v>
      </c>
      <c r="H151" t="n">
        <v>0</v>
      </c>
      <c r="I151" t="n">
        <v>0</v>
      </c>
      <c r="J151" t="n">
        <v>1</v>
      </c>
      <c r="K151" t="n">
        <v>0</v>
      </c>
      <c r="L151" t="n">
        <v>0</v>
      </c>
      <c r="M151" t="n">
        <v>0</v>
      </c>
      <c r="N151" t="n">
        <v>0</v>
      </c>
      <c r="O151" t="n">
        <v>1</v>
      </c>
      <c r="P151" t="n">
        <v>0</v>
      </c>
      <c r="Q151" t="n">
        <v>1</v>
      </c>
      <c r="R151" s="2" t="inlineStr">
        <is>
          <t>Skrovellav</t>
        </is>
      </c>
      <c r="S151">
        <f>HYPERLINK("https://klasma.github.io/Logging_2321/artfynd/A 52542-2020 artfynd.xlsx", "A 52542-2020")</f>
        <v/>
      </c>
      <c r="T151">
        <f>HYPERLINK("https://klasma.github.io/Logging_2321/kartor/A 52542-2020 karta.png", "A 52542-2020")</f>
        <v/>
      </c>
      <c r="V151">
        <f>HYPERLINK("https://klasma.github.io/Logging_2321/klagomål/A 52542-2020 FSC-klagomål.docx", "A 52542-2020")</f>
        <v/>
      </c>
      <c r="W151">
        <f>HYPERLINK("https://klasma.github.io/Logging_2321/klagomålsmail/A 52542-2020 FSC-klagomål mail.docx", "A 52542-2020")</f>
        <v/>
      </c>
      <c r="X151">
        <f>HYPERLINK("https://klasma.github.io/Logging_2321/tillsyn/A 52542-2020 tillsynsbegäran.docx", "A 52542-2020")</f>
        <v/>
      </c>
      <c r="Y151">
        <f>HYPERLINK("https://klasma.github.io/Logging_2321/tillsynsmail/A 52542-2020 tillsynsbegäran mail.docx", "A 52542-2020")</f>
        <v/>
      </c>
    </row>
    <row r="152" ht="15" customHeight="1">
      <c r="A152" t="inlineStr">
        <is>
          <t>A 53598-2020</t>
        </is>
      </c>
      <c r="B152" s="1" t="n">
        <v>44124</v>
      </c>
      <c r="C152" s="1" t="n">
        <v>45472</v>
      </c>
      <c r="D152" t="inlineStr">
        <is>
          <t>JÄMTLANDS LÄN</t>
        </is>
      </c>
      <c r="E152" t="inlineStr">
        <is>
          <t>ÅRE</t>
        </is>
      </c>
      <c r="G152" t="n">
        <v>11.7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53598-2020 artfynd.xlsx", "A 53598-2020")</f>
        <v/>
      </c>
      <c r="T152">
        <f>HYPERLINK("https://klasma.github.io/Logging_2321/kartor/A 53598-2020 karta.png", "A 53598-2020")</f>
        <v/>
      </c>
      <c r="V152">
        <f>HYPERLINK("https://klasma.github.io/Logging_2321/klagomål/A 53598-2020 FSC-klagomål.docx", "A 53598-2020")</f>
        <v/>
      </c>
      <c r="W152">
        <f>HYPERLINK("https://klasma.github.io/Logging_2321/klagomålsmail/A 53598-2020 FSC-klagomål mail.docx", "A 53598-2020")</f>
        <v/>
      </c>
      <c r="X152">
        <f>HYPERLINK("https://klasma.github.io/Logging_2321/tillsyn/A 53598-2020 tillsynsbegäran.docx", "A 53598-2020")</f>
        <v/>
      </c>
      <c r="Y152">
        <f>HYPERLINK("https://klasma.github.io/Logging_2321/tillsynsmail/A 53598-2020 tillsynsbegäran mail.docx", "A 53598-2020")</f>
        <v/>
      </c>
      <c r="Z152">
        <f>HYPERLINK("https://klasma.github.io/Logging_2321/fåglar/A 53598-2020 prioriterade fågelarter.docx", "A 53598-2020")</f>
        <v/>
      </c>
    </row>
    <row r="153" ht="15" customHeight="1">
      <c r="A153" t="inlineStr">
        <is>
          <t>A 65517-2020</t>
        </is>
      </c>
      <c r="B153" s="1" t="n">
        <v>44173</v>
      </c>
      <c r="C153" s="1" t="n">
        <v>45472</v>
      </c>
      <c r="D153" t="inlineStr">
        <is>
          <t>JÄMTLANDS LÄN</t>
        </is>
      </c>
      <c r="E153" t="inlineStr">
        <is>
          <t>ÅRE</t>
        </is>
      </c>
      <c r="G153" t="n">
        <v>4.6</v>
      </c>
      <c r="H153" t="n">
        <v>0</v>
      </c>
      <c r="I153" t="n">
        <v>0</v>
      </c>
      <c r="J153" t="n">
        <v>1</v>
      </c>
      <c r="K153" t="n">
        <v>0</v>
      </c>
      <c r="L153" t="n">
        <v>0</v>
      </c>
      <c r="M153" t="n">
        <v>0</v>
      </c>
      <c r="N153" t="n">
        <v>0</v>
      </c>
      <c r="O153" t="n">
        <v>1</v>
      </c>
      <c r="P153" t="n">
        <v>0</v>
      </c>
      <c r="Q153" t="n">
        <v>1</v>
      </c>
      <c r="R153" s="2" t="inlineStr">
        <is>
          <t>Doftskinn</t>
        </is>
      </c>
      <c r="S153">
        <f>HYPERLINK("https://klasma.github.io/Logging_2321/artfynd/A 65517-2020 artfynd.xlsx", "A 65517-2020")</f>
        <v/>
      </c>
      <c r="T153">
        <f>HYPERLINK("https://klasma.github.io/Logging_2321/kartor/A 65517-2020 karta.png", "A 65517-2020")</f>
        <v/>
      </c>
      <c r="V153">
        <f>HYPERLINK("https://klasma.github.io/Logging_2321/klagomål/A 65517-2020 FSC-klagomål.docx", "A 65517-2020")</f>
        <v/>
      </c>
      <c r="W153">
        <f>HYPERLINK("https://klasma.github.io/Logging_2321/klagomålsmail/A 65517-2020 FSC-klagomål mail.docx", "A 65517-2020")</f>
        <v/>
      </c>
      <c r="X153">
        <f>HYPERLINK("https://klasma.github.io/Logging_2321/tillsyn/A 65517-2020 tillsynsbegäran.docx", "A 65517-2020")</f>
        <v/>
      </c>
      <c r="Y153">
        <f>HYPERLINK("https://klasma.github.io/Logging_2321/tillsynsmail/A 65517-2020 tillsynsbegäran mail.docx", "A 65517-2020")</f>
        <v/>
      </c>
    </row>
    <row r="154" ht="15" customHeight="1">
      <c r="A154" t="inlineStr">
        <is>
          <t>A 65446-2020</t>
        </is>
      </c>
      <c r="B154" s="1" t="n">
        <v>44173</v>
      </c>
      <c r="C154" s="1" t="n">
        <v>45472</v>
      </c>
      <c r="D154" t="inlineStr">
        <is>
          <t>JÄMTLANDS LÄN</t>
        </is>
      </c>
      <c r="E154" t="inlineStr">
        <is>
          <t>ÅRE</t>
        </is>
      </c>
      <c r="G154" t="n">
        <v>7.2</v>
      </c>
      <c r="H154" t="n">
        <v>0</v>
      </c>
      <c r="I154" t="n">
        <v>0</v>
      </c>
      <c r="J154" t="n">
        <v>1</v>
      </c>
      <c r="K154" t="n">
        <v>0</v>
      </c>
      <c r="L154" t="n">
        <v>0</v>
      </c>
      <c r="M154" t="n">
        <v>0</v>
      </c>
      <c r="N154" t="n">
        <v>0</v>
      </c>
      <c r="O154" t="n">
        <v>1</v>
      </c>
      <c r="P154" t="n">
        <v>0</v>
      </c>
      <c r="Q154" t="n">
        <v>1</v>
      </c>
      <c r="R154" s="2" t="inlineStr">
        <is>
          <t>Ullticka</t>
        </is>
      </c>
      <c r="S154">
        <f>HYPERLINK("https://klasma.github.io/Logging_2321/artfynd/A 65446-2020 artfynd.xlsx", "A 65446-2020")</f>
        <v/>
      </c>
      <c r="T154">
        <f>HYPERLINK("https://klasma.github.io/Logging_2321/kartor/A 65446-2020 karta.png", "A 65446-2020")</f>
        <v/>
      </c>
      <c r="V154">
        <f>HYPERLINK("https://klasma.github.io/Logging_2321/klagomål/A 65446-2020 FSC-klagomål.docx", "A 65446-2020")</f>
        <v/>
      </c>
      <c r="W154">
        <f>HYPERLINK("https://klasma.github.io/Logging_2321/klagomålsmail/A 65446-2020 FSC-klagomål mail.docx", "A 65446-2020")</f>
        <v/>
      </c>
      <c r="X154">
        <f>HYPERLINK("https://klasma.github.io/Logging_2321/tillsyn/A 65446-2020 tillsynsbegäran.docx", "A 65446-2020")</f>
        <v/>
      </c>
      <c r="Y154">
        <f>HYPERLINK("https://klasma.github.io/Logging_2321/tillsynsmail/A 65446-2020 tillsynsbegäran mail.docx", "A 65446-2020")</f>
        <v/>
      </c>
    </row>
    <row r="155" ht="15" customHeight="1">
      <c r="A155" t="inlineStr">
        <is>
          <t>A 2422-2021</t>
        </is>
      </c>
      <c r="B155" s="1" t="n">
        <v>44214</v>
      </c>
      <c r="C155" s="1" t="n">
        <v>45472</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11781-2021</t>
        </is>
      </c>
      <c r="B156" s="1" t="n">
        <v>44265</v>
      </c>
      <c r="C156" s="1" t="n">
        <v>45472</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11767-2021</t>
        </is>
      </c>
      <c r="B157" s="1" t="n">
        <v>44265</v>
      </c>
      <c r="C157" s="1" t="n">
        <v>45472</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11767-2021 artfynd.xlsx", "A 11767-2021")</f>
        <v/>
      </c>
      <c r="T157">
        <f>HYPERLINK("https://klasma.github.io/Logging_2321/kartor/A 11767-2021 karta.png", "A 11767-2021")</f>
        <v/>
      </c>
      <c r="V157">
        <f>HYPERLINK("https://klasma.github.io/Logging_2321/klagomål/A 11767-2021 FSC-klagomål.docx", "A 11767-2021")</f>
        <v/>
      </c>
      <c r="W157">
        <f>HYPERLINK("https://klasma.github.io/Logging_2321/klagomålsmail/A 11767-2021 FSC-klagomål mail.docx", "A 11767-2021")</f>
        <v/>
      </c>
      <c r="X157">
        <f>HYPERLINK("https://klasma.github.io/Logging_2321/tillsyn/A 11767-2021 tillsynsbegäran.docx", "A 11767-2021")</f>
        <v/>
      </c>
      <c r="Y157">
        <f>HYPERLINK("https://klasma.github.io/Logging_2321/tillsynsmail/A 11767-2021 tillsynsbegäran mail.docx", "A 11767-2021")</f>
        <v/>
      </c>
      <c r="Z157">
        <f>HYPERLINK("https://klasma.github.io/Logging_2321/fåglar/A 11767-2021 prioriterade fågelarter.docx", "A 11767-2021")</f>
        <v/>
      </c>
    </row>
    <row r="158" ht="15" customHeight="1">
      <c r="A158" t="inlineStr">
        <is>
          <t>A 12970-2021</t>
        </is>
      </c>
      <c r="B158" s="1" t="n">
        <v>44271</v>
      </c>
      <c r="C158" s="1" t="n">
        <v>45472</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18543-2021</t>
        </is>
      </c>
      <c r="B159" s="1" t="n">
        <v>44306</v>
      </c>
      <c r="C159" s="1" t="n">
        <v>45472</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20500-2021</t>
        </is>
      </c>
      <c r="B160" s="1" t="n">
        <v>44315</v>
      </c>
      <c r="C160" s="1" t="n">
        <v>45472</v>
      </c>
      <c r="D160" t="inlineStr">
        <is>
          <t>JÄMTLANDS LÄN</t>
        </is>
      </c>
      <c r="E160" t="inlineStr">
        <is>
          <t>ÅRE</t>
        </is>
      </c>
      <c r="G160" t="n">
        <v>3</v>
      </c>
      <c r="H160" t="n">
        <v>0</v>
      </c>
      <c r="I160" t="n">
        <v>1</v>
      </c>
      <c r="J160" t="n">
        <v>0</v>
      </c>
      <c r="K160" t="n">
        <v>0</v>
      </c>
      <c r="L160" t="n">
        <v>0</v>
      </c>
      <c r="M160" t="n">
        <v>0</v>
      </c>
      <c r="N160" t="n">
        <v>0</v>
      </c>
      <c r="O160" t="n">
        <v>0</v>
      </c>
      <c r="P160" t="n">
        <v>0</v>
      </c>
      <c r="Q160" t="n">
        <v>1</v>
      </c>
      <c r="R160" s="2" t="inlineStr">
        <is>
          <t>Svart trolldruva</t>
        </is>
      </c>
      <c r="S160">
        <f>HYPERLINK("https://klasma.github.io/Logging_2321/artfynd/A 20500-2021 artfynd.xlsx", "A 20500-2021")</f>
        <v/>
      </c>
      <c r="T160">
        <f>HYPERLINK("https://klasma.github.io/Logging_2321/kartor/A 20500-2021 karta.png", "A 20500-2021")</f>
        <v/>
      </c>
      <c r="V160">
        <f>HYPERLINK("https://klasma.github.io/Logging_2321/klagomål/A 20500-2021 FSC-klagomål.docx", "A 20500-2021")</f>
        <v/>
      </c>
      <c r="W160">
        <f>HYPERLINK("https://klasma.github.io/Logging_2321/klagomålsmail/A 20500-2021 FSC-klagomål mail.docx", "A 20500-2021")</f>
        <v/>
      </c>
      <c r="X160">
        <f>HYPERLINK("https://klasma.github.io/Logging_2321/tillsyn/A 20500-2021 tillsynsbegäran.docx", "A 20500-2021")</f>
        <v/>
      </c>
      <c r="Y160">
        <f>HYPERLINK("https://klasma.github.io/Logging_2321/tillsynsmail/A 20500-2021 tillsynsbegäran mail.docx", "A 20500-2021")</f>
        <v/>
      </c>
    </row>
    <row r="161" ht="15" customHeight="1">
      <c r="A161" t="inlineStr">
        <is>
          <t>A 23556-2021</t>
        </is>
      </c>
      <c r="B161" s="1" t="n">
        <v>44334</v>
      </c>
      <c r="C161" s="1" t="n">
        <v>45472</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37082-2021</t>
        </is>
      </c>
      <c r="B162" s="1" t="n">
        <v>44395</v>
      </c>
      <c r="C162" s="1" t="n">
        <v>45472</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56193-2021</t>
        </is>
      </c>
      <c r="B163" s="1" t="n">
        <v>44477</v>
      </c>
      <c r="C163" s="1" t="n">
        <v>45472</v>
      </c>
      <c r="D163" t="inlineStr">
        <is>
          <t>JÄMTLANDS LÄN</t>
        </is>
      </c>
      <c r="E163" t="inlineStr">
        <is>
          <t>ÅRE</t>
        </is>
      </c>
      <c r="F163" t="inlineStr">
        <is>
          <t>Övriga Aktiebolag</t>
        </is>
      </c>
      <c r="G163" t="n">
        <v>15.5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56193-2021 artfynd.xlsx", "A 56193-2021")</f>
        <v/>
      </c>
      <c r="T163">
        <f>HYPERLINK("https://klasma.github.io/Logging_2321/kartor/A 56193-2021 karta.png", "A 56193-2021")</f>
        <v/>
      </c>
      <c r="V163">
        <f>HYPERLINK("https://klasma.github.io/Logging_2321/klagomål/A 56193-2021 FSC-klagomål.docx", "A 56193-2021")</f>
        <v/>
      </c>
      <c r="W163">
        <f>HYPERLINK("https://klasma.github.io/Logging_2321/klagomålsmail/A 56193-2021 FSC-klagomål mail.docx", "A 56193-2021")</f>
        <v/>
      </c>
      <c r="X163">
        <f>HYPERLINK("https://klasma.github.io/Logging_2321/tillsyn/A 56193-2021 tillsynsbegäran.docx", "A 56193-2021")</f>
        <v/>
      </c>
      <c r="Y163">
        <f>HYPERLINK("https://klasma.github.io/Logging_2321/tillsynsmail/A 56193-2021 tillsynsbegäran mail.docx", "A 56193-2021")</f>
        <v/>
      </c>
      <c r="Z163">
        <f>HYPERLINK("https://klasma.github.io/Logging_2321/fåglar/A 56193-2021 prioriterade fågelarter.docx", "A 56193-2021")</f>
        <v/>
      </c>
    </row>
    <row r="164" ht="15" customHeight="1">
      <c r="A164" t="inlineStr">
        <is>
          <t>A 58117-2021</t>
        </is>
      </c>
      <c r="B164" s="1" t="n">
        <v>44487</v>
      </c>
      <c r="C164" s="1" t="n">
        <v>45472</v>
      </c>
      <c r="D164" t="inlineStr">
        <is>
          <t>JÄMTLANDS LÄN</t>
        </is>
      </c>
      <c r="E164" t="inlineStr">
        <is>
          <t>ÅRE</t>
        </is>
      </c>
      <c r="G164" t="n">
        <v>40.9</v>
      </c>
      <c r="H164" t="n">
        <v>0</v>
      </c>
      <c r="I164" t="n">
        <v>1</v>
      </c>
      <c r="J164" t="n">
        <v>0</v>
      </c>
      <c r="K164" t="n">
        <v>0</v>
      </c>
      <c r="L164" t="n">
        <v>0</v>
      </c>
      <c r="M164" t="n">
        <v>0</v>
      </c>
      <c r="N164" t="n">
        <v>0</v>
      </c>
      <c r="O164" t="n">
        <v>0</v>
      </c>
      <c r="P164" t="n">
        <v>0</v>
      </c>
      <c r="Q164" t="n">
        <v>1</v>
      </c>
      <c r="R164" s="2" t="inlineStr">
        <is>
          <t>Stuplav</t>
        </is>
      </c>
      <c r="S164">
        <f>HYPERLINK("https://klasma.github.io/Logging_2321/artfynd/A 58117-2021 artfynd.xlsx", "A 58117-2021")</f>
        <v/>
      </c>
      <c r="T164">
        <f>HYPERLINK("https://klasma.github.io/Logging_2321/kartor/A 58117-2021 karta.png", "A 58117-2021")</f>
        <v/>
      </c>
      <c r="V164">
        <f>HYPERLINK("https://klasma.github.io/Logging_2321/klagomål/A 58117-2021 FSC-klagomål.docx", "A 58117-2021")</f>
        <v/>
      </c>
      <c r="W164">
        <f>HYPERLINK("https://klasma.github.io/Logging_2321/klagomålsmail/A 58117-2021 FSC-klagomål mail.docx", "A 58117-2021")</f>
        <v/>
      </c>
      <c r="X164">
        <f>HYPERLINK("https://klasma.github.io/Logging_2321/tillsyn/A 58117-2021 tillsynsbegäran.docx", "A 58117-2021")</f>
        <v/>
      </c>
      <c r="Y164">
        <f>HYPERLINK("https://klasma.github.io/Logging_2321/tillsynsmail/A 58117-2021 tillsynsbegäran mail.docx", "A 58117-2021")</f>
        <v/>
      </c>
    </row>
    <row r="165" ht="15" customHeight="1">
      <c r="A165" t="inlineStr">
        <is>
          <t>A 58239-2021</t>
        </is>
      </c>
      <c r="B165" s="1" t="n">
        <v>44487</v>
      </c>
      <c r="C165" s="1" t="n">
        <v>45472</v>
      </c>
      <c r="D165" t="inlineStr">
        <is>
          <t>JÄMTLANDS LÄN</t>
        </is>
      </c>
      <c r="E165" t="inlineStr">
        <is>
          <t>ÅRE</t>
        </is>
      </c>
      <c r="G165" t="n">
        <v>25</v>
      </c>
      <c r="H165" t="n">
        <v>0</v>
      </c>
      <c r="I165" t="n">
        <v>0</v>
      </c>
      <c r="J165" t="n">
        <v>0</v>
      </c>
      <c r="K165" t="n">
        <v>1</v>
      </c>
      <c r="L165" t="n">
        <v>0</v>
      </c>
      <c r="M165" t="n">
        <v>0</v>
      </c>
      <c r="N165" t="n">
        <v>0</v>
      </c>
      <c r="O165" t="n">
        <v>1</v>
      </c>
      <c r="P165" t="n">
        <v>1</v>
      </c>
      <c r="Q165" t="n">
        <v>1</v>
      </c>
      <c r="R165" s="2" t="inlineStr">
        <is>
          <t>Rynkskinn</t>
        </is>
      </c>
      <c r="S165">
        <f>HYPERLINK("https://klasma.github.io/Logging_2321/artfynd/A 58239-2021 artfynd.xlsx", "A 58239-2021")</f>
        <v/>
      </c>
      <c r="T165">
        <f>HYPERLINK("https://klasma.github.io/Logging_2321/kartor/A 58239-2021 karta.png", "A 58239-2021")</f>
        <v/>
      </c>
      <c r="V165">
        <f>HYPERLINK("https://klasma.github.io/Logging_2321/klagomål/A 58239-2021 FSC-klagomål.docx", "A 58239-2021")</f>
        <v/>
      </c>
      <c r="W165">
        <f>HYPERLINK("https://klasma.github.io/Logging_2321/klagomålsmail/A 58239-2021 FSC-klagomål mail.docx", "A 58239-2021")</f>
        <v/>
      </c>
      <c r="X165">
        <f>HYPERLINK("https://klasma.github.io/Logging_2321/tillsyn/A 58239-2021 tillsynsbegäran.docx", "A 58239-2021")</f>
        <v/>
      </c>
      <c r="Y165">
        <f>HYPERLINK("https://klasma.github.io/Logging_2321/tillsynsmail/A 58239-2021 tillsynsbegäran mail.docx", "A 58239-2021")</f>
        <v/>
      </c>
    </row>
    <row r="166" ht="15" customHeight="1">
      <c r="A166" t="inlineStr">
        <is>
          <t>A 58226-2021</t>
        </is>
      </c>
      <c r="B166" s="1" t="n">
        <v>44487</v>
      </c>
      <c r="C166" s="1" t="n">
        <v>45472</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62188-2021</t>
        </is>
      </c>
      <c r="B167" s="1" t="n">
        <v>44502</v>
      </c>
      <c r="C167" s="1" t="n">
        <v>45472</v>
      </c>
      <c r="D167" t="inlineStr">
        <is>
          <t>JÄMTLANDS LÄN</t>
        </is>
      </c>
      <c r="E167" t="inlineStr">
        <is>
          <t>ÅRE</t>
        </is>
      </c>
      <c r="G167" t="n">
        <v>2.5</v>
      </c>
      <c r="H167" t="n">
        <v>0</v>
      </c>
      <c r="I167" t="n">
        <v>1</v>
      </c>
      <c r="J167" t="n">
        <v>0</v>
      </c>
      <c r="K167" t="n">
        <v>0</v>
      </c>
      <c r="L167" t="n">
        <v>0</v>
      </c>
      <c r="M167" t="n">
        <v>0</v>
      </c>
      <c r="N167" t="n">
        <v>0</v>
      </c>
      <c r="O167" t="n">
        <v>0</v>
      </c>
      <c r="P167" t="n">
        <v>0</v>
      </c>
      <c r="Q167" t="n">
        <v>1</v>
      </c>
      <c r="R167" s="2" t="inlineStr">
        <is>
          <t>Svart trolldruva</t>
        </is>
      </c>
      <c r="S167">
        <f>HYPERLINK("https://klasma.github.io/Logging_2321/artfynd/A 62188-2021 artfynd.xlsx", "A 62188-2021")</f>
        <v/>
      </c>
      <c r="T167">
        <f>HYPERLINK("https://klasma.github.io/Logging_2321/kartor/A 62188-2021 karta.png", "A 62188-2021")</f>
        <v/>
      </c>
      <c r="V167">
        <f>HYPERLINK("https://klasma.github.io/Logging_2321/klagomål/A 62188-2021 FSC-klagomål.docx", "A 62188-2021")</f>
        <v/>
      </c>
      <c r="W167">
        <f>HYPERLINK("https://klasma.github.io/Logging_2321/klagomålsmail/A 62188-2021 FSC-klagomål mail.docx", "A 62188-2021")</f>
        <v/>
      </c>
      <c r="X167">
        <f>HYPERLINK("https://klasma.github.io/Logging_2321/tillsyn/A 62188-2021 tillsynsbegäran.docx", "A 62188-2021")</f>
        <v/>
      </c>
      <c r="Y167">
        <f>HYPERLINK("https://klasma.github.io/Logging_2321/tillsynsmail/A 62188-2021 tillsynsbegäran mail.docx", "A 62188-2021")</f>
        <v/>
      </c>
    </row>
    <row r="168" ht="15" customHeight="1">
      <c r="A168" t="inlineStr">
        <is>
          <t>A 63975-2021</t>
        </is>
      </c>
      <c r="B168" s="1" t="n">
        <v>44509</v>
      </c>
      <c r="C168" s="1" t="n">
        <v>45472</v>
      </c>
      <c r="D168" t="inlineStr">
        <is>
          <t>JÄMTLANDS LÄN</t>
        </is>
      </c>
      <c r="E168" t="inlineStr">
        <is>
          <t>ÅRE</t>
        </is>
      </c>
      <c r="G168" t="n">
        <v>2.4</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63975-2021 artfynd.xlsx", "A 63975-2021")</f>
        <v/>
      </c>
      <c r="T168">
        <f>HYPERLINK("https://klasma.github.io/Logging_2321/kartor/A 63975-2021 karta.png", "A 63975-2021")</f>
        <v/>
      </c>
      <c r="V168">
        <f>HYPERLINK("https://klasma.github.io/Logging_2321/klagomål/A 63975-2021 FSC-klagomål.docx", "A 63975-2021")</f>
        <v/>
      </c>
      <c r="W168">
        <f>HYPERLINK("https://klasma.github.io/Logging_2321/klagomålsmail/A 63975-2021 FSC-klagomål mail.docx", "A 63975-2021")</f>
        <v/>
      </c>
      <c r="X168">
        <f>HYPERLINK("https://klasma.github.io/Logging_2321/tillsyn/A 63975-2021 tillsynsbegäran.docx", "A 63975-2021")</f>
        <v/>
      </c>
      <c r="Y168">
        <f>HYPERLINK("https://klasma.github.io/Logging_2321/tillsynsmail/A 63975-2021 tillsynsbegäran mail.docx", "A 63975-2021")</f>
        <v/>
      </c>
    </row>
    <row r="169" ht="15" customHeight="1">
      <c r="A169" t="inlineStr">
        <is>
          <t>A 74392-2021</t>
        </is>
      </c>
      <c r="B169" s="1" t="n">
        <v>44559</v>
      </c>
      <c r="C169" s="1" t="n">
        <v>45472</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12242-2022</t>
        </is>
      </c>
      <c r="B170" s="1" t="n">
        <v>44637</v>
      </c>
      <c r="C170" s="1" t="n">
        <v>45472</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17692-2022</t>
        </is>
      </c>
      <c r="B171" s="1" t="n">
        <v>44680</v>
      </c>
      <c r="C171" s="1" t="n">
        <v>45472</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18851-2022</t>
        </is>
      </c>
      <c r="B172" s="1" t="n">
        <v>44690</v>
      </c>
      <c r="C172" s="1" t="n">
        <v>45472</v>
      </c>
      <c r="D172" t="inlineStr">
        <is>
          <t>JÄMTLANDS LÄN</t>
        </is>
      </c>
      <c r="E172" t="inlineStr">
        <is>
          <t>ÅRE</t>
        </is>
      </c>
      <c r="G172" t="n">
        <v>10.4</v>
      </c>
      <c r="H172" t="n">
        <v>0</v>
      </c>
      <c r="I172" t="n">
        <v>0</v>
      </c>
      <c r="J172" t="n">
        <v>1</v>
      </c>
      <c r="K172" t="n">
        <v>0</v>
      </c>
      <c r="L172" t="n">
        <v>0</v>
      </c>
      <c r="M172" t="n">
        <v>0</v>
      </c>
      <c r="N172" t="n">
        <v>0</v>
      </c>
      <c r="O172" t="n">
        <v>1</v>
      </c>
      <c r="P172" t="n">
        <v>0</v>
      </c>
      <c r="Q172" t="n">
        <v>1</v>
      </c>
      <c r="R172" s="2" t="inlineStr">
        <is>
          <t>Garnlav</t>
        </is>
      </c>
      <c r="S172">
        <f>HYPERLINK("https://klasma.github.io/Logging_2321/artfynd/A 18851-2022 artfynd.xlsx", "A 18851-2022")</f>
        <v/>
      </c>
      <c r="T172">
        <f>HYPERLINK("https://klasma.github.io/Logging_2321/kartor/A 18851-2022 karta.png", "A 18851-2022")</f>
        <v/>
      </c>
      <c r="V172">
        <f>HYPERLINK("https://klasma.github.io/Logging_2321/klagomål/A 18851-2022 FSC-klagomål.docx", "A 18851-2022")</f>
        <v/>
      </c>
      <c r="W172">
        <f>HYPERLINK("https://klasma.github.io/Logging_2321/klagomålsmail/A 18851-2022 FSC-klagomål mail.docx", "A 18851-2022")</f>
        <v/>
      </c>
      <c r="X172">
        <f>HYPERLINK("https://klasma.github.io/Logging_2321/tillsyn/A 18851-2022 tillsynsbegäran.docx", "A 18851-2022")</f>
        <v/>
      </c>
      <c r="Y172">
        <f>HYPERLINK("https://klasma.github.io/Logging_2321/tillsynsmail/A 18851-2022 tillsynsbegäran mail.docx", "A 18851-2022")</f>
        <v/>
      </c>
    </row>
    <row r="173" ht="15" customHeight="1">
      <c r="A173" t="inlineStr">
        <is>
          <t>A 32216-2022</t>
        </is>
      </c>
      <c r="B173" s="1" t="n">
        <v>44781</v>
      </c>
      <c r="C173" s="1" t="n">
        <v>45472</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40614-2022</t>
        </is>
      </c>
      <c r="B174" s="1" t="n">
        <v>44824</v>
      </c>
      <c r="C174" s="1" t="n">
        <v>45472</v>
      </c>
      <c r="D174" t="inlineStr">
        <is>
          <t>JÄMTLANDS LÄN</t>
        </is>
      </c>
      <c r="E174" t="inlineStr">
        <is>
          <t>ÅRE</t>
        </is>
      </c>
      <c r="F174" t="inlineStr">
        <is>
          <t>Övriga Aktiebolag</t>
        </is>
      </c>
      <c r="G174" t="n">
        <v>23.2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40614-2022 artfynd.xlsx", "A 40614-2022")</f>
        <v/>
      </c>
      <c r="T174">
        <f>HYPERLINK("https://klasma.github.io/Logging_2321/kartor/A 40614-2022 karta.png", "A 40614-2022")</f>
        <v/>
      </c>
      <c r="V174">
        <f>HYPERLINK("https://klasma.github.io/Logging_2321/klagomål/A 40614-2022 FSC-klagomål.docx", "A 40614-2022")</f>
        <v/>
      </c>
      <c r="W174">
        <f>HYPERLINK("https://klasma.github.io/Logging_2321/klagomålsmail/A 40614-2022 FSC-klagomål mail.docx", "A 40614-2022")</f>
        <v/>
      </c>
      <c r="X174">
        <f>HYPERLINK("https://klasma.github.io/Logging_2321/tillsyn/A 40614-2022 tillsynsbegäran.docx", "A 40614-2022")</f>
        <v/>
      </c>
      <c r="Y174">
        <f>HYPERLINK("https://klasma.github.io/Logging_2321/tillsynsmail/A 40614-2022 tillsynsbegäran mail.docx", "A 40614-2022")</f>
        <v/>
      </c>
      <c r="Z174">
        <f>HYPERLINK("https://klasma.github.io/Logging_2321/fåglar/A 40614-2022 prioriterade fågelarter.docx", "A 40614-2022")</f>
        <v/>
      </c>
    </row>
    <row r="175" ht="15" customHeight="1">
      <c r="A175" t="inlineStr">
        <is>
          <t>A 55194-2022</t>
        </is>
      </c>
      <c r="B175" s="1" t="n">
        <v>44886</v>
      </c>
      <c r="C175" s="1" t="n">
        <v>45472</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55805-2022</t>
        </is>
      </c>
      <c r="B176" s="1" t="n">
        <v>44888</v>
      </c>
      <c r="C176" s="1" t="n">
        <v>45472</v>
      </c>
      <c r="D176" t="inlineStr">
        <is>
          <t>JÄMTLANDS LÄN</t>
        </is>
      </c>
      <c r="E176" t="inlineStr">
        <is>
          <t>ÅRE</t>
        </is>
      </c>
      <c r="F176" t="inlineStr">
        <is>
          <t>Övriga Aktiebolag</t>
        </is>
      </c>
      <c r="G176" t="n">
        <v>17.7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55805-2022 artfynd.xlsx", "A 55805-2022")</f>
        <v/>
      </c>
      <c r="T176">
        <f>HYPERLINK("https://klasma.github.io/Logging_2321/kartor/A 55805-2022 karta.png", "A 55805-2022")</f>
        <v/>
      </c>
      <c r="V176">
        <f>HYPERLINK("https://klasma.github.io/Logging_2321/klagomål/A 55805-2022 FSC-klagomål.docx", "A 55805-2022")</f>
        <v/>
      </c>
      <c r="W176">
        <f>HYPERLINK("https://klasma.github.io/Logging_2321/klagomålsmail/A 55805-2022 FSC-klagomål mail.docx", "A 55805-2022")</f>
        <v/>
      </c>
      <c r="X176">
        <f>HYPERLINK("https://klasma.github.io/Logging_2321/tillsyn/A 55805-2022 tillsynsbegäran.docx", "A 55805-2022")</f>
        <v/>
      </c>
      <c r="Y176">
        <f>HYPERLINK("https://klasma.github.io/Logging_2321/tillsynsmail/A 55805-2022 tillsynsbegäran mail.docx", "A 55805-2022")</f>
        <v/>
      </c>
      <c r="Z176">
        <f>HYPERLINK("https://klasma.github.io/Logging_2321/fåglar/A 55805-2022 prioriterade fågelarter.docx", "A 55805-2022")</f>
        <v/>
      </c>
    </row>
    <row r="177" ht="15" customHeight="1">
      <c r="A177" t="inlineStr">
        <is>
          <t>A 56493-2022</t>
        </is>
      </c>
      <c r="B177" s="1" t="n">
        <v>44893</v>
      </c>
      <c r="C177" s="1" t="n">
        <v>45472</v>
      </c>
      <c r="D177" t="inlineStr">
        <is>
          <t>JÄMTLANDS LÄN</t>
        </is>
      </c>
      <c r="E177" t="inlineStr">
        <is>
          <t>ÅRE</t>
        </is>
      </c>
      <c r="F177" t="inlineStr">
        <is>
          <t>Övriga Aktiebolag</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HYPERLINK("https://klasma.github.io/Logging_2321/artfynd/A 56493-2022 artfynd.xlsx", "A 56493-2022")</f>
        <v/>
      </c>
      <c r="T177">
        <f>HYPERLINK("https://klasma.github.io/Logging_2321/kartor/A 56493-2022 karta.png", "A 56493-2022")</f>
        <v/>
      </c>
      <c r="V177">
        <f>HYPERLINK("https://klasma.github.io/Logging_2321/klagomål/A 56493-2022 FSC-klagomål.docx", "A 56493-2022")</f>
        <v/>
      </c>
      <c r="W177">
        <f>HYPERLINK("https://klasma.github.io/Logging_2321/klagomålsmail/A 56493-2022 FSC-klagomål mail.docx", "A 56493-2022")</f>
        <v/>
      </c>
      <c r="X177">
        <f>HYPERLINK("https://klasma.github.io/Logging_2321/tillsyn/A 56493-2022 tillsynsbegäran.docx", "A 56493-2022")</f>
        <v/>
      </c>
      <c r="Y177">
        <f>HYPERLINK("https://klasma.github.io/Logging_2321/tillsynsmail/A 56493-2022 tillsynsbegäran mail.docx", "A 56493-2022")</f>
        <v/>
      </c>
    </row>
    <row r="178" ht="15" customHeight="1">
      <c r="A178" t="inlineStr">
        <is>
          <t>A 56603-2022</t>
        </is>
      </c>
      <c r="B178" s="1" t="n">
        <v>44893</v>
      </c>
      <c r="C178" s="1" t="n">
        <v>45472</v>
      </c>
      <c r="D178" t="inlineStr">
        <is>
          <t>JÄMTLANDS LÄN</t>
        </is>
      </c>
      <c r="E178" t="inlineStr">
        <is>
          <t>ÅRE</t>
        </is>
      </c>
      <c r="F178" t="inlineStr">
        <is>
          <t>Övriga Aktiebolag</t>
        </is>
      </c>
      <c r="G178" t="n">
        <v>14.3</v>
      </c>
      <c r="H178" t="n">
        <v>1</v>
      </c>
      <c r="I178" t="n">
        <v>0</v>
      </c>
      <c r="J178" t="n">
        <v>1</v>
      </c>
      <c r="K178" t="n">
        <v>0</v>
      </c>
      <c r="L178" t="n">
        <v>0</v>
      </c>
      <c r="M178" t="n">
        <v>0</v>
      </c>
      <c r="N178" t="n">
        <v>0</v>
      </c>
      <c r="O178" t="n">
        <v>1</v>
      </c>
      <c r="P178" t="n">
        <v>0</v>
      </c>
      <c r="Q178" t="n">
        <v>1</v>
      </c>
      <c r="R178" s="2" t="inlineStr">
        <is>
          <t>Talltita</t>
        </is>
      </c>
      <c r="S178">
        <f>HYPERLINK("https://klasma.github.io/Logging_2321/artfynd/A 56603-2022 artfynd.xlsx", "A 56603-2022")</f>
        <v/>
      </c>
      <c r="T178">
        <f>HYPERLINK("https://klasma.github.io/Logging_2321/kartor/A 56603-2022 karta.png", "A 56603-2022")</f>
        <v/>
      </c>
      <c r="V178">
        <f>HYPERLINK("https://klasma.github.io/Logging_2321/klagomål/A 56603-2022 FSC-klagomål.docx", "A 56603-2022")</f>
        <v/>
      </c>
      <c r="W178">
        <f>HYPERLINK("https://klasma.github.io/Logging_2321/klagomålsmail/A 56603-2022 FSC-klagomål mail.docx", "A 56603-2022")</f>
        <v/>
      </c>
      <c r="X178">
        <f>HYPERLINK("https://klasma.github.io/Logging_2321/tillsyn/A 56603-2022 tillsynsbegäran.docx", "A 56603-2022")</f>
        <v/>
      </c>
      <c r="Y178">
        <f>HYPERLINK("https://klasma.github.io/Logging_2321/tillsynsmail/A 56603-2022 tillsynsbegäran mail.docx", "A 56603-2022")</f>
        <v/>
      </c>
      <c r="Z178">
        <f>HYPERLINK("https://klasma.github.io/Logging_2321/fåglar/A 56603-2022 prioriterade fågelarter.docx", "A 56603-2022")</f>
        <v/>
      </c>
    </row>
    <row r="179" ht="15" customHeight="1">
      <c r="A179" t="inlineStr">
        <is>
          <t>A 57396-2022</t>
        </is>
      </c>
      <c r="B179" s="1" t="n">
        <v>44896</v>
      </c>
      <c r="C179" s="1" t="n">
        <v>45472</v>
      </c>
      <c r="D179" t="inlineStr">
        <is>
          <t>JÄMTLANDS LÄN</t>
        </is>
      </c>
      <c r="E179" t="inlineStr">
        <is>
          <t>ÅRE</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HYPERLINK("https://klasma.github.io/Logging_2321/artfynd/A 57396-2022 artfynd.xlsx", "A 57396-2022")</f>
        <v/>
      </c>
      <c r="T179">
        <f>HYPERLINK("https://klasma.github.io/Logging_2321/kartor/A 57396-2022 karta.png", "A 57396-2022")</f>
        <v/>
      </c>
      <c r="V179">
        <f>HYPERLINK("https://klasma.github.io/Logging_2321/klagomål/A 57396-2022 FSC-klagomål.docx", "A 57396-2022")</f>
        <v/>
      </c>
      <c r="W179">
        <f>HYPERLINK("https://klasma.github.io/Logging_2321/klagomålsmail/A 57396-2022 FSC-klagomål mail.docx", "A 57396-2022")</f>
        <v/>
      </c>
      <c r="X179">
        <f>HYPERLINK("https://klasma.github.io/Logging_2321/tillsyn/A 57396-2022 tillsynsbegäran.docx", "A 57396-2022")</f>
        <v/>
      </c>
      <c r="Y179">
        <f>HYPERLINK("https://klasma.github.io/Logging_2321/tillsynsmail/A 57396-2022 tillsynsbegäran mail.docx", "A 57396-2022")</f>
        <v/>
      </c>
    </row>
    <row r="180" ht="15" customHeight="1">
      <c r="A180" t="inlineStr">
        <is>
          <t>A 60544-2022</t>
        </is>
      </c>
      <c r="B180" s="1" t="n">
        <v>44904</v>
      </c>
      <c r="C180" s="1" t="n">
        <v>45472</v>
      </c>
      <c r="D180" t="inlineStr">
        <is>
          <t>JÄMTLANDS LÄN</t>
        </is>
      </c>
      <c r="E180" t="inlineStr">
        <is>
          <t>ÅRE</t>
        </is>
      </c>
      <c r="G180" t="n">
        <v>1.2</v>
      </c>
      <c r="H180" t="n">
        <v>1</v>
      </c>
      <c r="I180" t="n">
        <v>0</v>
      </c>
      <c r="J180" t="n">
        <v>1</v>
      </c>
      <c r="K180" t="n">
        <v>0</v>
      </c>
      <c r="L180" t="n">
        <v>0</v>
      </c>
      <c r="M180" t="n">
        <v>0</v>
      </c>
      <c r="N180" t="n">
        <v>0</v>
      </c>
      <c r="O180" t="n">
        <v>1</v>
      </c>
      <c r="P180" t="n">
        <v>0</v>
      </c>
      <c r="Q180" t="n">
        <v>1</v>
      </c>
      <c r="R180" s="2" t="inlineStr">
        <is>
          <t>Järpe</t>
        </is>
      </c>
      <c r="S180">
        <f>HYPERLINK("https://klasma.github.io/Logging_2321/artfynd/A 60544-2022 artfynd.xlsx", "A 60544-2022")</f>
        <v/>
      </c>
      <c r="T180">
        <f>HYPERLINK("https://klasma.github.io/Logging_2321/kartor/A 60544-2022 karta.png", "A 60544-2022")</f>
        <v/>
      </c>
      <c r="V180">
        <f>HYPERLINK("https://klasma.github.io/Logging_2321/klagomål/A 60544-2022 FSC-klagomål.docx", "A 60544-2022")</f>
        <v/>
      </c>
      <c r="W180">
        <f>HYPERLINK("https://klasma.github.io/Logging_2321/klagomålsmail/A 60544-2022 FSC-klagomål mail.docx", "A 60544-2022")</f>
        <v/>
      </c>
      <c r="X180">
        <f>HYPERLINK("https://klasma.github.io/Logging_2321/tillsyn/A 60544-2022 tillsynsbegäran.docx", "A 60544-2022")</f>
        <v/>
      </c>
      <c r="Y180">
        <f>HYPERLINK("https://klasma.github.io/Logging_2321/tillsynsmail/A 60544-2022 tillsynsbegäran mail.docx", "A 60544-2022")</f>
        <v/>
      </c>
      <c r="Z180">
        <f>HYPERLINK("https://klasma.github.io/Logging_2321/fåglar/A 60544-2022 prioriterade fågelarter.docx", "A 60544-2022")</f>
        <v/>
      </c>
    </row>
    <row r="181" ht="15" customHeight="1">
      <c r="A181" t="inlineStr">
        <is>
          <t>A 60435-2022</t>
        </is>
      </c>
      <c r="B181" s="1" t="n">
        <v>44911</v>
      </c>
      <c r="C181" s="1" t="n">
        <v>45472</v>
      </c>
      <c r="D181" t="inlineStr">
        <is>
          <t>JÄMTLANDS LÄN</t>
        </is>
      </c>
      <c r="E181" t="inlineStr">
        <is>
          <t>ÅRE</t>
        </is>
      </c>
      <c r="F181" t="inlineStr">
        <is>
          <t>Övriga Aktiebolag</t>
        </is>
      </c>
      <c r="G181" t="n">
        <v>7.9</v>
      </c>
      <c r="H181" t="n">
        <v>0</v>
      </c>
      <c r="I181" t="n">
        <v>1</v>
      </c>
      <c r="J181" t="n">
        <v>0</v>
      </c>
      <c r="K181" t="n">
        <v>0</v>
      </c>
      <c r="L181" t="n">
        <v>0</v>
      </c>
      <c r="M181" t="n">
        <v>0</v>
      </c>
      <c r="N181" t="n">
        <v>0</v>
      </c>
      <c r="O181" t="n">
        <v>0</v>
      </c>
      <c r="P181" t="n">
        <v>0</v>
      </c>
      <c r="Q181" t="n">
        <v>1</v>
      </c>
      <c r="R181" s="2" t="inlineStr">
        <is>
          <t>Kransrams</t>
        </is>
      </c>
      <c r="S181">
        <f>HYPERLINK("https://klasma.github.io/Logging_2321/artfynd/A 60435-2022 artfynd.xlsx", "A 60435-2022")</f>
        <v/>
      </c>
      <c r="T181">
        <f>HYPERLINK("https://klasma.github.io/Logging_2321/kartor/A 60435-2022 karta.png", "A 60435-2022")</f>
        <v/>
      </c>
      <c r="V181">
        <f>HYPERLINK("https://klasma.github.io/Logging_2321/klagomål/A 60435-2022 FSC-klagomål.docx", "A 60435-2022")</f>
        <v/>
      </c>
      <c r="W181">
        <f>HYPERLINK("https://klasma.github.io/Logging_2321/klagomålsmail/A 60435-2022 FSC-klagomål mail.docx", "A 60435-2022")</f>
        <v/>
      </c>
      <c r="X181">
        <f>HYPERLINK("https://klasma.github.io/Logging_2321/tillsyn/A 60435-2022 tillsynsbegäran.docx", "A 60435-2022")</f>
        <v/>
      </c>
      <c r="Y181">
        <f>HYPERLINK("https://klasma.github.io/Logging_2321/tillsynsmail/A 60435-2022 tillsynsbegäran mail.docx", "A 60435-2022")</f>
        <v/>
      </c>
    </row>
    <row r="182" ht="15" customHeight="1">
      <c r="A182" t="inlineStr">
        <is>
          <t>A 5480-2023</t>
        </is>
      </c>
      <c r="B182" s="1" t="n">
        <v>44957</v>
      </c>
      <c r="C182" s="1" t="n">
        <v>45472</v>
      </c>
      <c r="D182" t="inlineStr">
        <is>
          <t>JÄMTLANDS LÄN</t>
        </is>
      </c>
      <c r="E182" t="inlineStr">
        <is>
          <t>ÅRE</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5480-2023 artfynd.xlsx", "A 5480-2023")</f>
        <v/>
      </c>
      <c r="T182">
        <f>HYPERLINK("https://klasma.github.io/Logging_2321/kartor/A 5480-2023 karta.png", "A 5480-2023")</f>
        <v/>
      </c>
      <c r="V182">
        <f>HYPERLINK("https://klasma.github.io/Logging_2321/klagomål/A 5480-2023 FSC-klagomål.docx", "A 5480-2023")</f>
        <v/>
      </c>
      <c r="W182">
        <f>HYPERLINK("https://klasma.github.io/Logging_2321/klagomålsmail/A 5480-2023 FSC-klagomål mail.docx", "A 5480-2023")</f>
        <v/>
      </c>
      <c r="X182">
        <f>HYPERLINK("https://klasma.github.io/Logging_2321/tillsyn/A 5480-2023 tillsynsbegäran.docx", "A 5480-2023")</f>
        <v/>
      </c>
      <c r="Y182">
        <f>HYPERLINK("https://klasma.github.io/Logging_2321/tillsynsmail/A 5480-2023 tillsynsbegäran mail.docx", "A 5480-2023")</f>
        <v/>
      </c>
      <c r="Z182">
        <f>HYPERLINK("https://klasma.github.io/Logging_2321/fåglar/A 5480-2023 prioriterade fågelarter.docx", "A 5480-2023")</f>
        <v/>
      </c>
    </row>
    <row r="183" ht="15" customHeight="1">
      <c r="A183" t="inlineStr">
        <is>
          <t>A 5611-2023</t>
        </is>
      </c>
      <c r="B183" s="1" t="n">
        <v>44958</v>
      </c>
      <c r="C183" s="1" t="n">
        <v>45472</v>
      </c>
      <c r="D183" t="inlineStr">
        <is>
          <t>JÄMTLANDS LÄN</t>
        </is>
      </c>
      <c r="E183" t="inlineStr">
        <is>
          <t>ÅRE</t>
        </is>
      </c>
      <c r="G183" t="n">
        <v>10.5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5611-2023 artfynd.xlsx", "A 5611-2023")</f>
        <v/>
      </c>
      <c r="T183">
        <f>HYPERLINK("https://klasma.github.io/Logging_2321/kartor/A 5611-2023 karta.png", "A 5611-2023")</f>
        <v/>
      </c>
      <c r="V183">
        <f>HYPERLINK("https://klasma.github.io/Logging_2321/klagomål/A 5611-2023 FSC-klagomål.docx", "A 5611-2023")</f>
        <v/>
      </c>
      <c r="W183">
        <f>HYPERLINK("https://klasma.github.io/Logging_2321/klagomålsmail/A 5611-2023 FSC-klagomål mail.docx", "A 5611-2023")</f>
        <v/>
      </c>
      <c r="X183">
        <f>HYPERLINK("https://klasma.github.io/Logging_2321/tillsyn/A 5611-2023 tillsynsbegäran.docx", "A 5611-2023")</f>
        <v/>
      </c>
      <c r="Y183">
        <f>HYPERLINK("https://klasma.github.io/Logging_2321/tillsynsmail/A 5611-2023 tillsynsbegäran mail.docx", "A 5611-2023")</f>
        <v/>
      </c>
      <c r="Z183">
        <f>HYPERLINK("https://klasma.github.io/Logging_2321/fåglar/A 5611-2023 prioriterade fågelarter.docx", "A 5611-2023")</f>
        <v/>
      </c>
    </row>
    <row r="184" ht="15" customHeight="1">
      <c r="A184" t="inlineStr">
        <is>
          <t>A 10632-2023</t>
        </is>
      </c>
      <c r="B184" s="1" t="n">
        <v>44984</v>
      </c>
      <c r="C184" s="1" t="n">
        <v>45472</v>
      </c>
      <c r="D184" t="inlineStr">
        <is>
          <t>JÄMTLANDS LÄN</t>
        </is>
      </c>
      <c r="E184" t="inlineStr">
        <is>
          <t>ÅRE</t>
        </is>
      </c>
      <c r="G184" t="n">
        <v>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10632-2023 artfynd.xlsx", "A 10632-2023")</f>
        <v/>
      </c>
      <c r="T184">
        <f>HYPERLINK("https://klasma.github.io/Logging_2321/kartor/A 10632-2023 karta.png", "A 10632-2023")</f>
        <v/>
      </c>
      <c r="V184">
        <f>HYPERLINK("https://klasma.github.io/Logging_2321/klagomål/A 10632-2023 FSC-klagomål.docx", "A 10632-2023")</f>
        <v/>
      </c>
      <c r="W184">
        <f>HYPERLINK("https://klasma.github.io/Logging_2321/klagomålsmail/A 10632-2023 FSC-klagomål mail.docx", "A 10632-2023")</f>
        <v/>
      </c>
      <c r="X184">
        <f>HYPERLINK("https://klasma.github.io/Logging_2321/tillsyn/A 10632-2023 tillsynsbegäran.docx", "A 10632-2023")</f>
        <v/>
      </c>
      <c r="Y184">
        <f>HYPERLINK("https://klasma.github.io/Logging_2321/tillsynsmail/A 10632-2023 tillsynsbegäran mail.docx", "A 10632-2023")</f>
        <v/>
      </c>
      <c r="Z184">
        <f>HYPERLINK("https://klasma.github.io/Logging_2321/fåglar/A 10632-2023 prioriterade fågelarter.docx", "A 10632-2023")</f>
        <v/>
      </c>
    </row>
    <row r="185" ht="15" customHeight="1">
      <c r="A185" t="inlineStr">
        <is>
          <t>A 41405-2023</t>
        </is>
      </c>
      <c r="B185" s="1" t="n">
        <v>45174</v>
      </c>
      <c r="C185" s="1" t="n">
        <v>45472</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Ögonpyrola</t>
        </is>
      </c>
      <c r="S185">
        <f>HYPERLINK("https://klasma.github.io/Logging_2321/artfynd/A 41405-2023 artfynd.xlsx", "A 41405-2023")</f>
        <v/>
      </c>
      <c r="T185">
        <f>HYPERLINK("https://klasma.github.io/Logging_2321/kartor/A 41405-2023 karta.png", "A 41405-2023")</f>
        <v/>
      </c>
      <c r="V185">
        <f>HYPERLINK("https://klasma.github.io/Logging_2321/klagomål/A 41405-2023 FSC-klagomål.docx", "A 41405-2023")</f>
        <v/>
      </c>
      <c r="W185">
        <f>HYPERLINK("https://klasma.github.io/Logging_2321/klagomålsmail/A 41405-2023 FSC-klagomål mail.docx", "A 41405-2023")</f>
        <v/>
      </c>
      <c r="X185">
        <f>HYPERLINK("https://klasma.github.io/Logging_2321/tillsyn/A 41405-2023 tillsynsbegäran.docx", "A 41405-2023")</f>
        <v/>
      </c>
      <c r="Y185">
        <f>HYPERLINK("https://klasma.github.io/Logging_2321/tillsynsmail/A 41405-2023 tillsynsbegäran mail.docx", "A 41405-2023")</f>
        <v/>
      </c>
    </row>
    <row r="186" ht="15" customHeight="1">
      <c r="A186" t="inlineStr">
        <is>
          <t>A 55105-2023</t>
        </is>
      </c>
      <c r="B186" s="1" t="n">
        <v>45237</v>
      </c>
      <c r="C186" s="1" t="n">
        <v>45472</v>
      </c>
      <c r="D186" t="inlineStr">
        <is>
          <t>JÄMTLANDS LÄN</t>
        </is>
      </c>
      <c r="E186" t="inlineStr">
        <is>
          <t>ÅRE</t>
        </is>
      </c>
      <c r="G186" t="n">
        <v>15.8</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55105-2023 artfynd.xlsx", "A 55105-2023")</f>
        <v/>
      </c>
      <c r="T186">
        <f>HYPERLINK("https://klasma.github.io/Logging_2321/kartor/A 55105-2023 karta.png", "A 55105-2023")</f>
        <v/>
      </c>
      <c r="V186">
        <f>HYPERLINK("https://klasma.github.io/Logging_2321/klagomål/A 55105-2023 FSC-klagomål.docx", "A 55105-2023")</f>
        <v/>
      </c>
      <c r="W186">
        <f>HYPERLINK("https://klasma.github.io/Logging_2321/klagomålsmail/A 55105-2023 FSC-klagomål mail.docx", "A 55105-2023")</f>
        <v/>
      </c>
      <c r="X186">
        <f>HYPERLINK("https://klasma.github.io/Logging_2321/tillsyn/A 55105-2023 tillsynsbegäran.docx", "A 55105-2023")</f>
        <v/>
      </c>
      <c r="Y186">
        <f>HYPERLINK("https://klasma.github.io/Logging_2321/tillsynsmail/A 55105-2023 tillsynsbegäran mail.docx", "A 55105-2023")</f>
        <v/>
      </c>
      <c r="Z186">
        <f>HYPERLINK("https://klasma.github.io/Logging_2321/fåglar/A 55105-2023 prioriterade fågelarter.docx", "A 55105-2023")</f>
        <v/>
      </c>
    </row>
    <row r="187" ht="15" customHeight="1">
      <c r="A187" t="inlineStr">
        <is>
          <t>A 59402-2023</t>
        </is>
      </c>
      <c r="B187" s="1" t="n">
        <v>45253</v>
      </c>
      <c r="C187" s="1" t="n">
        <v>45472</v>
      </c>
      <c r="D187" t="inlineStr">
        <is>
          <t>JÄMTLANDS LÄN</t>
        </is>
      </c>
      <c r="E187" t="inlineStr">
        <is>
          <t>ÅRE</t>
        </is>
      </c>
      <c r="G187" t="n">
        <v>2.3</v>
      </c>
      <c r="H187" t="n">
        <v>0</v>
      </c>
      <c r="I187" t="n">
        <v>0</v>
      </c>
      <c r="J187" t="n">
        <v>1</v>
      </c>
      <c r="K187" t="n">
        <v>0</v>
      </c>
      <c r="L187" t="n">
        <v>0</v>
      </c>
      <c r="M187" t="n">
        <v>0</v>
      </c>
      <c r="N187" t="n">
        <v>0</v>
      </c>
      <c r="O187" t="n">
        <v>1</v>
      </c>
      <c r="P187" t="n">
        <v>0</v>
      </c>
      <c r="Q187" t="n">
        <v>1</v>
      </c>
      <c r="R187" s="2" t="inlineStr">
        <is>
          <t>Garnlav</t>
        </is>
      </c>
      <c r="S187">
        <f>HYPERLINK("https://klasma.github.io/Logging_2321/artfynd/A 59402-2023 artfynd.xlsx", "A 59402-2023")</f>
        <v/>
      </c>
      <c r="T187">
        <f>HYPERLINK("https://klasma.github.io/Logging_2321/kartor/A 59402-2023 karta.png", "A 59402-2023")</f>
        <v/>
      </c>
      <c r="V187">
        <f>HYPERLINK("https://klasma.github.io/Logging_2321/klagomål/A 59402-2023 FSC-klagomål.docx", "A 59402-2023")</f>
        <v/>
      </c>
      <c r="W187">
        <f>HYPERLINK("https://klasma.github.io/Logging_2321/klagomålsmail/A 59402-2023 FSC-klagomål mail.docx", "A 59402-2023")</f>
        <v/>
      </c>
      <c r="X187">
        <f>HYPERLINK("https://klasma.github.io/Logging_2321/tillsyn/A 59402-2023 tillsynsbegäran.docx", "A 59402-2023")</f>
        <v/>
      </c>
      <c r="Y187">
        <f>HYPERLINK("https://klasma.github.io/Logging_2321/tillsynsmail/A 59402-2023 tillsynsbegäran mail.docx", "A 59402-2023")</f>
        <v/>
      </c>
    </row>
    <row r="188" ht="15" customHeight="1">
      <c r="A188" t="inlineStr">
        <is>
          <t>A 61471-2023</t>
        </is>
      </c>
      <c r="B188" s="1" t="n">
        <v>45264</v>
      </c>
      <c r="C188" s="1" t="n">
        <v>45472</v>
      </c>
      <c r="D188" t="inlineStr">
        <is>
          <t>JÄMTLANDS LÄN</t>
        </is>
      </c>
      <c r="E188" t="inlineStr">
        <is>
          <t>ÅRE</t>
        </is>
      </c>
      <c r="G188" t="n">
        <v>1</v>
      </c>
      <c r="H188" t="n">
        <v>0</v>
      </c>
      <c r="I188" t="n">
        <v>0</v>
      </c>
      <c r="J188" t="n">
        <v>1</v>
      </c>
      <c r="K188" t="n">
        <v>0</v>
      </c>
      <c r="L188" t="n">
        <v>0</v>
      </c>
      <c r="M188" t="n">
        <v>0</v>
      </c>
      <c r="N188" t="n">
        <v>0</v>
      </c>
      <c r="O188" t="n">
        <v>1</v>
      </c>
      <c r="P188" t="n">
        <v>0</v>
      </c>
      <c r="Q188" t="n">
        <v>1</v>
      </c>
      <c r="R188" s="2" t="inlineStr">
        <is>
          <t>Skrovellav</t>
        </is>
      </c>
      <c r="S188">
        <f>HYPERLINK("https://klasma.github.io/Logging_2321/artfynd/A 61471-2023 artfynd.xlsx", "A 61471-2023")</f>
        <v/>
      </c>
      <c r="T188">
        <f>HYPERLINK("https://klasma.github.io/Logging_2321/kartor/A 61471-2023 karta.png", "A 61471-2023")</f>
        <v/>
      </c>
      <c r="V188">
        <f>HYPERLINK("https://klasma.github.io/Logging_2321/klagomål/A 61471-2023 FSC-klagomål.docx", "A 61471-2023")</f>
        <v/>
      </c>
      <c r="W188">
        <f>HYPERLINK("https://klasma.github.io/Logging_2321/klagomålsmail/A 61471-2023 FSC-klagomål mail.docx", "A 61471-2023")</f>
        <v/>
      </c>
      <c r="X188">
        <f>HYPERLINK("https://klasma.github.io/Logging_2321/tillsyn/A 61471-2023 tillsynsbegäran.docx", "A 61471-2023")</f>
        <v/>
      </c>
      <c r="Y188">
        <f>HYPERLINK("https://klasma.github.io/Logging_2321/tillsynsmail/A 61471-2023 tillsynsbegäran mail.docx", "A 61471-2023")</f>
        <v/>
      </c>
    </row>
    <row r="189" ht="15" customHeight="1">
      <c r="A189" t="inlineStr">
        <is>
          <t>A 61828-2023</t>
        </is>
      </c>
      <c r="B189" s="1" t="n">
        <v>45264</v>
      </c>
      <c r="C189" s="1" t="n">
        <v>45472</v>
      </c>
      <c r="D189" t="inlineStr">
        <is>
          <t>JÄMTLANDS LÄN</t>
        </is>
      </c>
      <c r="E189" t="inlineStr">
        <is>
          <t>ÅRE</t>
        </is>
      </c>
      <c r="F189" t="inlineStr">
        <is>
          <t>Övriga Aktiebolag</t>
        </is>
      </c>
      <c r="G189" t="n">
        <v>6.2</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61828-2023 artfynd.xlsx", "A 61828-2023")</f>
        <v/>
      </c>
      <c r="T189">
        <f>HYPERLINK("https://klasma.github.io/Logging_2321/kartor/A 61828-2023 karta.png", "A 61828-2023")</f>
        <v/>
      </c>
      <c r="V189">
        <f>HYPERLINK("https://klasma.github.io/Logging_2321/klagomål/A 61828-2023 FSC-klagomål.docx", "A 61828-2023")</f>
        <v/>
      </c>
      <c r="W189">
        <f>HYPERLINK("https://klasma.github.io/Logging_2321/klagomålsmail/A 61828-2023 FSC-klagomål mail.docx", "A 61828-2023")</f>
        <v/>
      </c>
      <c r="X189">
        <f>HYPERLINK("https://klasma.github.io/Logging_2321/tillsyn/A 61828-2023 tillsynsbegäran.docx", "A 61828-2023")</f>
        <v/>
      </c>
      <c r="Y189">
        <f>HYPERLINK("https://klasma.github.io/Logging_2321/tillsynsmail/A 61828-2023 tillsynsbegäran mail.docx", "A 61828-2023")</f>
        <v/>
      </c>
      <c r="Z189">
        <f>HYPERLINK("https://klasma.github.io/Logging_2321/fåglar/A 61828-2023 prioriterade fågelarter.docx", "A 61828-2023")</f>
        <v/>
      </c>
    </row>
    <row r="190" ht="15" customHeight="1">
      <c r="A190" t="inlineStr">
        <is>
          <t>A 64026-2023</t>
        </is>
      </c>
      <c r="B190" s="1" t="n">
        <v>45278</v>
      </c>
      <c r="C190" s="1" t="n">
        <v>45472</v>
      </c>
      <c r="D190" t="inlineStr">
        <is>
          <t>JÄMTLANDS LÄN</t>
        </is>
      </c>
      <c r="E190" t="inlineStr">
        <is>
          <t>ÅRE</t>
        </is>
      </c>
      <c r="F190" t="inlineStr">
        <is>
          <t>Övriga Aktiebolag</t>
        </is>
      </c>
      <c r="G190" t="n">
        <v>9.800000000000001</v>
      </c>
      <c r="H190" t="n">
        <v>0</v>
      </c>
      <c r="I190" t="n">
        <v>1</v>
      </c>
      <c r="J190" t="n">
        <v>0</v>
      </c>
      <c r="K190" t="n">
        <v>0</v>
      </c>
      <c r="L190" t="n">
        <v>0</v>
      </c>
      <c r="M190" t="n">
        <v>0</v>
      </c>
      <c r="N190" t="n">
        <v>0</v>
      </c>
      <c r="O190" t="n">
        <v>0</v>
      </c>
      <c r="P190" t="n">
        <v>0</v>
      </c>
      <c r="Q190" t="n">
        <v>1</v>
      </c>
      <c r="R190" s="2" t="inlineStr">
        <is>
          <t>Svavelriska</t>
        </is>
      </c>
      <c r="S190">
        <f>HYPERLINK("https://klasma.github.io/Logging_2321/artfynd/A 64026-2023 artfynd.xlsx", "A 64026-2023")</f>
        <v/>
      </c>
      <c r="T190">
        <f>HYPERLINK("https://klasma.github.io/Logging_2321/kartor/A 64026-2023 karta.png", "A 64026-2023")</f>
        <v/>
      </c>
      <c r="V190">
        <f>HYPERLINK("https://klasma.github.io/Logging_2321/klagomål/A 64026-2023 FSC-klagomål.docx", "A 64026-2023")</f>
        <v/>
      </c>
      <c r="W190">
        <f>HYPERLINK("https://klasma.github.io/Logging_2321/klagomålsmail/A 64026-2023 FSC-klagomål mail.docx", "A 64026-2023")</f>
        <v/>
      </c>
      <c r="X190">
        <f>HYPERLINK("https://klasma.github.io/Logging_2321/tillsyn/A 64026-2023 tillsynsbegäran.docx", "A 64026-2023")</f>
        <v/>
      </c>
      <c r="Y190">
        <f>HYPERLINK("https://klasma.github.io/Logging_2321/tillsynsmail/A 64026-2023 tillsynsbegäran mail.docx", "A 64026-2023")</f>
        <v/>
      </c>
    </row>
    <row r="191" ht="15" customHeight="1">
      <c r="A191" t="inlineStr">
        <is>
          <t>A 17636-2024</t>
        </is>
      </c>
      <c r="B191" s="1" t="n">
        <v>45418</v>
      </c>
      <c r="C191" s="1" t="n">
        <v>45472</v>
      </c>
      <c r="D191" t="inlineStr">
        <is>
          <t>JÄMTLANDS LÄN</t>
        </is>
      </c>
      <c r="E191" t="inlineStr">
        <is>
          <t>ÅRE</t>
        </is>
      </c>
      <c r="F191" t="inlineStr">
        <is>
          <t>Övriga Aktiebolag</t>
        </is>
      </c>
      <c r="G191" t="n">
        <v>12.4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17636-2024 artfynd.xlsx", "A 17636-2024")</f>
        <v/>
      </c>
      <c r="T191">
        <f>HYPERLINK("https://klasma.github.io/Logging_2321/kartor/A 17636-2024 karta.png", "A 17636-2024")</f>
        <v/>
      </c>
      <c r="V191">
        <f>HYPERLINK("https://klasma.github.io/Logging_2321/klagomål/A 17636-2024 FSC-klagomål.docx", "A 17636-2024")</f>
        <v/>
      </c>
      <c r="W191">
        <f>HYPERLINK("https://klasma.github.io/Logging_2321/klagomålsmail/A 17636-2024 FSC-klagomål mail.docx", "A 17636-2024")</f>
        <v/>
      </c>
      <c r="X191">
        <f>HYPERLINK("https://klasma.github.io/Logging_2321/tillsyn/A 17636-2024 tillsynsbegäran.docx", "A 17636-2024")</f>
        <v/>
      </c>
      <c r="Y191">
        <f>HYPERLINK("https://klasma.github.io/Logging_2321/tillsynsmail/A 17636-2024 tillsynsbegäran mail.docx", "A 17636-2024")</f>
        <v/>
      </c>
      <c r="Z191">
        <f>HYPERLINK("https://klasma.github.io/Logging_2321/fåglar/A 17636-2024 prioriterade fågelarter.docx", "A 17636-2024")</f>
        <v/>
      </c>
    </row>
    <row r="192" ht="15" customHeight="1">
      <c r="A192" t="inlineStr">
        <is>
          <t>A 23426-2024</t>
        </is>
      </c>
      <c r="B192" s="1" t="n">
        <v>45453</v>
      </c>
      <c r="C192" s="1" t="n">
        <v>45472</v>
      </c>
      <c r="D192" t="inlineStr">
        <is>
          <t>JÄMTLANDS LÄN</t>
        </is>
      </c>
      <c r="E192" t="inlineStr">
        <is>
          <t>ÅRE</t>
        </is>
      </c>
      <c r="F192" t="inlineStr">
        <is>
          <t>Övriga Aktiebolag</t>
        </is>
      </c>
      <c r="G192" t="n">
        <v>2.3</v>
      </c>
      <c r="H192" t="n">
        <v>0</v>
      </c>
      <c r="I192" t="n">
        <v>0</v>
      </c>
      <c r="J192" t="n">
        <v>1</v>
      </c>
      <c r="K192" t="n">
        <v>0</v>
      </c>
      <c r="L192" t="n">
        <v>0</v>
      </c>
      <c r="M192" t="n">
        <v>0</v>
      </c>
      <c r="N192" t="n">
        <v>0</v>
      </c>
      <c r="O192" t="n">
        <v>1</v>
      </c>
      <c r="P192" t="n">
        <v>0</v>
      </c>
      <c r="Q192" t="n">
        <v>1</v>
      </c>
      <c r="R192" s="2" t="inlineStr">
        <is>
          <t>Doftskinn</t>
        </is>
      </c>
      <c r="S192">
        <f>HYPERLINK("https://klasma.github.io/Logging_2321/artfynd/A 23426-2024 artfynd.xlsx", "A 23426-2024")</f>
        <v/>
      </c>
      <c r="T192">
        <f>HYPERLINK("https://klasma.github.io/Logging_2321/kartor/A 23426-2024 karta.png", "A 23426-2024")</f>
        <v/>
      </c>
      <c r="V192">
        <f>HYPERLINK("https://klasma.github.io/Logging_2321/klagomål/A 23426-2024 FSC-klagomål.docx", "A 23426-2024")</f>
        <v/>
      </c>
      <c r="W192">
        <f>HYPERLINK("https://klasma.github.io/Logging_2321/klagomålsmail/A 23426-2024 FSC-klagomål mail.docx", "A 23426-2024")</f>
        <v/>
      </c>
      <c r="X192">
        <f>HYPERLINK("https://klasma.github.io/Logging_2321/tillsyn/A 23426-2024 tillsynsbegäran.docx", "A 23426-2024")</f>
        <v/>
      </c>
      <c r="Y192">
        <f>HYPERLINK("https://klasma.github.io/Logging_2321/tillsynsmail/A 23426-2024 tillsynsbegäran mail.docx", "A 23426-2024")</f>
        <v/>
      </c>
    </row>
    <row r="193" ht="15" customHeight="1">
      <c r="A193" t="inlineStr">
        <is>
          <t>A 21532-2019</t>
        </is>
      </c>
      <c r="B193" s="1" t="n">
        <v>43580</v>
      </c>
      <c r="C193" s="1" t="n">
        <v>45472</v>
      </c>
      <c r="D193" t="inlineStr">
        <is>
          <t>JÄMTLANDS LÄN</t>
        </is>
      </c>
      <c r="E193" t="inlineStr">
        <is>
          <t>ÅRE</t>
        </is>
      </c>
      <c r="G193" t="n">
        <v>20.1</v>
      </c>
      <c r="H193" t="n">
        <v>0</v>
      </c>
      <c r="I193" t="n">
        <v>0</v>
      </c>
      <c r="J193" t="n">
        <v>0</v>
      </c>
      <c r="K193" t="n">
        <v>0</v>
      </c>
      <c r="L193" t="n">
        <v>0</v>
      </c>
      <c r="M193" t="n">
        <v>0</v>
      </c>
      <c r="N193" t="n">
        <v>0</v>
      </c>
      <c r="O193" t="n">
        <v>0</v>
      </c>
      <c r="P193" t="n">
        <v>0</v>
      </c>
      <c r="Q193" t="n">
        <v>0</v>
      </c>
      <c r="R193" s="2" t="inlineStr"/>
    </row>
    <row r="194" ht="15" customHeight="1">
      <c r="A194" t="inlineStr">
        <is>
          <t>A 21883-2019</t>
        </is>
      </c>
      <c r="B194" s="1" t="n">
        <v>43584</v>
      </c>
      <c r="C194" s="1" t="n">
        <v>45472</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22558-2019</t>
        </is>
      </c>
      <c r="B195" s="1" t="n">
        <v>43587</v>
      </c>
      <c r="C195" s="1" t="n">
        <v>45472</v>
      </c>
      <c r="D195" t="inlineStr">
        <is>
          <t>JÄMTLANDS LÄN</t>
        </is>
      </c>
      <c r="E195" t="inlineStr">
        <is>
          <t>ÅRE</t>
        </is>
      </c>
      <c r="G195" t="n">
        <v>79.09999999999999</v>
      </c>
      <c r="H195" t="n">
        <v>0</v>
      </c>
      <c r="I195" t="n">
        <v>0</v>
      </c>
      <c r="J195" t="n">
        <v>0</v>
      </c>
      <c r="K195" t="n">
        <v>0</v>
      </c>
      <c r="L195" t="n">
        <v>0</v>
      </c>
      <c r="M195" t="n">
        <v>0</v>
      </c>
      <c r="N195" t="n">
        <v>0</v>
      </c>
      <c r="O195" t="n">
        <v>0</v>
      </c>
      <c r="P195" t="n">
        <v>0</v>
      </c>
      <c r="Q195" t="n">
        <v>0</v>
      </c>
      <c r="R195" s="2" t="inlineStr"/>
    </row>
    <row r="196" ht="15" customHeight="1">
      <c r="A196" t="inlineStr">
        <is>
          <t>A 25099-2019</t>
        </is>
      </c>
      <c r="B196" s="1" t="n">
        <v>43605</v>
      </c>
      <c r="C196" s="1" t="n">
        <v>45472</v>
      </c>
      <c r="D196" t="inlineStr">
        <is>
          <t>JÄMTLANDS LÄN</t>
        </is>
      </c>
      <c r="E196" t="inlineStr">
        <is>
          <t>ÅRE</t>
        </is>
      </c>
      <c r="G196" t="n">
        <v>8.9</v>
      </c>
      <c r="H196" t="n">
        <v>0</v>
      </c>
      <c r="I196" t="n">
        <v>0</v>
      </c>
      <c r="J196" t="n">
        <v>0</v>
      </c>
      <c r="K196" t="n">
        <v>0</v>
      </c>
      <c r="L196" t="n">
        <v>0</v>
      </c>
      <c r="M196" t="n">
        <v>0</v>
      </c>
      <c r="N196" t="n">
        <v>0</v>
      </c>
      <c r="O196" t="n">
        <v>0</v>
      </c>
      <c r="P196" t="n">
        <v>0</v>
      </c>
      <c r="Q196" t="n">
        <v>0</v>
      </c>
      <c r="R196" s="2" t="inlineStr"/>
    </row>
    <row r="197" ht="15" customHeight="1">
      <c r="A197" t="inlineStr">
        <is>
          <t>A 26624-2019</t>
        </is>
      </c>
      <c r="B197" s="1" t="n">
        <v>43612</v>
      </c>
      <c r="C197" s="1" t="n">
        <v>45472</v>
      </c>
      <c r="D197" t="inlineStr">
        <is>
          <t>JÄMTLANDS LÄN</t>
        </is>
      </c>
      <c r="E197" t="inlineStr">
        <is>
          <t>ÅRE</t>
        </is>
      </c>
      <c r="G197" t="n">
        <v>2.4</v>
      </c>
      <c r="H197" t="n">
        <v>0</v>
      </c>
      <c r="I197" t="n">
        <v>0</v>
      </c>
      <c r="J197" t="n">
        <v>0</v>
      </c>
      <c r="K197" t="n">
        <v>0</v>
      </c>
      <c r="L197" t="n">
        <v>0</v>
      </c>
      <c r="M197" t="n">
        <v>0</v>
      </c>
      <c r="N197" t="n">
        <v>0</v>
      </c>
      <c r="O197" t="n">
        <v>0</v>
      </c>
      <c r="P197" t="n">
        <v>0</v>
      </c>
      <c r="Q197" t="n">
        <v>0</v>
      </c>
      <c r="R197" s="2" t="inlineStr"/>
    </row>
    <row r="198" ht="15" customHeight="1">
      <c r="A198" t="inlineStr">
        <is>
          <t>A 26626-2019</t>
        </is>
      </c>
      <c r="B198" s="1" t="n">
        <v>43612</v>
      </c>
      <c r="C198" s="1" t="n">
        <v>45472</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28793-2019</t>
        </is>
      </c>
      <c r="B199" s="1" t="n">
        <v>43627</v>
      </c>
      <c r="C199" s="1" t="n">
        <v>45472</v>
      </c>
      <c r="D199" t="inlineStr">
        <is>
          <t>JÄMTLANDS LÄN</t>
        </is>
      </c>
      <c r="E199" t="inlineStr">
        <is>
          <t>ÅRE</t>
        </is>
      </c>
      <c r="G199" t="n">
        <v>7.8</v>
      </c>
      <c r="H199" t="n">
        <v>0</v>
      </c>
      <c r="I199" t="n">
        <v>0</v>
      </c>
      <c r="J199" t="n">
        <v>0</v>
      </c>
      <c r="K199" t="n">
        <v>0</v>
      </c>
      <c r="L199" t="n">
        <v>0</v>
      </c>
      <c r="M199" t="n">
        <v>0</v>
      </c>
      <c r="N199" t="n">
        <v>0</v>
      </c>
      <c r="O199" t="n">
        <v>0</v>
      </c>
      <c r="P199" t="n">
        <v>0</v>
      </c>
      <c r="Q199" t="n">
        <v>0</v>
      </c>
      <c r="R199" s="2" t="inlineStr"/>
    </row>
    <row r="200" ht="15" customHeight="1">
      <c r="A200" t="inlineStr">
        <is>
          <t>A 29272-2019</t>
        </is>
      </c>
      <c r="B200" s="1" t="n">
        <v>43629</v>
      </c>
      <c r="C200" s="1" t="n">
        <v>45472</v>
      </c>
      <c r="D200" t="inlineStr">
        <is>
          <t>JÄMTLANDS LÄN</t>
        </is>
      </c>
      <c r="E200" t="inlineStr">
        <is>
          <t>ÅRE</t>
        </is>
      </c>
      <c r="G200" t="n">
        <v>10.9</v>
      </c>
      <c r="H200" t="n">
        <v>0</v>
      </c>
      <c r="I200" t="n">
        <v>0</v>
      </c>
      <c r="J200" t="n">
        <v>0</v>
      </c>
      <c r="K200" t="n">
        <v>0</v>
      </c>
      <c r="L200" t="n">
        <v>0</v>
      </c>
      <c r="M200" t="n">
        <v>0</v>
      </c>
      <c r="N200" t="n">
        <v>0</v>
      </c>
      <c r="O200" t="n">
        <v>0</v>
      </c>
      <c r="P200" t="n">
        <v>0</v>
      </c>
      <c r="Q200" t="n">
        <v>0</v>
      </c>
      <c r="R200" s="2" t="inlineStr"/>
    </row>
    <row r="201" ht="15" customHeight="1">
      <c r="A201" t="inlineStr">
        <is>
          <t>A 29769-2019</t>
        </is>
      </c>
      <c r="B201" s="1" t="n">
        <v>43632</v>
      </c>
      <c r="C201" s="1" t="n">
        <v>45472</v>
      </c>
      <c r="D201" t="inlineStr">
        <is>
          <t>JÄMTLANDS LÄN</t>
        </is>
      </c>
      <c r="E201" t="inlineStr">
        <is>
          <t>ÅRE</t>
        </is>
      </c>
      <c r="G201" t="n">
        <v>1.8</v>
      </c>
      <c r="H201" t="n">
        <v>0</v>
      </c>
      <c r="I201" t="n">
        <v>0</v>
      </c>
      <c r="J201" t="n">
        <v>0</v>
      </c>
      <c r="K201" t="n">
        <v>0</v>
      </c>
      <c r="L201" t="n">
        <v>0</v>
      </c>
      <c r="M201" t="n">
        <v>0</v>
      </c>
      <c r="N201" t="n">
        <v>0</v>
      </c>
      <c r="O201" t="n">
        <v>0</v>
      </c>
      <c r="P201" t="n">
        <v>0</v>
      </c>
      <c r="Q201" t="n">
        <v>0</v>
      </c>
      <c r="R201" s="2" t="inlineStr"/>
    </row>
    <row r="202" ht="15" customHeight="1">
      <c r="A202" t="inlineStr">
        <is>
          <t>A 29916-2019</t>
        </is>
      </c>
      <c r="B202" s="1" t="n">
        <v>43633</v>
      </c>
      <c r="C202" s="1" t="n">
        <v>45472</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30384-2019</t>
        </is>
      </c>
      <c r="B203" s="1" t="n">
        <v>43634</v>
      </c>
      <c r="C203" s="1" t="n">
        <v>45472</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33856-2019</t>
        </is>
      </c>
      <c r="B204" s="1" t="n">
        <v>43652</v>
      </c>
      <c r="C204" s="1" t="n">
        <v>45472</v>
      </c>
      <c r="D204" t="inlineStr">
        <is>
          <t>JÄMTLANDS LÄN</t>
        </is>
      </c>
      <c r="E204" t="inlineStr">
        <is>
          <t>ÅRE</t>
        </is>
      </c>
      <c r="G204" t="n">
        <v>9.6</v>
      </c>
      <c r="H204" t="n">
        <v>0</v>
      </c>
      <c r="I204" t="n">
        <v>0</v>
      </c>
      <c r="J204" t="n">
        <v>0</v>
      </c>
      <c r="K204" t="n">
        <v>0</v>
      </c>
      <c r="L204" t="n">
        <v>0</v>
      </c>
      <c r="M204" t="n">
        <v>0</v>
      </c>
      <c r="N204" t="n">
        <v>0</v>
      </c>
      <c r="O204" t="n">
        <v>0</v>
      </c>
      <c r="P204" t="n">
        <v>0</v>
      </c>
      <c r="Q204" t="n">
        <v>0</v>
      </c>
      <c r="R204" s="2" t="inlineStr"/>
    </row>
    <row r="205" ht="15" customHeight="1">
      <c r="A205" t="inlineStr">
        <is>
          <t>A 35391-2019</t>
        </is>
      </c>
      <c r="B205" s="1" t="n">
        <v>43661</v>
      </c>
      <c r="C205" s="1" t="n">
        <v>45472</v>
      </c>
      <c r="D205" t="inlineStr">
        <is>
          <t>JÄMTLANDS LÄN</t>
        </is>
      </c>
      <c r="E205" t="inlineStr">
        <is>
          <t>ÅRE</t>
        </is>
      </c>
      <c r="G205" t="n">
        <v>19.7</v>
      </c>
      <c r="H205" t="n">
        <v>0</v>
      </c>
      <c r="I205" t="n">
        <v>0</v>
      </c>
      <c r="J205" t="n">
        <v>0</v>
      </c>
      <c r="K205" t="n">
        <v>0</v>
      </c>
      <c r="L205" t="n">
        <v>0</v>
      </c>
      <c r="M205" t="n">
        <v>0</v>
      </c>
      <c r="N205" t="n">
        <v>0</v>
      </c>
      <c r="O205" t="n">
        <v>0</v>
      </c>
      <c r="P205" t="n">
        <v>0</v>
      </c>
      <c r="Q205" t="n">
        <v>0</v>
      </c>
      <c r="R205" s="2" t="inlineStr"/>
    </row>
    <row r="206" ht="15" customHeight="1">
      <c r="A206" t="inlineStr">
        <is>
          <t>A 35485-2019</t>
        </is>
      </c>
      <c r="B206" s="1" t="n">
        <v>43661</v>
      </c>
      <c r="C206" s="1" t="n">
        <v>45472</v>
      </c>
      <c r="D206" t="inlineStr">
        <is>
          <t>JÄMTLANDS LÄN</t>
        </is>
      </c>
      <c r="E206" t="inlineStr">
        <is>
          <t>ÅRE</t>
        </is>
      </c>
      <c r="G206" t="n">
        <v>5.5</v>
      </c>
      <c r="H206" t="n">
        <v>0</v>
      </c>
      <c r="I206" t="n">
        <v>0</v>
      </c>
      <c r="J206" t="n">
        <v>0</v>
      </c>
      <c r="K206" t="n">
        <v>0</v>
      </c>
      <c r="L206" t="n">
        <v>0</v>
      </c>
      <c r="M206" t="n">
        <v>0</v>
      </c>
      <c r="N206" t="n">
        <v>0</v>
      </c>
      <c r="O206" t="n">
        <v>0</v>
      </c>
      <c r="P206" t="n">
        <v>0</v>
      </c>
      <c r="Q206" t="n">
        <v>0</v>
      </c>
      <c r="R206" s="2" t="inlineStr"/>
    </row>
    <row r="207" ht="15" customHeight="1">
      <c r="A207" t="inlineStr">
        <is>
          <t>A 36975-2019</t>
        </is>
      </c>
      <c r="B207" s="1" t="n">
        <v>43676</v>
      </c>
      <c r="C207" s="1" t="n">
        <v>45472</v>
      </c>
      <c r="D207" t="inlineStr">
        <is>
          <t>JÄMTLANDS LÄN</t>
        </is>
      </c>
      <c r="E207" t="inlineStr">
        <is>
          <t>ÅRE</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41107-2019</t>
        </is>
      </c>
      <c r="B208" s="1" t="n">
        <v>43698</v>
      </c>
      <c r="C208" s="1" t="n">
        <v>45472</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42311-2019</t>
        </is>
      </c>
      <c r="B209" s="1" t="n">
        <v>43699</v>
      </c>
      <c r="C209" s="1" t="n">
        <v>45472</v>
      </c>
      <c r="D209" t="inlineStr">
        <is>
          <t>JÄMTLANDS LÄN</t>
        </is>
      </c>
      <c r="E209" t="inlineStr">
        <is>
          <t>ÅRE</t>
        </is>
      </c>
      <c r="G209" t="n">
        <v>13.7</v>
      </c>
      <c r="H209" t="n">
        <v>0</v>
      </c>
      <c r="I209" t="n">
        <v>0</v>
      </c>
      <c r="J209" t="n">
        <v>0</v>
      </c>
      <c r="K209" t="n">
        <v>0</v>
      </c>
      <c r="L209" t="n">
        <v>0</v>
      </c>
      <c r="M209" t="n">
        <v>0</v>
      </c>
      <c r="N209" t="n">
        <v>0</v>
      </c>
      <c r="O209" t="n">
        <v>0</v>
      </c>
      <c r="P209" t="n">
        <v>0</v>
      </c>
      <c r="Q209" t="n">
        <v>0</v>
      </c>
      <c r="R209" s="2" t="inlineStr"/>
    </row>
    <row r="210" ht="15" customHeight="1">
      <c r="A210" t="inlineStr">
        <is>
          <t>A 43678-2019</t>
        </is>
      </c>
      <c r="B210" s="1" t="n">
        <v>43707</v>
      </c>
      <c r="C210" s="1" t="n">
        <v>45472</v>
      </c>
      <c r="D210" t="inlineStr">
        <is>
          <t>JÄMTLANDS LÄN</t>
        </is>
      </c>
      <c r="E210" t="inlineStr">
        <is>
          <t>ÅRE</t>
        </is>
      </c>
      <c r="G210" t="n">
        <v>7.9</v>
      </c>
      <c r="H210" t="n">
        <v>0</v>
      </c>
      <c r="I210" t="n">
        <v>0</v>
      </c>
      <c r="J210" t="n">
        <v>0</v>
      </c>
      <c r="K210" t="n">
        <v>0</v>
      </c>
      <c r="L210" t="n">
        <v>0</v>
      </c>
      <c r="M210" t="n">
        <v>0</v>
      </c>
      <c r="N210" t="n">
        <v>0</v>
      </c>
      <c r="O210" t="n">
        <v>0</v>
      </c>
      <c r="P210" t="n">
        <v>0</v>
      </c>
      <c r="Q210" t="n">
        <v>0</v>
      </c>
      <c r="R210" s="2" t="inlineStr"/>
    </row>
    <row r="211" ht="15" customHeight="1">
      <c r="A211" t="inlineStr">
        <is>
          <t>A 43683-2019</t>
        </is>
      </c>
      <c r="B211" s="1" t="n">
        <v>43707</v>
      </c>
      <c r="C211" s="1" t="n">
        <v>45472</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44329-2019</t>
        </is>
      </c>
      <c r="B212" s="1" t="n">
        <v>43710</v>
      </c>
      <c r="C212" s="1" t="n">
        <v>45472</v>
      </c>
      <c r="D212" t="inlineStr">
        <is>
          <t>JÄMTLANDS LÄN</t>
        </is>
      </c>
      <c r="E212" t="inlineStr">
        <is>
          <t>ÅRE</t>
        </is>
      </c>
      <c r="G212" t="n">
        <v>2.1</v>
      </c>
      <c r="H212" t="n">
        <v>0</v>
      </c>
      <c r="I212" t="n">
        <v>0</v>
      </c>
      <c r="J212" t="n">
        <v>0</v>
      </c>
      <c r="K212" t="n">
        <v>0</v>
      </c>
      <c r="L212" t="n">
        <v>0</v>
      </c>
      <c r="M212" t="n">
        <v>0</v>
      </c>
      <c r="N212" t="n">
        <v>0</v>
      </c>
      <c r="O212" t="n">
        <v>0</v>
      </c>
      <c r="P212" t="n">
        <v>0</v>
      </c>
      <c r="Q212" t="n">
        <v>0</v>
      </c>
      <c r="R212" s="2" t="inlineStr"/>
    </row>
    <row r="213" ht="15" customHeight="1">
      <c r="A213" t="inlineStr">
        <is>
          <t>A 45794-2019</t>
        </is>
      </c>
      <c r="B213" s="1" t="n">
        <v>43717</v>
      </c>
      <c r="C213" s="1" t="n">
        <v>45472</v>
      </c>
      <c r="D213" t="inlineStr">
        <is>
          <t>JÄMTLANDS LÄN</t>
        </is>
      </c>
      <c r="E213" t="inlineStr">
        <is>
          <t>ÅRE</t>
        </is>
      </c>
      <c r="G213" t="n">
        <v>37.7</v>
      </c>
      <c r="H213" t="n">
        <v>0</v>
      </c>
      <c r="I213" t="n">
        <v>0</v>
      </c>
      <c r="J213" t="n">
        <v>0</v>
      </c>
      <c r="K213" t="n">
        <v>0</v>
      </c>
      <c r="L213" t="n">
        <v>0</v>
      </c>
      <c r="M213" t="n">
        <v>0</v>
      </c>
      <c r="N213" t="n">
        <v>0</v>
      </c>
      <c r="O213" t="n">
        <v>0</v>
      </c>
      <c r="P213" t="n">
        <v>0</v>
      </c>
      <c r="Q213" t="n">
        <v>0</v>
      </c>
      <c r="R213" s="2" t="inlineStr"/>
    </row>
    <row r="214" ht="15" customHeight="1">
      <c r="A214" t="inlineStr">
        <is>
          <t>A 45798-2019</t>
        </is>
      </c>
      <c r="B214" s="1" t="n">
        <v>43717</v>
      </c>
      <c r="C214" s="1" t="n">
        <v>45472</v>
      </c>
      <c r="D214" t="inlineStr">
        <is>
          <t>JÄMTLANDS LÄN</t>
        </is>
      </c>
      <c r="E214" t="inlineStr">
        <is>
          <t>ÅRE</t>
        </is>
      </c>
      <c r="G214" t="n">
        <v>14.6</v>
      </c>
      <c r="H214" t="n">
        <v>0</v>
      </c>
      <c r="I214" t="n">
        <v>0</v>
      </c>
      <c r="J214" t="n">
        <v>0</v>
      </c>
      <c r="K214" t="n">
        <v>0</v>
      </c>
      <c r="L214" t="n">
        <v>0</v>
      </c>
      <c r="M214" t="n">
        <v>0</v>
      </c>
      <c r="N214" t="n">
        <v>0</v>
      </c>
      <c r="O214" t="n">
        <v>0</v>
      </c>
      <c r="P214" t="n">
        <v>0</v>
      </c>
      <c r="Q214" t="n">
        <v>0</v>
      </c>
      <c r="R214" s="2" t="inlineStr"/>
    </row>
    <row r="215" ht="15" customHeight="1">
      <c r="A215" t="inlineStr">
        <is>
          <t>A 47259-2019</t>
        </is>
      </c>
      <c r="B215" s="1" t="n">
        <v>43721</v>
      </c>
      <c r="C215" s="1" t="n">
        <v>45472</v>
      </c>
      <c r="D215" t="inlineStr">
        <is>
          <t>JÄMTLANDS LÄN</t>
        </is>
      </c>
      <c r="E215" t="inlineStr">
        <is>
          <t>ÅRE</t>
        </is>
      </c>
      <c r="G215" t="n">
        <v>12.7</v>
      </c>
      <c r="H215" t="n">
        <v>0</v>
      </c>
      <c r="I215" t="n">
        <v>0</v>
      </c>
      <c r="J215" t="n">
        <v>0</v>
      </c>
      <c r="K215" t="n">
        <v>0</v>
      </c>
      <c r="L215" t="n">
        <v>0</v>
      </c>
      <c r="M215" t="n">
        <v>0</v>
      </c>
      <c r="N215" t="n">
        <v>0</v>
      </c>
      <c r="O215" t="n">
        <v>0</v>
      </c>
      <c r="P215" t="n">
        <v>0</v>
      </c>
      <c r="Q215" t="n">
        <v>0</v>
      </c>
      <c r="R215" s="2" t="inlineStr"/>
    </row>
    <row r="216" ht="15" customHeight="1">
      <c r="A216" t="inlineStr">
        <is>
          <t>A 48291-2019</t>
        </is>
      </c>
      <c r="B216" s="1" t="n">
        <v>43726</v>
      </c>
      <c r="C216" s="1" t="n">
        <v>45472</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49867-2019</t>
        </is>
      </c>
      <c r="B217" s="1" t="n">
        <v>43733</v>
      </c>
      <c r="C217" s="1" t="n">
        <v>45472</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49863-2019</t>
        </is>
      </c>
      <c r="B218" s="1" t="n">
        <v>43733</v>
      </c>
      <c r="C218" s="1" t="n">
        <v>45472</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49858-2019</t>
        </is>
      </c>
      <c r="B219" s="1" t="n">
        <v>43733</v>
      </c>
      <c r="C219" s="1" t="n">
        <v>45472</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50012-2019</t>
        </is>
      </c>
      <c r="B220" s="1" t="n">
        <v>43733</v>
      </c>
      <c r="C220" s="1" t="n">
        <v>45472</v>
      </c>
      <c r="D220" t="inlineStr">
        <is>
          <t>JÄMTLANDS LÄN</t>
        </is>
      </c>
      <c r="E220" t="inlineStr">
        <is>
          <t>ÅRE</t>
        </is>
      </c>
      <c r="G220" t="n">
        <v>5.8</v>
      </c>
      <c r="H220" t="n">
        <v>0</v>
      </c>
      <c r="I220" t="n">
        <v>0</v>
      </c>
      <c r="J220" t="n">
        <v>0</v>
      </c>
      <c r="K220" t="n">
        <v>0</v>
      </c>
      <c r="L220" t="n">
        <v>0</v>
      </c>
      <c r="M220" t="n">
        <v>0</v>
      </c>
      <c r="N220" t="n">
        <v>0</v>
      </c>
      <c r="O220" t="n">
        <v>0</v>
      </c>
      <c r="P220" t="n">
        <v>0</v>
      </c>
      <c r="Q220" t="n">
        <v>0</v>
      </c>
      <c r="R220" s="2" t="inlineStr"/>
    </row>
    <row r="221" ht="15" customHeight="1">
      <c r="A221" t="inlineStr">
        <is>
          <t>A 52056-2019</t>
        </is>
      </c>
      <c r="B221" s="1" t="n">
        <v>43734</v>
      </c>
      <c r="C221" s="1" t="n">
        <v>45472</v>
      </c>
      <c r="D221" t="inlineStr">
        <is>
          <t>JÄMTLANDS LÄN</t>
        </is>
      </c>
      <c r="E221" t="inlineStr">
        <is>
          <t>ÅRE</t>
        </is>
      </c>
      <c r="G221" t="n">
        <v>3</v>
      </c>
      <c r="H221" t="n">
        <v>0</v>
      </c>
      <c r="I221" t="n">
        <v>0</v>
      </c>
      <c r="J221" t="n">
        <v>0</v>
      </c>
      <c r="K221" t="n">
        <v>0</v>
      </c>
      <c r="L221" t="n">
        <v>0</v>
      </c>
      <c r="M221" t="n">
        <v>0</v>
      </c>
      <c r="N221" t="n">
        <v>0</v>
      </c>
      <c r="O221" t="n">
        <v>0</v>
      </c>
      <c r="P221" t="n">
        <v>0</v>
      </c>
      <c r="Q221" t="n">
        <v>0</v>
      </c>
      <c r="R221" s="2" t="inlineStr"/>
    </row>
    <row r="222" ht="15" customHeight="1">
      <c r="A222" t="inlineStr">
        <is>
          <t>A 52047-2019</t>
        </is>
      </c>
      <c r="B222" s="1" t="n">
        <v>43734</v>
      </c>
      <c r="C222" s="1" t="n">
        <v>45472</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51818-2019</t>
        </is>
      </c>
      <c r="B223" s="1" t="n">
        <v>43741</v>
      </c>
      <c r="C223" s="1" t="n">
        <v>45472</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55358-2019</t>
        </is>
      </c>
      <c r="B224" s="1" t="n">
        <v>43756</v>
      </c>
      <c r="C224" s="1" t="n">
        <v>45472</v>
      </c>
      <c r="D224" t="inlineStr">
        <is>
          <t>JÄMTLANDS LÄN</t>
        </is>
      </c>
      <c r="E224" t="inlineStr">
        <is>
          <t>ÅRE</t>
        </is>
      </c>
      <c r="G224" t="n">
        <v>4.9</v>
      </c>
      <c r="H224" t="n">
        <v>0</v>
      </c>
      <c r="I224" t="n">
        <v>0</v>
      </c>
      <c r="J224" t="n">
        <v>0</v>
      </c>
      <c r="K224" t="n">
        <v>0</v>
      </c>
      <c r="L224" t="n">
        <v>0</v>
      </c>
      <c r="M224" t="n">
        <v>0</v>
      </c>
      <c r="N224" t="n">
        <v>0</v>
      </c>
      <c r="O224" t="n">
        <v>0</v>
      </c>
      <c r="P224" t="n">
        <v>0</v>
      </c>
      <c r="Q224" t="n">
        <v>0</v>
      </c>
      <c r="R224" s="2" t="inlineStr"/>
    </row>
    <row r="225" ht="15" customHeight="1">
      <c r="A225" t="inlineStr">
        <is>
          <t>A 57825-2019</t>
        </is>
      </c>
      <c r="B225" s="1" t="n">
        <v>43768</v>
      </c>
      <c r="C225" s="1" t="n">
        <v>45472</v>
      </c>
      <c r="D225" t="inlineStr">
        <is>
          <t>JÄMTLANDS LÄN</t>
        </is>
      </c>
      <c r="E225" t="inlineStr">
        <is>
          <t>ÅRE</t>
        </is>
      </c>
      <c r="G225" t="n">
        <v>3.1</v>
      </c>
      <c r="H225" t="n">
        <v>0</v>
      </c>
      <c r="I225" t="n">
        <v>0</v>
      </c>
      <c r="J225" t="n">
        <v>0</v>
      </c>
      <c r="K225" t="n">
        <v>0</v>
      </c>
      <c r="L225" t="n">
        <v>0</v>
      </c>
      <c r="M225" t="n">
        <v>0</v>
      </c>
      <c r="N225" t="n">
        <v>0</v>
      </c>
      <c r="O225" t="n">
        <v>0</v>
      </c>
      <c r="P225" t="n">
        <v>0</v>
      </c>
      <c r="Q225" t="n">
        <v>0</v>
      </c>
      <c r="R225" s="2" t="inlineStr"/>
    </row>
    <row r="226" ht="15" customHeight="1">
      <c r="A226" t="inlineStr">
        <is>
          <t>A 59815-2019</t>
        </is>
      </c>
      <c r="B226" s="1" t="n">
        <v>43774</v>
      </c>
      <c r="C226" s="1" t="n">
        <v>45472</v>
      </c>
      <c r="D226" t="inlineStr">
        <is>
          <t>JÄMTLANDS LÄN</t>
        </is>
      </c>
      <c r="E226" t="inlineStr">
        <is>
          <t>ÅRE</t>
        </is>
      </c>
      <c r="G226" t="n">
        <v>2.8</v>
      </c>
      <c r="H226" t="n">
        <v>0</v>
      </c>
      <c r="I226" t="n">
        <v>0</v>
      </c>
      <c r="J226" t="n">
        <v>0</v>
      </c>
      <c r="K226" t="n">
        <v>0</v>
      </c>
      <c r="L226" t="n">
        <v>0</v>
      </c>
      <c r="M226" t="n">
        <v>0</v>
      </c>
      <c r="N226" t="n">
        <v>0</v>
      </c>
      <c r="O226" t="n">
        <v>0</v>
      </c>
      <c r="P226" t="n">
        <v>0</v>
      </c>
      <c r="Q226" t="n">
        <v>0</v>
      </c>
      <c r="R226" s="2" t="inlineStr"/>
    </row>
    <row r="227" ht="15" customHeight="1">
      <c r="A227" t="inlineStr">
        <is>
          <t>A 60093-2019</t>
        </is>
      </c>
      <c r="B227" s="1" t="n">
        <v>43777</v>
      </c>
      <c r="C227" s="1" t="n">
        <v>45472</v>
      </c>
      <c r="D227" t="inlineStr">
        <is>
          <t>JÄMTLANDS LÄN</t>
        </is>
      </c>
      <c r="E227" t="inlineStr">
        <is>
          <t>ÅRE</t>
        </is>
      </c>
      <c r="G227" t="n">
        <v>8.6</v>
      </c>
      <c r="H227" t="n">
        <v>0</v>
      </c>
      <c r="I227" t="n">
        <v>0</v>
      </c>
      <c r="J227" t="n">
        <v>0</v>
      </c>
      <c r="K227" t="n">
        <v>0</v>
      </c>
      <c r="L227" t="n">
        <v>0</v>
      </c>
      <c r="M227" t="n">
        <v>0</v>
      </c>
      <c r="N227" t="n">
        <v>0</v>
      </c>
      <c r="O227" t="n">
        <v>0</v>
      </c>
      <c r="P227" t="n">
        <v>0</v>
      </c>
      <c r="Q227" t="n">
        <v>0</v>
      </c>
      <c r="R227" s="2" t="inlineStr"/>
    </row>
    <row r="228" ht="15" customHeight="1">
      <c r="A228" t="inlineStr">
        <is>
          <t>A 62359-2019</t>
        </is>
      </c>
      <c r="B228" s="1" t="n">
        <v>43788</v>
      </c>
      <c r="C228" s="1" t="n">
        <v>45472</v>
      </c>
      <c r="D228" t="inlineStr">
        <is>
          <t>JÄMTLANDS LÄN</t>
        </is>
      </c>
      <c r="E228" t="inlineStr">
        <is>
          <t>ÅRE</t>
        </is>
      </c>
      <c r="F228" t="inlineStr">
        <is>
          <t>Övriga Aktiebolag</t>
        </is>
      </c>
      <c r="G228" t="n">
        <v>7</v>
      </c>
      <c r="H228" t="n">
        <v>0</v>
      </c>
      <c r="I228" t="n">
        <v>0</v>
      </c>
      <c r="J228" t="n">
        <v>0</v>
      </c>
      <c r="K228" t="n">
        <v>0</v>
      </c>
      <c r="L228" t="n">
        <v>0</v>
      </c>
      <c r="M228" t="n">
        <v>0</v>
      </c>
      <c r="N228" t="n">
        <v>0</v>
      </c>
      <c r="O228" t="n">
        <v>0</v>
      </c>
      <c r="P228" t="n">
        <v>0</v>
      </c>
      <c r="Q228" t="n">
        <v>0</v>
      </c>
      <c r="R228" s="2" t="inlineStr"/>
    </row>
    <row r="229" ht="15" customHeight="1">
      <c r="A229" t="inlineStr">
        <is>
          <t>A 62326-2019</t>
        </is>
      </c>
      <c r="B229" s="1" t="n">
        <v>43788</v>
      </c>
      <c r="C229" s="1" t="n">
        <v>45472</v>
      </c>
      <c r="D229" t="inlineStr">
        <is>
          <t>JÄMTLANDS LÄN</t>
        </is>
      </c>
      <c r="E229" t="inlineStr">
        <is>
          <t>ÅRE</t>
        </is>
      </c>
      <c r="G229" t="n">
        <v>3.7</v>
      </c>
      <c r="H229" t="n">
        <v>0</v>
      </c>
      <c r="I229" t="n">
        <v>0</v>
      </c>
      <c r="J229" t="n">
        <v>0</v>
      </c>
      <c r="K229" t="n">
        <v>0</v>
      </c>
      <c r="L229" t="n">
        <v>0</v>
      </c>
      <c r="M229" t="n">
        <v>0</v>
      </c>
      <c r="N229" t="n">
        <v>0</v>
      </c>
      <c r="O229" t="n">
        <v>0</v>
      </c>
      <c r="P229" t="n">
        <v>0</v>
      </c>
      <c r="Q229" t="n">
        <v>0</v>
      </c>
      <c r="R229" s="2" t="inlineStr"/>
    </row>
    <row r="230" ht="15" customHeight="1">
      <c r="A230" t="inlineStr">
        <is>
          <t>A 63729-2019</t>
        </is>
      </c>
      <c r="B230" s="1" t="n">
        <v>43788</v>
      </c>
      <c r="C230" s="1" t="n">
        <v>45472</v>
      </c>
      <c r="D230" t="inlineStr">
        <is>
          <t>JÄMTLANDS LÄN</t>
        </is>
      </c>
      <c r="E230" t="inlineStr">
        <is>
          <t>ÅRE</t>
        </is>
      </c>
      <c r="F230" t="inlineStr">
        <is>
          <t>Övriga Aktiebolag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65986-2019</t>
        </is>
      </c>
      <c r="B231" s="1" t="n">
        <v>43801</v>
      </c>
      <c r="C231" s="1" t="n">
        <v>45472</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66395-2019</t>
        </is>
      </c>
      <c r="B232" s="1" t="n">
        <v>43808</v>
      </c>
      <c r="C232" s="1" t="n">
        <v>45472</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66774-2019</t>
        </is>
      </c>
      <c r="B233" s="1" t="n">
        <v>43810</v>
      </c>
      <c r="C233" s="1" t="n">
        <v>45472</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66787-2019</t>
        </is>
      </c>
      <c r="B234" s="1" t="n">
        <v>43810</v>
      </c>
      <c r="C234" s="1" t="n">
        <v>45472</v>
      </c>
      <c r="D234" t="inlineStr">
        <is>
          <t>JÄMTLANDS LÄN</t>
        </is>
      </c>
      <c r="E234" t="inlineStr">
        <is>
          <t>ÅRE</t>
        </is>
      </c>
      <c r="G234" t="n">
        <v>2.7</v>
      </c>
      <c r="H234" t="n">
        <v>0</v>
      </c>
      <c r="I234" t="n">
        <v>0</v>
      </c>
      <c r="J234" t="n">
        <v>0</v>
      </c>
      <c r="K234" t="n">
        <v>0</v>
      </c>
      <c r="L234" t="n">
        <v>0</v>
      </c>
      <c r="M234" t="n">
        <v>0</v>
      </c>
      <c r="N234" t="n">
        <v>0</v>
      </c>
      <c r="O234" t="n">
        <v>0</v>
      </c>
      <c r="P234" t="n">
        <v>0</v>
      </c>
      <c r="Q234" t="n">
        <v>0</v>
      </c>
      <c r="R234" s="2" t="inlineStr"/>
    </row>
    <row r="235" ht="15" customHeight="1">
      <c r="A235" t="inlineStr">
        <is>
          <t>A 67988-2019</t>
        </is>
      </c>
      <c r="B235" s="1" t="n">
        <v>43811</v>
      </c>
      <c r="C235" s="1" t="n">
        <v>45472</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68076-2019</t>
        </is>
      </c>
      <c r="B236" s="1" t="n">
        <v>43816</v>
      </c>
      <c r="C236" s="1" t="n">
        <v>45472</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68315-2019</t>
        </is>
      </c>
      <c r="B237" s="1" t="n">
        <v>43817</v>
      </c>
      <c r="C237" s="1" t="n">
        <v>45472</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824-2020</t>
        </is>
      </c>
      <c r="B238" s="1" t="n">
        <v>43818</v>
      </c>
      <c r="C238" s="1" t="n">
        <v>45472</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70-2020</t>
        </is>
      </c>
      <c r="B239" s="1" t="n">
        <v>43832</v>
      </c>
      <c r="C239" s="1" t="n">
        <v>45472</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72-2020</t>
        </is>
      </c>
      <c r="B240" s="1" t="n">
        <v>43832</v>
      </c>
      <c r="C240" s="1" t="n">
        <v>45472</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67-2020</t>
        </is>
      </c>
      <c r="B241" s="1" t="n">
        <v>43832</v>
      </c>
      <c r="C241" s="1" t="n">
        <v>45472</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1819-2020</t>
        </is>
      </c>
      <c r="B242" s="1" t="n">
        <v>43833</v>
      </c>
      <c r="C242" s="1" t="n">
        <v>45472</v>
      </c>
      <c r="D242" t="inlineStr">
        <is>
          <t>JÄMTLANDS LÄN</t>
        </is>
      </c>
      <c r="E242" t="inlineStr">
        <is>
          <t>ÅRE</t>
        </is>
      </c>
      <c r="G242" t="n">
        <v>3.2</v>
      </c>
      <c r="H242" t="n">
        <v>0</v>
      </c>
      <c r="I242" t="n">
        <v>0</v>
      </c>
      <c r="J242" t="n">
        <v>0</v>
      </c>
      <c r="K242" t="n">
        <v>0</v>
      </c>
      <c r="L242" t="n">
        <v>0</v>
      </c>
      <c r="M242" t="n">
        <v>0</v>
      </c>
      <c r="N242" t="n">
        <v>0</v>
      </c>
      <c r="O242" t="n">
        <v>0</v>
      </c>
      <c r="P242" t="n">
        <v>0</v>
      </c>
      <c r="Q242" t="n">
        <v>0</v>
      </c>
      <c r="R242" s="2" t="inlineStr"/>
    </row>
    <row r="243" ht="15" customHeight="1">
      <c r="A243" t="inlineStr">
        <is>
          <t>A 3838-2020</t>
        </is>
      </c>
      <c r="B243" s="1" t="n">
        <v>43854</v>
      </c>
      <c r="C243" s="1" t="n">
        <v>45472</v>
      </c>
      <c r="D243" t="inlineStr">
        <is>
          <t>JÄMTLANDS LÄN</t>
        </is>
      </c>
      <c r="E243" t="inlineStr">
        <is>
          <t>ÅRE</t>
        </is>
      </c>
      <c r="G243" t="n">
        <v>3.2</v>
      </c>
      <c r="H243" t="n">
        <v>0</v>
      </c>
      <c r="I243" t="n">
        <v>0</v>
      </c>
      <c r="J243" t="n">
        <v>0</v>
      </c>
      <c r="K243" t="n">
        <v>0</v>
      </c>
      <c r="L243" t="n">
        <v>0</v>
      </c>
      <c r="M243" t="n">
        <v>0</v>
      </c>
      <c r="N243" t="n">
        <v>0</v>
      </c>
      <c r="O243" t="n">
        <v>0</v>
      </c>
      <c r="P243" t="n">
        <v>0</v>
      </c>
      <c r="Q243" t="n">
        <v>0</v>
      </c>
      <c r="R243" s="2" t="inlineStr"/>
    </row>
    <row r="244" ht="15" customHeight="1">
      <c r="A244" t="inlineStr">
        <is>
          <t>A 13402-2020</t>
        </is>
      </c>
      <c r="B244" s="1" t="n">
        <v>43902</v>
      </c>
      <c r="C244" s="1" t="n">
        <v>45472</v>
      </c>
      <c r="D244" t="inlineStr">
        <is>
          <t>JÄMTLANDS LÄN</t>
        </is>
      </c>
      <c r="E244" t="inlineStr">
        <is>
          <t>ÅRE</t>
        </is>
      </c>
      <c r="G244" t="n">
        <v>0.7</v>
      </c>
      <c r="H244" t="n">
        <v>0</v>
      </c>
      <c r="I244" t="n">
        <v>0</v>
      </c>
      <c r="J244" t="n">
        <v>0</v>
      </c>
      <c r="K244" t="n">
        <v>0</v>
      </c>
      <c r="L244" t="n">
        <v>0</v>
      </c>
      <c r="M244" t="n">
        <v>0</v>
      </c>
      <c r="N244" t="n">
        <v>0</v>
      </c>
      <c r="O244" t="n">
        <v>0</v>
      </c>
      <c r="P244" t="n">
        <v>0</v>
      </c>
      <c r="Q244" t="n">
        <v>0</v>
      </c>
      <c r="R244" s="2" t="inlineStr"/>
    </row>
    <row r="245" ht="15" customHeight="1">
      <c r="A245" t="inlineStr">
        <is>
          <t>A 13408-2020</t>
        </is>
      </c>
      <c r="B245" s="1" t="n">
        <v>43902</v>
      </c>
      <c r="C245" s="1" t="n">
        <v>45472</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14753-2020</t>
        </is>
      </c>
      <c r="B246" s="1" t="n">
        <v>43909</v>
      </c>
      <c r="C246" s="1" t="n">
        <v>45472</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20538-2020</t>
        </is>
      </c>
      <c r="B247" s="1" t="n">
        <v>43948</v>
      </c>
      <c r="C247" s="1" t="n">
        <v>45472</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21448-2020</t>
        </is>
      </c>
      <c r="B248" s="1" t="n">
        <v>43956</v>
      </c>
      <c r="C248" s="1" t="n">
        <v>45472</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23393-2020</t>
        </is>
      </c>
      <c r="B249" s="1" t="n">
        <v>43968</v>
      </c>
      <c r="C249" s="1" t="n">
        <v>45472</v>
      </c>
      <c r="D249" t="inlineStr">
        <is>
          <t>JÄMTLANDS LÄN</t>
        </is>
      </c>
      <c r="E249" t="inlineStr">
        <is>
          <t>ÅRE</t>
        </is>
      </c>
      <c r="G249" t="n">
        <v>5</v>
      </c>
      <c r="H249" t="n">
        <v>0</v>
      </c>
      <c r="I249" t="n">
        <v>0</v>
      </c>
      <c r="J249" t="n">
        <v>0</v>
      </c>
      <c r="K249" t="n">
        <v>0</v>
      </c>
      <c r="L249" t="n">
        <v>0</v>
      </c>
      <c r="M249" t="n">
        <v>0</v>
      </c>
      <c r="N249" t="n">
        <v>0</v>
      </c>
      <c r="O249" t="n">
        <v>0</v>
      </c>
      <c r="P249" t="n">
        <v>0</v>
      </c>
      <c r="Q249" t="n">
        <v>0</v>
      </c>
      <c r="R249" s="2" t="inlineStr"/>
    </row>
    <row r="250" ht="15" customHeight="1">
      <c r="A250" t="inlineStr">
        <is>
          <t>A 24436-2020</t>
        </is>
      </c>
      <c r="B250" s="1" t="n">
        <v>43976</v>
      </c>
      <c r="C250" s="1" t="n">
        <v>45472</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25587-2020</t>
        </is>
      </c>
      <c r="B251" s="1" t="n">
        <v>43983</v>
      </c>
      <c r="C251" s="1" t="n">
        <v>45472</v>
      </c>
      <c r="D251" t="inlineStr">
        <is>
          <t>JÄMTLANDS LÄN</t>
        </is>
      </c>
      <c r="E251" t="inlineStr">
        <is>
          <t>ÅRE</t>
        </is>
      </c>
      <c r="G251" t="n">
        <v>10.3</v>
      </c>
      <c r="H251" t="n">
        <v>0</v>
      </c>
      <c r="I251" t="n">
        <v>0</v>
      </c>
      <c r="J251" t="n">
        <v>0</v>
      </c>
      <c r="K251" t="n">
        <v>0</v>
      </c>
      <c r="L251" t="n">
        <v>0</v>
      </c>
      <c r="M251" t="n">
        <v>0</v>
      </c>
      <c r="N251" t="n">
        <v>0</v>
      </c>
      <c r="O251" t="n">
        <v>0</v>
      </c>
      <c r="P251" t="n">
        <v>0</v>
      </c>
      <c r="Q251" t="n">
        <v>0</v>
      </c>
      <c r="R251" s="2" t="inlineStr"/>
    </row>
    <row r="252" ht="15" customHeight="1">
      <c r="A252" t="inlineStr">
        <is>
          <t>A 25592-2020</t>
        </is>
      </c>
      <c r="B252" s="1" t="n">
        <v>43983</v>
      </c>
      <c r="C252" s="1" t="n">
        <v>45472</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27292-2020</t>
        </is>
      </c>
      <c r="B253" s="1" t="n">
        <v>43992</v>
      </c>
      <c r="C253" s="1" t="n">
        <v>45472</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27369-2020</t>
        </is>
      </c>
      <c r="B254" s="1" t="n">
        <v>43992</v>
      </c>
      <c r="C254" s="1" t="n">
        <v>45472</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28422-2020</t>
        </is>
      </c>
      <c r="B255" s="1" t="n">
        <v>43998</v>
      </c>
      <c r="C255" s="1" t="n">
        <v>45472</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28385-2020</t>
        </is>
      </c>
      <c r="B256" s="1" t="n">
        <v>43998</v>
      </c>
      <c r="C256" s="1" t="n">
        <v>45472</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28869-2020</t>
        </is>
      </c>
      <c r="B257" s="1" t="n">
        <v>44000</v>
      </c>
      <c r="C257" s="1" t="n">
        <v>45472</v>
      </c>
      <c r="D257" t="inlineStr">
        <is>
          <t>JÄMTLANDS LÄN</t>
        </is>
      </c>
      <c r="E257" t="inlineStr">
        <is>
          <t>ÅRE</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29083-2020</t>
        </is>
      </c>
      <c r="B258" s="1" t="n">
        <v>44002</v>
      </c>
      <c r="C258" s="1" t="n">
        <v>45472</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29080-2020</t>
        </is>
      </c>
      <c r="B259" s="1" t="n">
        <v>44002</v>
      </c>
      <c r="C259" s="1" t="n">
        <v>45472</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33239-2020</t>
        </is>
      </c>
      <c r="B260" s="1" t="n">
        <v>44022</v>
      </c>
      <c r="C260" s="1" t="n">
        <v>45472</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33530-2020</t>
        </is>
      </c>
      <c r="B261" s="1" t="n">
        <v>44025</v>
      </c>
      <c r="C261" s="1" t="n">
        <v>45472</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34013-2020</t>
        </is>
      </c>
      <c r="B262" s="1" t="n">
        <v>44028</v>
      </c>
      <c r="C262" s="1" t="n">
        <v>45472</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34207-2020</t>
        </is>
      </c>
      <c r="B263" s="1" t="n">
        <v>44029</v>
      </c>
      <c r="C263" s="1" t="n">
        <v>45472</v>
      </c>
      <c r="D263" t="inlineStr">
        <is>
          <t>JÄMTLANDS LÄN</t>
        </is>
      </c>
      <c r="E263" t="inlineStr">
        <is>
          <t>ÅRE</t>
        </is>
      </c>
      <c r="G263" t="n">
        <v>10.2</v>
      </c>
      <c r="H263" t="n">
        <v>0</v>
      </c>
      <c r="I263" t="n">
        <v>0</v>
      </c>
      <c r="J263" t="n">
        <v>0</v>
      </c>
      <c r="K263" t="n">
        <v>0</v>
      </c>
      <c r="L263" t="n">
        <v>0</v>
      </c>
      <c r="M263" t="n">
        <v>0</v>
      </c>
      <c r="N263" t="n">
        <v>0</v>
      </c>
      <c r="O263" t="n">
        <v>0</v>
      </c>
      <c r="P263" t="n">
        <v>0</v>
      </c>
      <c r="Q263" t="n">
        <v>0</v>
      </c>
      <c r="R263" s="2" t="inlineStr"/>
    </row>
    <row r="264" ht="15" customHeight="1">
      <c r="A264" t="inlineStr">
        <is>
          <t>A 34529-2020</t>
        </is>
      </c>
      <c r="B264" s="1" t="n">
        <v>44033</v>
      </c>
      <c r="C264" s="1" t="n">
        <v>45472</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34678-2020</t>
        </is>
      </c>
      <c r="B265" s="1" t="n">
        <v>44033</v>
      </c>
      <c r="C265" s="1" t="n">
        <v>45472</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34640-2020</t>
        </is>
      </c>
      <c r="B266" s="1" t="n">
        <v>44034</v>
      </c>
      <c r="C266" s="1" t="n">
        <v>45472</v>
      </c>
      <c r="D266" t="inlineStr">
        <is>
          <t>JÄMTLANDS LÄN</t>
        </is>
      </c>
      <c r="E266" t="inlineStr">
        <is>
          <t>ÅRE</t>
        </is>
      </c>
      <c r="G266" t="n">
        <v>9.4</v>
      </c>
      <c r="H266" t="n">
        <v>0</v>
      </c>
      <c r="I266" t="n">
        <v>0</v>
      </c>
      <c r="J266" t="n">
        <v>0</v>
      </c>
      <c r="K266" t="n">
        <v>0</v>
      </c>
      <c r="L266" t="n">
        <v>0</v>
      </c>
      <c r="M266" t="n">
        <v>0</v>
      </c>
      <c r="N266" t="n">
        <v>0</v>
      </c>
      <c r="O266" t="n">
        <v>0</v>
      </c>
      <c r="P266" t="n">
        <v>0</v>
      </c>
      <c r="Q266" t="n">
        <v>0</v>
      </c>
      <c r="R266" s="2" t="inlineStr"/>
    </row>
    <row r="267" ht="15" customHeight="1">
      <c r="A267" t="inlineStr">
        <is>
          <t>A 35849-2020</t>
        </is>
      </c>
      <c r="B267" s="1" t="n">
        <v>44047</v>
      </c>
      <c r="C267" s="1" t="n">
        <v>45472</v>
      </c>
      <c r="D267" t="inlineStr">
        <is>
          <t>JÄMTLANDS LÄN</t>
        </is>
      </c>
      <c r="E267" t="inlineStr">
        <is>
          <t>ÅRE</t>
        </is>
      </c>
      <c r="G267" t="n">
        <v>21.3</v>
      </c>
      <c r="H267" t="n">
        <v>0</v>
      </c>
      <c r="I267" t="n">
        <v>0</v>
      </c>
      <c r="J267" t="n">
        <v>0</v>
      </c>
      <c r="K267" t="n">
        <v>0</v>
      </c>
      <c r="L267" t="n">
        <v>0</v>
      </c>
      <c r="M267" t="n">
        <v>0</v>
      </c>
      <c r="N267" t="n">
        <v>0</v>
      </c>
      <c r="O267" t="n">
        <v>0</v>
      </c>
      <c r="P267" t="n">
        <v>0</v>
      </c>
      <c r="Q267" t="n">
        <v>0</v>
      </c>
      <c r="R267" s="2" t="inlineStr"/>
    </row>
    <row r="268" ht="15" customHeight="1">
      <c r="A268" t="inlineStr">
        <is>
          <t>A 36506-2020</t>
        </is>
      </c>
      <c r="B268" s="1" t="n">
        <v>44050</v>
      </c>
      <c r="C268" s="1" t="n">
        <v>45472</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36501-2020</t>
        </is>
      </c>
      <c r="B269" s="1" t="n">
        <v>44050</v>
      </c>
      <c r="C269" s="1" t="n">
        <v>45472</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38454-2020</t>
        </is>
      </c>
      <c r="B270" s="1" t="n">
        <v>44060</v>
      </c>
      <c r="C270" s="1" t="n">
        <v>45472</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38455-2020</t>
        </is>
      </c>
      <c r="B271" s="1" t="n">
        <v>44060</v>
      </c>
      <c r="C271" s="1" t="n">
        <v>45472</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40148-2020</t>
        </is>
      </c>
      <c r="B272" s="1" t="n">
        <v>44068</v>
      </c>
      <c r="C272" s="1" t="n">
        <v>45472</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42337-2020</t>
        </is>
      </c>
      <c r="B273" s="1" t="n">
        <v>44076</v>
      </c>
      <c r="C273" s="1" t="n">
        <v>45472</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42643-2020</t>
        </is>
      </c>
      <c r="B274" s="1" t="n">
        <v>44077</v>
      </c>
      <c r="C274" s="1" t="n">
        <v>45472</v>
      </c>
      <c r="D274" t="inlineStr">
        <is>
          <t>JÄMTLANDS LÄN</t>
        </is>
      </c>
      <c r="E274" t="inlineStr">
        <is>
          <t>ÅRE</t>
        </is>
      </c>
      <c r="G274" t="n">
        <v>7.5</v>
      </c>
      <c r="H274" t="n">
        <v>0</v>
      </c>
      <c r="I274" t="n">
        <v>0</v>
      </c>
      <c r="J274" t="n">
        <v>0</v>
      </c>
      <c r="K274" t="n">
        <v>0</v>
      </c>
      <c r="L274" t="n">
        <v>0</v>
      </c>
      <c r="M274" t="n">
        <v>0</v>
      </c>
      <c r="N274" t="n">
        <v>0</v>
      </c>
      <c r="O274" t="n">
        <v>0</v>
      </c>
      <c r="P274" t="n">
        <v>0</v>
      </c>
      <c r="Q274" t="n">
        <v>0</v>
      </c>
      <c r="R274" s="2" t="inlineStr"/>
    </row>
    <row r="275" ht="15" customHeight="1">
      <c r="A275" t="inlineStr">
        <is>
          <t>A 42634-2020</t>
        </is>
      </c>
      <c r="B275" s="1" t="n">
        <v>44077</v>
      </c>
      <c r="C275" s="1" t="n">
        <v>45472</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43167-2020</t>
        </is>
      </c>
      <c r="B276" s="1" t="n">
        <v>44077</v>
      </c>
      <c r="C276" s="1" t="n">
        <v>45472</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42650-2020</t>
        </is>
      </c>
      <c r="B277" s="1" t="n">
        <v>44077</v>
      </c>
      <c r="C277" s="1" t="n">
        <v>45472</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46982-2020</t>
        </is>
      </c>
      <c r="B278" s="1" t="n">
        <v>44096</v>
      </c>
      <c r="C278" s="1" t="n">
        <v>45472</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48177-2020</t>
        </is>
      </c>
      <c r="B279" s="1" t="n">
        <v>44102</v>
      </c>
      <c r="C279" s="1" t="n">
        <v>45472</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49661-2020</t>
        </is>
      </c>
      <c r="B280" s="1" t="n">
        <v>44105</v>
      </c>
      <c r="C280" s="1" t="n">
        <v>45472</v>
      </c>
      <c r="D280" t="inlineStr">
        <is>
          <t>JÄMTLANDS LÄN</t>
        </is>
      </c>
      <c r="E280" t="inlineStr">
        <is>
          <t>ÅRE</t>
        </is>
      </c>
      <c r="F280" t="inlineStr">
        <is>
          <t>Övriga Aktiebolag</t>
        </is>
      </c>
      <c r="G280" t="n">
        <v>24.4</v>
      </c>
      <c r="H280" t="n">
        <v>0</v>
      </c>
      <c r="I280" t="n">
        <v>0</v>
      </c>
      <c r="J280" t="n">
        <v>0</v>
      </c>
      <c r="K280" t="n">
        <v>0</v>
      </c>
      <c r="L280" t="n">
        <v>0</v>
      </c>
      <c r="M280" t="n">
        <v>0</v>
      </c>
      <c r="N280" t="n">
        <v>0</v>
      </c>
      <c r="O280" t="n">
        <v>0</v>
      </c>
      <c r="P280" t="n">
        <v>0</v>
      </c>
      <c r="Q280" t="n">
        <v>0</v>
      </c>
      <c r="R280" s="2" t="inlineStr"/>
    </row>
    <row r="281" ht="15" customHeight="1">
      <c r="A281" t="inlineStr">
        <is>
          <t>A 49744-2020</t>
        </is>
      </c>
      <c r="B281" s="1" t="n">
        <v>44106</v>
      </c>
      <c r="C281" s="1" t="n">
        <v>45472</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49748-2020</t>
        </is>
      </c>
      <c r="B282" s="1" t="n">
        <v>44106</v>
      </c>
      <c r="C282" s="1" t="n">
        <v>45472</v>
      </c>
      <c r="D282" t="inlineStr">
        <is>
          <t>JÄMTLANDS LÄN</t>
        </is>
      </c>
      <c r="E282" t="inlineStr">
        <is>
          <t>ÅRE</t>
        </is>
      </c>
      <c r="G282" t="n">
        <v>13.4</v>
      </c>
      <c r="H282" t="n">
        <v>0</v>
      </c>
      <c r="I282" t="n">
        <v>0</v>
      </c>
      <c r="J282" t="n">
        <v>0</v>
      </c>
      <c r="K282" t="n">
        <v>0</v>
      </c>
      <c r="L282" t="n">
        <v>0</v>
      </c>
      <c r="M282" t="n">
        <v>0</v>
      </c>
      <c r="N282" t="n">
        <v>0</v>
      </c>
      <c r="O282" t="n">
        <v>0</v>
      </c>
      <c r="P282" t="n">
        <v>0</v>
      </c>
      <c r="Q282" t="n">
        <v>0</v>
      </c>
      <c r="R282" s="2" t="inlineStr"/>
    </row>
    <row r="283" ht="15" customHeight="1">
      <c r="A283" t="inlineStr">
        <is>
          <t>A 49747-2020</t>
        </is>
      </c>
      <c r="B283" s="1" t="n">
        <v>44106</v>
      </c>
      <c r="C283" s="1" t="n">
        <v>45472</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52548-2020</t>
        </is>
      </c>
      <c r="B284" s="1" t="n">
        <v>44116</v>
      </c>
      <c r="C284" s="1" t="n">
        <v>45472</v>
      </c>
      <c r="D284" t="inlineStr">
        <is>
          <t>JÄMTLANDS LÄN</t>
        </is>
      </c>
      <c r="E284" t="inlineStr">
        <is>
          <t>ÅRE</t>
        </is>
      </c>
      <c r="G284" t="n">
        <v>7.5</v>
      </c>
      <c r="H284" t="n">
        <v>0</v>
      </c>
      <c r="I284" t="n">
        <v>0</v>
      </c>
      <c r="J284" t="n">
        <v>0</v>
      </c>
      <c r="K284" t="n">
        <v>0</v>
      </c>
      <c r="L284" t="n">
        <v>0</v>
      </c>
      <c r="M284" t="n">
        <v>0</v>
      </c>
      <c r="N284" t="n">
        <v>0</v>
      </c>
      <c r="O284" t="n">
        <v>0</v>
      </c>
      <c r="P284" t="n">
        <v>0</v>
      </c>
      <c r="Q284" t="n">
        <v>0</v>
      </c>
      <c r="R284" s="2" t="inlineStr"/>
    </row>
    <row r="285" ht="15" customHeight="1">
      <c r="A285" t="inlineStr">
        <is>
          <t>A 53042-2020</t>
        </is>
      </c>
      <c r="B285" s="1" t="n">
        <v>44120</v>
      </c>
      <c r="C285" s="1" t="n">
        <v>45472</v>
      </c>
      <c r="D285" t="inlineStr">
        <is>
          <t>JÄMTLANDS LÄN</t>
        </is>
      </c>
      <c r="E285" t="inlineStr">
        <is>
          <t>ÅRE</t>
        </is>
      </c>
      <c r="G285" t="n">
        <v>17.1</v>
      </c>
      <c r="H285" t="n">
        <v>0</v>
      </c>
      <c r="I285" t="n">
        <v>0</v>
      </c>
      <c r="J285" t="n">
        <v>0</v>
      </c>
      <c r="K285" t="n">
        <v>0</v>
      </c>
      <c r="L285" t="n">
        <v>0</v>
      </c>
      <c r="M285" t="n">
        <v>0</v>
      </c>
      <c r="N285" t="n">
        <v>0</v>
      </c>
      <c r="O285" t="n">
        <v>0</v>
      </c>
      <c r="P285" t="n">
        <v>0</v>
      </c>
      <c r="Q285" t="n">
        <v>0</v>
      </c>
      <c r="R285" s="2" t="inlineStr"/>
    </row>
    <row r="286" ht="15" customHeight="1">
      <c r="A286" t="inlineStr">
        <is>
          <t>A 54015-2020</t>
        </is>
      </c>
      <c r="B286" s="1" t="n">
        <v>44125</v>
      </c>
      <c r="C286" s="1" t="n">
        <v>45472</v>
      </c>
      <c r="D286" t="inlineStr">
        <is>
          <t>JÄMTLANDS LÄN</t>
        </is>
      </c>
      <c r="E286" t="inlineStr">
        <is>
          <t>ÅRE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54945-2020</t>
        </is>
      </c>
      <c r="B287" s="1" t="n">
        <v>44129</v>
      </c>
      <c r="C287" s="1" t="n">
        <v>45472</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54944-2020</t>
        </is>
      </c>
      <c r="B288" s="1" t="n">
        <v>44129</v>
      </c>
      <c r="C288" s="1" t="n">
        <v>45472</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56352-2020</t>
        </is>
      </c>
      <c r="B289" s="1" t="n">
        <v>44135</v>
      </c>
      <c r="C289" s="1" t="n">
        <v>45472</v>
      </c>
      <c r="D289" t="inlineStr">
        <is>
          <t>JÄMTLANDS LÄN</t>
        </is>
      </c>
      <c r="E289" t="inlineStr">
        <is>
          <t>ÅRE</t>
        </is>
      </c>
      <c r="G289" t="n">
        <v>95.09999999999999</v>
      </c>
      <c r="H289" t="n">
        <v>0</v>
      </c>
      <c r="I289" t="n">
        <v>0</v>
      </c>
      <c r="J289" t="n">
        <v>0</v>
      </c>
      <c r="K289" t="n">
        <v>0</v>
      </c>
      <c r="L289" t="n">
        <v>0</v>
      </c>
      <c r="M289" t="n">
        <v>0</v>
      </c>
      <c r="N289" t="n">
        <v>0</v>
      </c>
      <c r="O289" t="n">
        <v>0</v>
      </c>
      <c r="P289" t="n">
        <v>0</v>
      </c>
      <c r="Q289" t="n">
        <v>0</v>
      </c>
      <c r="R289" s="2" t="inlineStr"/>
    </row>
    <row r="290" ht="15" customHeight="1">
      <c r="A290" t="inlineStr">
        <is>
          <t>A 57578-2020</t>
        </is>
      </c>
      <c r="B290" s="1" t="n">
        <v>44140</v>
      </c>
      <c r="C290" s="1" t="n">
        <v>45472</v>
      </c>
      <c r="D290" t="inlineStr">
        <is>
          <t>JÄMTLANDS LÄN</t>
        </is>
      </c>
      <c r="E290" t="inlineStr">
        <is>
          <t>ÅRE</t>
        </is>
      </c>
      <c r="G290" t="n">
        <v>94.40000000000001</v>
      </c>
      <c r="H290" t="n">
        <v>0</v>
      </c>
      <c r="I290" t="n">
        <v>0</v>
      </c>
      <c r="J290" t="n">
        <v>0</v>
      </c>
      <c r="K290" t="n">
        <v>0</v>
      </c>
      <c r="L290" t="n">
        <v>0</v>
      </c>
      <c r="M290" t="n">
        <v>0</v>
      </c>
      <c r="N290" t="n">
        <v>0</v>
      </c>
      <c r="O290" t="n">
        <v>0</v>
      </c>
      <c r="P290" t="n">
        <v>0</v>
      </c>
      <c r="Q290" t="n">
        <v>0</v>
      </c>
      <c r="R290" s="2" t="inlineStr"/>
    </row>
    <row r="291" ht="15" customHeight="1">
      <c r="A291" t="inlineStr">
        <is>
          <t>A 57594-2020</t>
        </is>
      </c>
      <c r="B291" s="1" t="n">
        <v>44140</v>
      </c>
      <c r="C291" s="1" t="n">
        <v>45472</v>
      </c>
      <c r="D291" t="inlineStr">
        <is>
          <t>JÄMTLANDS LÄN</t>
        </is>
      </c>
      <c r="E291" t="inlineStr">
        <is>
          <t>ÅRE</t>
        </is>
      </c>
      <c r="G291" t="n">
        <v>14.9</v>
      </c>
      <c r="H291" t="n">
        <v>0</v>
      </c>
      <c r="I291" t="n">
        <v>0</v>
      </c>
      <c r="J291" t="n">
        <v>0</v>
      </c>
      <c r="K291" t="n">
        <v>0</v>
      </c>
      <c r="L291" t="n">
        <v>0</v>
      </c>
      <c r="M291" t="n">
        <v>0</v>
      </c>
      <c r="N291" t="n">
        <v>0</v>
      </c>
      <c r="O291" t="n">
        <v>0</v>
      </c>
      <c r="P291" t="n">
        <v>0</v>
      </c>
      <c r="Q291" t="n">
        <v>0</v>
      </c>
      <c r="R291" s="2" t="inlineStr"/>
    </row>
    <row r="292" ht="15" customHeight="1">
      <c r="A292" t="inlineStr">
        <is>
          <t>A 57586-2020</t>
        </is>
      </c>
      <c r="B292" s="1" t="n">
        <v>44140</v>
      </c>
      <c r="C292" s="1" t="n">
        <v>45472</v>
      </c>
      <c r="D292" t="inlineStr">
        <is>
          <t>JÄMTLANDS LÄN</t>
        </is>
      </c>
      <c r="E292" t="inlineStr">
        <is>
          <t>ÅRE</t>
        </is>
      </c>
      <c r="G292" t="n">
        <v>9.5</v>
      </c>
      <c r="H292" t="n">
        <v>0</v>
      </c>
      <c r="I292" t="n">
        <v>0</v>
      </c>
      <c r="J292" t="n">
        <v>0</v>
      </c>
      <c r="K292" t="n">
        <v>0</v>
      </c>
      <c r="L292" t="n">
        <v>0</v>
      </c>
      <c r="M292" t="n">
        <v>0</v>
      </c>
      <c r="N292" t="n">
        <v>0</v>
      </c>
      <c r="O292" t="n">
        <v>0</v>
      </c>
      <c r="P292" t="n">
        <v>0</v>
      </c>
      <c r="Q292" t="n">
        <v>0</v>
      </c>
      <c r="R292" s="2" t="inlineStr"/>
    </row>
    <row r="293" ht="15" customHeight="1">
      <c r="A293" t="inlineStr">
        <is>
          <t>A 58960-2020</t>
        </is>
      </c>
      <c r="B293" s="1" t="n">
        <v>44146</v>
      </c>
      <c r="C293" s="1" t="n">
        <v>45472</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60016-2020</t>
        </is>
      </c>
      <c r="B294" s="1" t="n">
        <v>44151</v>
      </c>
      <c r="C294" s="1" t="n">
        <v>45472</v>
      </c>
      <c r="D294" t="inlineStr">
        <is>
          <t>JÄMTLANDS LÄN</t>
        </is>
      </c>
      <c r="E294" t="inlineStr">
        <is>
          <t>ÅRE</t>
        </is>
      </c>
      <c r="G294" t="n">
        <v>14.7</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45472</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61595-2020</t>
        </is>
      </c>
      <c r="B296" s="1" t="n">
        <v>44158</v>
      </c>
      <c r="C296" s="1" t="n">
        <v>45472</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64355-2020</t>
        </is>
      </c>
      <c r="B297" s="1" t="n">
        <v>44168</v>
      </c>
      <c r="C297" s="1" t="n">
        <v>45472</v>
      </c>
      <c r="D297" t="inlineStr">
        <is>
          <t>JÄMTLANDS LÄN</t>
        </is>
      </c>
      <c r="E297" t="inlineStr">
        <is>
          <t>ÅRE</t>
        </is>
      </c>
      <c r="G297" t="n">
        <v>2.1</v>
      </c>
      <c r="H297" t="n">
        <v>0</v>
      </c>
      <c r="I297" t="n">
        <v>0</v>
      </c>
      <c r="J297" t="n">
        <v>0</v>
      </c>
      <c r="K297" t="n">
        <v>0</v>
      </c>
      <c r="L297" t="n">
        <v>0</v>
      </c>
      <c r="M297" t="n">
        <v>0</v>
      </c>
      <c r="N297" t="n">
        <v>0</v>
      </c>
      <c r="O297" t="n">
        <v>0</v>
      </c>
      <c r="P297" t="n">
        <v>0</v>
      </c>
      <c r="Q297" t="n">
        <v>0</v>
      </c>
      <c r="R297" s="2" t="inlineStr"/>
    </row>
    <row r="298" ht="15" customHeight="1">
      <c r="A298" t="inlineStr">
        <is>
          <t>A 66083-2020</t>
        </is>
      </c>
      <c r="B298" s="1" t="n">
        <v>44172</v>
      </c>
      <c r="C298" s="1" t="n">
        <v>45472</v>
      </c>
      <c r="D298" t="inlineStr">
        <is>
          <t>JÄMTLANDS LÄN</t>
        </is>
      </c>
      <c r="E298" t="inlineStr">
        <is>
          <t>ÅRE</t>
        </is>
      </c>
      <c r="G298" t="n">
        <v>563.3</v>
      </c>
      <c r="H298" t="n">
        <v>0</v>
      </c>
      <c r="I298" t="n">
        <v>0</v>
      </c>
      <c r="J298" t="n">
        <v>0</v>
      </c>
      <c r="K298" t="n">
        <v>0</v>
      </c>
      <c r="L298" t="n">
        <v>0</v>
      </c>
      <c r="M298" t="n">
        <v>0</v>
      </c>
      <c r="N298" t="n">
        <v>0</v>
      </c>
      <c r="O298" t="n">
        <v>0</v>
      </c>
      <c r="P298" t="n">
        <v>0</v>
      </c>
      <c r="Q298" t="n">
        <v>0</v>
      </c>
      <c r="R298" s="2" t="inlineStr"/>
    </row>
    <row r="299" ht="15" customHeight="1">
      <c r="A299" t="inlineStr">
        <is>
          <t>A 65439-2020</t>
        </is>
      </c>
      <c r="B299" s="1" t="n">
        <v>44173</v>
      </c>
      <c r="C299" s="1" t="n">
        <v>45472</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65512-2020</t>
        </is>
      </c>
      <c r="B300" s="1" t="n">
        <v>44173</v>
      </c>
      <c r="C300" s="1" t="n">
        <v>45472</v>
      </c>
      <c r="D300" t="inlineStr">
        <is>
          <t>JÄMTLANDS LÄN</t>
        </is>
      </c>
      <c r="E300" t="inlineStr">
        <is>
          <t>ÅRE</t>
        </is>
      </c>
      <c r="G300" t="n">
        <v>5.6</v>
      </c>
      <c r="H300" t="n">
        <v>0</v>
      </c>
      <c r="I300" t="n">
        <v>0</v>
      </c>
      <c r="J300" t="n">
        <v>0</v>
      </c>
      <c r="K300" t="n">
        <v>0</v>
      </c>
      <c r="L300" t="n">
        <v>0</v>
      </c>
      <c r="M300" t="n">
        <v>0</v>
      </c>
      <c r="N300" t="n">
        <v>0</v>
      </c>
      <c r="O300" t="n">
        <v>0</v>
      </c>
      <c r="P300" t="n">
        <v>0</v>
      </c>
      <c r="Q300" t="n">
        <v>0</v>
      </c>
      <c r="R300" s="2" t="inlineStr"/>
    </row>
    <row r="301" ht="15" customHeight="1">
      <c r="A301" t="inlineStr">
        <is>
          <t>A 65519-2020</t>
        </is>
      </c>
      <c r="B301" s="1" t="n">
        <v>44173</v>
      </c>
      <c r="C301" s="1" t="n">
        <v>45472</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66755-2020</t>
        </is>
      </c>
      <c r="B302" s="1" t="n">
        <v>44179</v>
      </c>
      <c r="C302" s="1" t="n">
        <v>45472</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66790-2020</t>
        </is>
      </c>
      <c r="B303" s="1" t="n">
        <v>44179</v>
      </c>
      <c r="C303" s="1" t="n">
        <v>45472</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45472</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67972-2020</t>
        </is>
      </c>
      <c r="B305" s="1" t="n">
        <v>44182</v>
      </c>
      <c r="C305" s="1" t="n">
        <v>45472</v>
      </c>
      <c r="D305" t="inlineStr">
        <is>
          <t>JÄMTLANDS LÄN</t>
        </is>
      </c>
      <c r="E305" t="inlineStr">
        <is>
          <t>ÅRE</t>
        </is>
      </c>
      <c r="G305" t="n">
        <v>6</v>
      </c>
      <c r="H305" t="n">
        <v>0</v>
      </c>
      <c r="I305" t="n">
        <v>0</v>
      </c>
      <c r="J305" t="n">
        <v>0</v>
      </c>
      <c r="K305" t="n">
        <v>0</v>
      </c>
      <c r="L305" t="n">
        <v>0</v>
      </c>
      <c r="M305" t="n">
        <v>0</v>
      </c>
      <c r="N305" t="n">
        <v>0</v>
      </c>
      <c r="O305" t="n">
        <v>0</v>
      </c>
      <c r="P305" t="n">
        <v>0</v>
      </c>
      <c r="Q305" t="n">
        <v>0</v>
      </c>
      <c r="R305" s="2" t="inlineStr"/>
    </row>
    <row r="306" ht="15" customHeight="1">
      <c r="A306" t="inlineStr">
        <is>
          <t>A 68545-2020</t>
        </is>
      </c>
      <c r="B306" s="1" t="n">
        <v>44186</v>
      </c>
      <c r="C306" s="1" t="n">
        <v>45472</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68537-2020</t>
        </is>
      </c>
      <c r="B307" s="1" t="n">
        <v>44186</v>
      </c>
      <c r="C307" s="1" t="n">
        <v>45472</v>
      </c>
      <c r="D307" t="inlineStr">
        <is>
          <t>JÄMTLANDS LÄN</t>
        </is>
      </c>
      <c r="E307" t="inlineStr">
        <is>
          <t>ÅRE</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68518-2020</t>
        </is>
      </c>
      <c r="B308" s="1" t="n">
        <v>44186</v>
      </c>
      <c r="C308" s="1" t="n">
        <v>45472</v>
      </c>
      <c r="D308" t="inlineStr">
        <is>
          <t>JÄMTLANDS LÄN</t>
        </is>
      </c>
      <c r="E308" t="inlineStr">
        <is>
          <t>ÅRE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68594-2020</t>
        </is>
      </c>
      <c r="B309" s="1" t="n">
        <v>44186</v>
      </c>
      <c r="C309" s="1" t="n">
        <v>45472</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1339-2021</t>
        </is>
      </c>
      <c r="B310" s="1" t="n">
        <v>44208</v>
      </c>
      <c r="C310" s="1" t="n">
        <v>45472</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4838-2021</t>
        </is>
      </c>
      <c r="B311" s="1" t="n">
        <v>44225</v>
      </c>
      <c r="C311" s="1" t="n">
        <v>45472</v>
      </c>
      <c r="D311" t="inlineStr">
        <is>
          <t>JÄMTLANDS LÄN</t>
        </is>
      </c>
      <c r="E311" t="inlineStr">
        <is>
          <t>ÅRE</t>
        </is>
      </c>
      <c r="G311" t="n">
        <v>12.4</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45472</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5401-2021</t>
        </is>
      </c>
      <c r="B313" s="1" t="n">
        <v>44229</v>
      </c>
      <c r="C313" s="1" t="n">
        <v>45472</v>
      </c>
      <c r="D313" t="inlineStr">
        <is>
          <t>JÄMTLANDS LÄN</t>
        </is>
      </c>
      <c r="E313" t="inlineStr">
        <is>
          <t>ÅRE</t>
        </is>
      </c>
      <c r="G313" t="n">
        <v>10</v>
      </c>
      <c r="H313" t="n">
        <v>0</v>
      </c>
      <c r="I313" t="n">
        <v>0</v>
      </c>
      <c r="J313" t="n">
        <v>0</v>
      </c>
      <c r="K313" t="n">
        <v>0</v>
      </c>
      <c r="L313" t="n">
        <v>0</v>
      </c>
      <c r="M313" t="n">
        <v>0</v>
      </c>
      <c r="N313" t="n">
        <v>0</v>
      </c>
      <c r="O313" t="n">
        <v>0</v>
      </c>
      <c r="P313" t="n">
        <v>0</v>
      </c>
      <c r="Q313" t="n">
        <v>0</v>
      </c>
      <c r="R313" s="2" t="inlineStr"/>
    </row>
    <row r="314" ht="15" customHeight="1">
      <c r="A314" t="inlineStr">
        <is>
          <t>A 5753-2021</t>
        </is>
      </c>
      <c r="B314" s="1" t="n">
        <v>44230</v>
      </c>
      <c r="C314" s="1" t="n">
        <v>45472</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8983-2021</t>
        </is>
      </c>
      <c r="B315" s="1" t="n">
        <v>44231</v>
      </c>
      <c r="C315" s="1" t="n">
        <v>45472</v>
      </c>
      <c r="D315" t="inlineStr">
        <is>
          <t>JÄMTLANDS LÄN</t>
        </is>
      </c>
      <c r="E315" t="inlineStr">
        <is>
          <t>ÅRE</t>
        </is>
      </c>
      <c r="G315" t="n">
        <v>4.1</v>
      </c>
      <c r="H315" t="n">
        <v>0</v>
      </c>
      <c r="I315" t="n">
        <v>0</v>
      </c>
      <c r="J315" t="n">
        <v>0</v>
      </c>
      <c r="K315" t="n">
        <v>0</v>
      </c>
      <c r="L315" t="n">
        <v>0</v>
      </c>
      <c r="M315" t="n">
        <v>0</v>
      </c>
      <c r="N315" t="n">
        <v>0</v>
      </c>
      <c r="O315" t="n">
        <v>0</v>
      </c>
      <c r="P315" t="n">
        <v>0</v>
      </c>
      <c r="Q315" t="n">
        <v>0</v>
      </c>
      <c r="R315" s="2" t="inlineStr"/>
    </row>
    <row r="316" ht="15" customHeight="1">
      <c r="A316" t="inlineStr">
        <is>
          <t>A 6232-2021</t>
        </is>
      </c>
      <c r="B316" s="1" t="n">
        <v>44231</v>
      </c>
      <c r="C316" s="1" t="n">
        <v>45472</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8294-2021</t>
        </is>
      </c>
      <c r="B317" s="1" t="n">
        <v>44243</v>
      </c>
      <c r="C317" s="1" t="n">
        <v>45472</v>
      </c>
      <c r="D317" t="inlineStr">
        <is>
          <t>JÄMTLANDS LÄN</t>
        </is>
      </c>
      <c r="E317" t="inlineStr">
        <is>
          <t>ÅRE</t>
        </is>
      </c>
      <c r="G317" t="n">
        <v>16.5</v>
      </c>
      <c r="H317" t="n">
        <v>0</v>
      </c>
      <c r="I317" t="n">
        <v>0</v>
      </c>
      <c r="J317" t="n">
        <v>0</v>
      </c>
      <c r="K317" t="n">
        <v>0</v>
      </c>
      <c r="L317" t="n">
        <v>0</v>
      </c>
      <c r="M317" t="n">
        <v>0</v>
      </c>
      <c r="N317" t="n">
        <v>0</v>
      </c>
      <c r="O317" t="n">
        <v>0</v>
      </c>
      <c r="P317" t="n">
        <v>0</v>
      </c>
      <c r="Q317" t="n">
        <v>0</v>
      </c>
      <c r="R317" s="2" t="inlineStr"/>
    </row>
    <row r="318" ht="15" customHeight="1">
      <c r="A318" t="inlineStr">
        <is>
          <t>A 8217-2021</t>
        </is>
      </c>
      <c r="B318" s="1" t="n">
        <v>44244</v>
      </c>
      <c r="C318" s="1" t="n">
        <v>45472</v>
      </c>
      <c r="D318" t="inlineStr">
        <is>
          <t>JÄMTLANDS LÄN</t>
        </is>
      </c>
      <c r="E318" t="inlineStr">
        <is>
          <t>ÅRE</t>
        </is>
      </c>
      <c r="G318" t="n">
        <v>51.8</v>
      </c>
      <c r="H318" t="n">
        <v>0</v>
      </c>
      <c r="I318" t="n">
        <v>0</v>
      </c>
      <c r="J318" t="n">
        <v>0</v>
      </c>
      <c r="K318" t="n">
        <v>0</v>
      </c>
      <c r="L318" t="n">
        <v>0</v>
      </c>
      <c r="M318" t="n">
        <v>0</v>
      </c>
      <c r="N318" t="n">
        <v>0</v>
      </c>
      <c r="O318" t="n">
        <v>0</v>
      </c>
      <c r="P318" t="n">
        <v>0</v>
      </c>
      <c r="Q318" t="n">
        <v>0</v>
      </c>
      <c r="R318" s="2" t="inlineStr"/>
    </row>
    <row r="319" ht="15" customHeight="1">
      <c r="A319" t="inlineStr">
        <is>
          <t>A 8668-2021</t>
        </is>
      </c>
      <c r="B319" s="1" t="n">
        <v>44246</v>
      </c>
      <c r="C319" s="1" t="n">
        <v>45472</v>
      </c>
      <c r="D319" t="inlineStr">
        <is>
          <t>JÄMTLANDS LÄN</t>
        </is>
      </c>
      <c r="E319" t="inlineStr">
        <is>
          <t>ÅRE</t>
        </is>
      </c>
      <c r="G319" t="n">
        <v>19.5</v>
      </c>
      <c r="H319" t="n">
        <v>0</v>
      </c>
      <c r="I319" t="n">
        <v>0</v>
      </c>
      <c r="J319" t="n">
        <v>0</v>
      </c>
      <c r="K319" t="n">
        <v>0</v>
      </c>
      <c r="L319" t="n">
        <v>0</v>
      </c>
      <c r="M319" t="n">
        <v>0</v>
      </c>
      <c r="N319" t="n">
        <v>0</v>
      </c>
      <c r="O319" t="n">
        <v>0</v>
      </c>
      <c r="P319" t="n">
        <v>0</v>
      </c>
      <c r="Q319" t="n">
        <v>0</v>
      </c>
      <c r="R319" s="2" t="inlineStr"/>
    </row>
    <row r="320" ht="15" customHeight="1">
      <c r="A320" t="inlineStr">
        <is>
          <t>A 9613-2021</t>
        </is>
      </c>
      <c r="B320" s="1" t="n">
        <v>44251</v>
      </c>
      <c r="C320" s="1" t="n">
        <v>45472</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45472</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10191-2021</t>
        </is>
      </c>
      <c r="B322" s="1" t="n">
        <v>44256</v>
      </c>
      <c r="C322" s="1" t="n">
        <v>45472</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45472</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10283-2021</t>
        </is>
      </c>
      <c r="B324" s="1" t="n">
        <v>44257</v>
      </c>
      <c r="C324" s="1" t="n">
        <v>45472</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12387-2021</t>
        </is>
      </c>
      <c r="B325" s="1" t="n">
        <v>44267</v>
      </c>
      <c r="C325" s="1" t="n">
        <v>45472</v>
      </c>
      <c r="D325" t="inlineStr">
        <is>
          <t>JÄMTLANDS LÄN</t>
        </is>
      </c>
      <c r="E325" t="inlineStr">
        <is>
          <t>ÅRE</t>
        </is>
      </c>
      <c r="G325" t="n">
        <v>3.4</v>
      </c>
      <c r="H325" t="n">
        <v>0</v>
      </c>
      <c r="I325" t="n">
        <v>0</v>
      </c>
      <c r="J325" t="n">
        <v>0</v>
      </c>
      <c r="K325" t="n">
        <v>0</v>
      </c>
      <c r="L325" t="n">
        <v>0</v>
      </c>
      <c r="M325" t="n">
        <v>0</v>
      </c>
      <c r="N325" t="n">
        <v>0</v>
      </c>
      <c r="O325" t="n">
        <v>0</v>
      </c>
      <c r="P325" t="n">
        <v>0</v>
      </c>
      <c r="Q325" t="n">
        <v>0</v>
      </c>
      <c r="R325" s="2" t="inlineStr"/>
    </row>
    <row r="326" ht="15" customHeight="1">
      <c r="A326" t="inlineStr">
        <is>
          <t>A 12857-2021</t>
        </is>
      </c>
      <c r="B326" s="1" t="n">
        <v>44270</v>
      </c>
      <c r="C326" s="1" t="n">
        <v>45472</v>
      </c>
      <c r="D326" t="inlineStr">
        <is>
          <t>JÄMTLANDS LÄN</t>
        </is>
      </c>
      <c r="E326" t="inlineStr">
        <is>
          <t>ÅRE</t>
        </is>
      </c>
      <c r="F326" t="inlineStr">
        <is>
          <t>Kommuner</t>
        </is>
      </c>
      <c r="G326" t="n">
        <v>17.2</v>
      </c>
      <c r="H326" t="n">
        <v>0</v>
      </c>
      <c r="I326" t="n">
        <v>0</v>
      </c>
      <c r="J326" t="n">
        <v>0</v>
      </c>
      <c r="K326" t="n">
        <v>0</v>
      </c>
      <c r="L326" t="n">
        <v>0</v>
      </c>
      <c r="M326" t="n">
        <v>0</v>
      </c>
      <c r="N326" t="n">
        <v>0</v>
      </c>
      <c r="O326" t="n">
        <v>0</v>
      </c>
      <c r="P326" t="n">
        <v>0</v>
      </c>
      <c r="Q326" t="n">
        <v>0</v>
      </c>
      <c r="R326" s="2" t="inlineStr"/>
    </row>
    <row r="327" ht="15" customHeight="1">
      <c r="A327" t="inlineStr">
        <is>
          <t>A 12827-2021</t>
        </is>
      </c>
      <c r="B327" s="1" t="n">
        <v>44271</v>
      </c>
      <c r="C327" s="1" t="n">
        <v>45472</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14202-2021</t>
        </is>
      </c>
      <c r="B328" s="1" t="n">
        <v>44278</v>
      </c>
      <c r="C328" s="1" t="n">
        <v>45472</v>
      </c>
      <c r="D328" t="inlineStr">
        <is>
          <t>JÄMTLANDS LÄN</t>
        </is>
      </c>
      <c r="E328" t="inlineStr">
        <is>
          <t>ÅRE</t>
        </is>
      </c>
      <c r="G328" t="n">
        <v>17.8</v>
      </c>
      <c r="H328" t="n">
        <v>0</v>
      </c>
      <c r="I328" t="n">
        <v>0</v>
      </c>
      <c r="J328" t="n">
        <v>0</v>
      </c>
      <c r="K328" t="n">
        <v>0</v>
      </c>
      <c r="L328" t="n">
        <v>0</v>
      </c>
      <c r="M328" t="n">
        <v>0</v>
      </c>
      <c r="N328" t="n">
        <v>0</v>
      </c>
      <c r="O328" t="n">
        <v>0</v>
      </c>
      <c r="P328" t="n">
        <v>0</v>
      </c>
      <c r="Q328" t="n">
        <v>0</v>
      </c>
      <c r="R328" s="2" t="inlineStr"/>
    </row>
    <row r="329" ht="15" customHeight="1">
      <c r="A329" t="inlineStr">
        <is>
          <t>A 14210-2021</t>
        </is>
      </c>
      <c r="B329" s="1" t="n">
        <v>44278</v>
      </c>
      <c r="C329" s="1" t="n">
        <v>45472</v>
      </c>
      <c r="D329" t="inlineStr">
        <is>
          <t>JÄMTLANDS LÄN</t>
        </is>
      </c>
      <c r="E329" t="inlineStr">
        <is>
          <t>ÅRE</t>
        </is>
      </c>
      <c r="G329" t="n">
        <v>5.3</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45472</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14826-2021</t>
        </is>
      </c>
      <c r="B331" s="1" t="n">
        <v>44280</v>
      </c>
      <c r="C331" s="1" t="n">
        <v>45472</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15305-2021</t>
        </is>
      </c>
      <c r="B332" s="1" t="n">
        <v>44284</v>
      </c>
      <c r="C332" s="1" t="n">
        <v>45472</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16625-2021</t>
        </is>
      </c>
      <c r="B333" s="1" t="n">
        <v>44294</v>
      </c>
      <c r="C333" s="1" t="n">
        <v>45472</v>
      </c>
      <c r="D333" t="inlineStr">
        <is>
          <t>JÄMTLANDS LÄN</t>
        </is>
      </c>
      <c r="E333" t="inlineStr">
        <is>
          <t>ÅRE</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17883-2021</t>
        </is>
      </c>
      <c r="B334" s="1" t="n">
        <v>44301</v>
      </c>
      <c r="C334" s="1" t="n">
        <v>45472</v>
      </c>
      <c r="D334" t="inlineStr">
        <is>
          <t>JÄMTLANDS LÄN</t>
        </is>
      </c>
      <c r="E334" t="inlineStr">
        <is>
          <t>ÅRE</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18374-2021</t>
        </is>
      </c>
      <c r="B335" s="1" t="n">
        <v>44305</v>
      </c>
      <c r="C335" s="1" t="n">
        <v>45472</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18531-2021</t>
        </is>
      </c>
      <c r="B336" s="1" t="n">
        <v>44306</v>
      </c>
      <c r="C336" s="1" t="n">
        <v>45472</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19275-2021</t>
        </is>
      </c>
      <c r="B337" s="1" t="n">
        <v>44309</v>
      </c>
      <c r="C337" s="1" t="n">
        <v>45472</v>
      </c>
      <c r="D337" t="inlineStr">
        <is>
          <t>JÄMTLANDS LÄN</t>
        </is>
      </c>
      <c r="E337" t="inlineStr">
        <is>
          <t>ÅRE</t>
        </is>
      </c>
      <c r="G337" t="n">
        <v>16.4</v>
      </c>
      <c r="H337" t="n">
        <v>0</v>
      </c>
      <c r="I337" t="n">
        <v>0</v>
      </c>
      <c r="J337" t="n">
        <v>0</v>
      </c>
      <c r="K337" t="n">
        <v>0</v>
      </c>
      <c r="L337" t="n">
        <v>0</v>
      </c>
      <c r="M337" t="n">
        <v>0</v>
      </c>
      <c r="N337" t="n">
        <v>0</v>
      </c>
      <c r="O337" t="n">
        <v>0</v>
      </c>
      <c r="P337" t="n">
        <v>0</v>
      </c>
      <c r="Q337" t="n">
        <v>0</v>
      </c>
      <c r="R337" s="2" t="inlineStr"/>
    </row>
    <row r="338" ht="15" customHeight="1">
      <c r="A338" t="inlineStr">
        <is>
          <t>A 20501-2021</t>
        </is>
      </c>
      <c r="B338" s="1" t="n">
        <v>44315</v>
      </c>
      <c r="C338" s="1" t="n">
        <v>45472</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21897-2021</t>
        </is>
      </c>
      <c r="B339" s="1" t="n">
        <v>44322</v>
      </c>
      <c r="C339" s="1" t="n">
        <v>45472</v>
      </c>
      <c r="D339" t="inlineStr">
        <is>
          <t>JÄMTLANDS LÄN</t>
        </is>
      </c>
      <c r="E339" t="inlineStr">
        <is>
          <t>ÅRE</t>
        </is>
      </c>
      <c r="G339" t="n">
        <v>41.4</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45472</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22707-2021</t>
        </is>
      </c>
      <c r="B341" s="1" t="n">
        <v>44323</v>
      </c>
      <c r="C341" s="1" t="n">
        <v>45472</v>
      </c>
      <c r="D341" t="inlineStr">
        <is>
          <t>JÄMTLANDS LÄN</t>
        </is>
      </c>
      <c r="E341" t="inlineStr">
        <is>
          <t>ÅRE</t>
        </is>
      </c>
      <c r="G341" t="n">
        <v>6.3</v>
      </c>
      <c r="H341" t="n">
        <v>0</v>
      </c>
      <c r="I341" t="n">
        <v>0</v>
      </c>
      <c r="J341" t="n">
        <v>0</v>
      </c>
      <c r="K341" t="n">
        <v>0</v>
      </c>
      <c r="L341" t="n">
        <v>0</v>
      </c>
      <c r="M341" t="n">
        <v>0</v>
      </c>
      <c r="N341" t="n">
        <v>0</v>
      </c>
      <c r="O341" t="n">
        <v>0</v>
      </c>
      <c r="P341" t="n">
        <v>0</v>
      </c>
      <c r="Q341" t="n">
        <v>0</v>
      </c>
      <c r="R341" s="2" t="inlineStr"/>
    </row>
    <row r="342" ht="15" customHeight="1">
      <c r="A342" t="inlineStr">
        <is>
          <t>A 22505-2021</t>
        </is>
      </c>
      <c r="B342" s="1" t="n">
        <v>44326</v>
      </c>
      <c r="C342" s="1" t="n">
        <v>45472</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23561-2021</t>
        </is>
      </c>
      <c r="B343" s="1" t="n">
        <v>44334</v>
      </c>
      <c r="C343" s="1" t="n">
        <v>45472</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24585-2021</t>
        </is>
      </c>
      <c r="B344" s="1" t="n">
        <v>44337</v>
      </c>
      <c r="C344" s="1" t="n">
        <v>45472</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45472</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27010-2021</t>
        </is>
      </c>
      <c r="B346" s="1" t="n">
        <v>44350</v>
      </c>
      <c r="C346" s="1" t="n">
        <v>45472</v>
      </c>
      <c r="D346" t="inlineStr">
        <is>
          <t>JÄMTLANDS LÄN</t>
        </is>
      </c>
      <c r="E346" t="inlineStr">
        <is>
          <t>ÅRE</t>
        </is>
      </c>
      <c r="G346" t="n">
        <v>1.6</v>
      </c>
      <c r="H346" t="n">
        <v>0</v>
      </c>
      <c r="I346" t="n">
        <v>0</v>
      </c>
      <c r="J346" t="n">
        <v>0</v>
      </c>
      <c r="K346" t="n">
        <v>0</v>
      </c>
      <c r="L346" t="n">
        <v>0</v>
      </c>
      <c r="M346" t="n">
        <v>0</v>
      </c>
      <c r="N346" t="n">
        <v>0</v>
      </c>
      <c r="O346" t="n">
        <v>0</v>
      </c>
      <c r="P346" t="n">
        <v>0</v>
      </c>
      <c r="Q346" t="n">
        <v>0</v>
      </c>
      <c r="R346" s="2" t="inlineStr"/>
    </row>
    <row r="347" ht="15" customHeight="1">
      <c r="A347" t="inlineStr">
        <is>
          <t>A 27375-2021</t>
        </is>
      </c>
      <c r="B347" s="1" t="n">
        <v>44351</v>
      </c>
      <c r="C347" s="1" t="n">
        <v>45472</v>
      </c>
      <c r="D347" t="inlineStr">
        <is>
          <t>JÄMTLANDS LÄN</t>
        </is>
      </c>
      <c r="E347" t="inlineStr">
        <is>
          <t>ÅRE</t>
        </is>
      </c>
      <c r="G347" t="n">
        <v>7.4</v>
      </c>
      <c r="H347" t="n">
        <v>0</v>
      </c>
      <c r="I347" t="n">
        <v>0</v>
      </c>
      <c r="J347" t="n">
        <v>0</v>
      </c>
      <c r="K347" t="n">
        <v>0</v>
      </c>
      <c r="L347" t="n">
        <v>0</v>
      </c>
      <c r="M347" t="n">
        <v>0</v>
      </c>
      <c r="N347" t="n">
        <v>0</v>
      </c>
      <c r="O347" t="n">
        <v>0</v>
      </c>
      <c r="P347" t="n">
        <v>0</v>
      </c>
      <c r="Q347" t="n">
        <v>0</v>
      </c>
      <c r="R347" s="2" t="inlineStr"/>
    </row>
    <row r="348" ht="15" customHeight="1">
      <c r="A348" t="inlineStr">
        <is>
          <t>A 27390-2021</t>
        </is>
      </c>
      <c r="B348" s="1" t="n">
        <v>44351</v>
      </c>
      <c r="C348" s="1" t="n">
        <v>45472</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45472</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28881-2021</t>
        </is>
      </c>
      <c r="B350" s="1" t="n">
        <v>44357</v>
      </c>
      <c r="C350" s="1" t="n">
        <v>45472</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28817-2021</t>
        </is>
      </c>
      <c r="B351" s="1" t="n">
        <v>44357</v>
      </c>
      <c r="C351" s="1" t="n">
        <v>45472</v>
      </c>
      <c r="D351" t="inlineStr">
        <is>
          <t>JÄMTLANDS LÄN</t>
        </is>
      </c>
      <c r="E351" t="inlineStr">
        <is>
          <t>ÅRE</t>
        </is>
      </c>
      <c r="G351" t="n">
        <v>21.4</v>
      </c>
      <c r="H351" t="n">
        <v>0</v>
      </c>
      <c r="I351" t="n">
        <v>0</v>
      </c>
      <c r="J351" t="n">
        <v>0</v>
      </c>
      <c r="K351" t="n">
        <v>0</v>
      </c>
      <c r="L351" t="n">
        <v>0</v>
      </c>
      <c r="M351" t="n">
        <v>0</v>
      </c>
      <c r="N351" t="n">
        <v>0</v>
      </c>
      <c r="O351" t="n">
        <v>0</v>
      </c>
      <c r="P351" t="n">
        <v>0</v>
      </c>
      <c r="Q351" t="n">
        <v>0</v>
      </c>
      <c r="R351" s="2" t="inlineStr"/>
    </row>
    <row r="352" ht="15" customHeight="1">
      <c r="A352" t="inlineStr">
        <is>
          <t>A 31388-2021</t>
        </is>
      </c>
      <c r="B352" s="1" t="n">
        <v>44369</v>
      </c>
      <c r="C352" s="1" t="n">
        <v>45472</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32241-2021</t>
        </is>
      </c>
      <c r="B353" s="1" t="n">
        <v>44371</v>
      </c>
      <c r="C353" s="1" t="n">
        <v>45472</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34357-2021</t>
        </is>
      </c>
      <c r="B354" s="1" t="n">
        <v>44379</v>
      </c>
      <c r="C354" s="1" t="n">
        <v>45472</v>
      </c>
      <c r="D354" t="inlineStr">
        <is>
          <t>JÄMTLANDS LÄN</t>
        </is>
      </c>
      <c r="E354" t="inlineStr">
        <is>
          <t>ÅRE</t>
        </is>
      </c>
      <c r="G354" t="n">
        <v>7.1</v>
      </c>
      <c r="H354" t="n">
        <v>0</v>
      </c>
      <c r="I354" t="n">
        <v>0</v>
      </c>
      <c r="J354" t="n">
        <v>0</v>
      </c>
      <c r="K354" t="n">
        <v>0</v>
      </c>
      <c r="L354" t="n">
        <v>0</v>
      </c>
      <c r="M354" t="n">
        <v>0</v>
      </c>
      <c r="N354" t="n">
        <v>0</v>
      </c>
      <c r="O354" t="n">
        <v>0</v>
      </c>
      <c r="P354" t="n">
        <v>0</v>
      </c>
      <c r="Q354" t="n">
        <v>0</v>
      </c>
      <c r="R354" s="2" t="inlineStr"/>
    </row>
    <row r="355" ht="15" customHeight="1">
      <c r="A355" t="inlineStr">
        <is>
          <t>A 36868-2021</t>
        </is>
      </c>
      <c r="B355" s="1" t="n">
        <v>44393</v>
      </c>
      <c r="C355" s="1" t="n">
        <v>45472</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37086-2021</t>
        </is>
      </c>
      <c r="B356" s="1" t="n">
        <v>44395</v>
      </c>
      <c r="C356" s="1" t="n">
        <v>45472</v>
      </c>
      <c r="D356" t="inlineStr">
        <is>
          <t>JÄMTLANDS LÄN</t>
        </is>
      </c>
      <c r="E356" t="inlineStr">
        <is>
          <t>ÅRE</t>
        </is>
      </c>
      <c r="G356" t="n">
        <v>34.1</v>
      </c>
      <c r="H356" t="n">
        <v>0</v>
      </c>
      <c r="I356" t="n">
        <v>0</v>
      </c>
      <c r="J356" t="n">
        <v>0</v>
      </c>
      <c r="K356" t="n">
        <v>0</v>
      </c>
      <c r="L356" t="n">
        <v>0</v>
      </c>
      <c r="M356" t="n">
        <v>0</v>
      </c>
      <c r="N356" t="n">
        <v>0</v>
      </c>
      <c r="O356" t="n">
        <v>0</v>
      </c>
      <c r="P356" t="n">
        <v>0</v>
      </c>
      <c r="Q356" t="n">
        <v>0</v>
      </c>
      <c r="R356" s="2" t="inlineStr"/>
    </row>
    <row r="357" ht="15" customHeight="1">
      <c r="A357" t="inlineStr">
        <is>
          <t>A 37156-2021</t>
        </is>
      </c>
      <c r="B357" s="1" t="n">
        <v>44396</v>
      </c>
      <c r="C357" s="1" t="n">
        <v>45472</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37461-2021</t>
        </is>
      </c>
      <c r="B358" s="1" t="n">
        <v>44398</v>
      </c>
      <c r="C358" s="1" t="n">
        <v>45472</v>
      </c>
      <c r="D358" t="inlineStr">
        <is>
          <t>JÄMTLANDS LÄN</t>
        </is>
      </c>
      <c r="E358" t="inlineStr">
        <is>
          <t>ÅRE</t>
        </is>
      </c>
      <c r="G358" t="n">
        <v>11.7</v>
      </c>
      <c r="H358" t="n">
        <v>0</v>
      </c>
      <c r="I358" t="n">
        <v>0</v>
      </c>
      <c r="J358" t="n">
        <v>0</v>
      </c>
      <c r="K358" t="n">
        <v>0</v>
      </c>
      <c r="L358" t="n">
        <v>0</v>
      </c>
      <c r="M358" t="n">
        <v>0</v>
      </c>
      <c r="N358" t="n">
        <v>0</v>
      </c>
      <c r="O358" t="n">
        <v>0</v>
      </c>
      <c r="P358" t="n">
        <v>0</v>
      </c>
      <c r="Q358" t="n">
        <v>0</v>
      </c>
      <c r="R358" s="2" t="inlineStr"/>
    </row>
    <row r="359" ht="15" customHeight="1">
      <c r="A359" t="inlineStr">
        <is>
          <t>A 38450-2021</t>
        </is>
      </c>
      <c r="B359" s="1" t="n">
        <v>44406</v>
      </c>
      <c r="C359" s="1" t="n">
        <v>45472</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38456-2021</t>
        </is>
      </c>
      <c r="B360" s="1" t="n">
        <v>44406</v>
      </c>
      <c r="C360" s="1" t="n">
        <v>45472</v>
      </c>
      <c r="D360" t="inlineStr">
        <is>
          <t>JÄMTLANDS LÄN</t>
        </is>
      </c>
      <c r="E360" t="inlineStr">
        <is>
          <t>ÅRE</t>
        </is>
      </c>
      <c r="G360" t="n">
        <v>19.8</v>
      </c>
      <c r="H360" t="n">
        <v>0</v>
      </c>
      <c r="I360" t="n">
        <v>0</v>
      </c>
      <c r="J360" t="n">
        <v>0</v>
      </c>
      <c r="K360" t="n">
        <v>0</v>
      </c>
      <c r="L360" t="n">
        <v>0</v>
      </c>
      <c r="M360" t="n">
        <v>0</v>
      </c>
      <c r="N360" t="n">
        <v>0</v>
      </c>
      <c r="O360" t="n">
        <v>0</v>
      </c>
      <c r="P360" t="n">
        <v>0</v>
      </c>
      <c r="Q360" t="n">
        <v>0</v>
      </c>
      <c r="R360" s="2" t="inlineStr"/>
    </row>
    <row r="361" ht="15" customHeight="1">
      <c r="A361" t="inlineStr">
        <is>
          <t>A 40336-2021</t>
        </is>
      </c>
      <c r="B361" s="1" t="n">
        <v>44419</v>
      </c>
      <c r="C361" s="1" t="n">
        <v>45472</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40339-2021</t>
        </is>
      </c>
      <c r="B362" s="1" t="n">
        <v>44419</v>
      </c>
      <c r="C362" s="1" t="n">
        <v>45472</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40341-2021</t>
        </is>
      </c>
      <c r="B363" s="1" t="n">
        <v>44419</v>
      </c>
      <c r="C363" s="1" t="n">
        <v>45472</v>
      </c>
      <c r="D363" t="inlineStr">
        <is>
          <t>JÄMTLANDS LÄN</t>
        </is>
      </c>
      <c r="E363" t="inlineStr">
        <is>
          <t>ÅRE</t>
        </is>
      </c>
      <c r="G363" t="n">
        <v>3</v>
      </c>
      <c r="H363" t="n">
        <v>0</v>
      </c>
      <c r="I363" t="n">
        <v>0</v>
      </c>
      <c r="J363" t="n">
        <v>0</v>
      </c>
      <c r="K363" t="n">
        <v>0</v>
      </c>
      <c r="L363" t="n">
        <v>0</v>
      </c>
      <c r="M363" t="n">
        <v>0</v>
      </c>
      <c r="N363" t="n">
        <v>0</v>
      </c>
      <c r="O363" t="n">
        <v>0</v>
      </c>
      <c r="P363" t="n">
        <v>0</v>
      </c>
      <c r="Q363" t="n">
        <v>0</v>
      </c>
      <c r="R363" s="2" t="inlineStr"/>
    </row>
    <row r="364" ht="15" customHeight="1">
      <c r="A364" t="inlineStr">
        <is>
          <t>A 50099-2021</t>
        </is>
      </c>
      <c r="B364" s="1" t="n">
        <v>44456</v>
      </c>
      <c r="C364" s="1" t="n">
        <v>45472</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51042-2021</t>
        </is>
      </c>
      <c r="B365" s="1" t="n">
        <v>44461</v>
      </c>
      <c r="C365" s="1" t="n">
        <v>45472</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51040-2021</t>
        </is>
      </c>
      <c r="B366" s="1" t="n">
        <v>44461</v>
      </c>
      <c r="C366" s="1" t="n">
        <v>45472</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52427-2021</t>
        </is>
      </c>
      <c r="B367" s="1" t="n">
        <v>44466</v>
      </c>
      <c r="C367" s="1" t="n">
        <v>45472</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56197-2021</t>
        </is>
      </c>
      <c r="B368" s="1" t="n">
        <v>44478</v>
      </c>
      <c r="C368" s="1" t="n">
        <v>45472</v>
      </c>
      <c r="D368" t="inlineStr">
        <is>
          <t>JÄMTLANDS LÄN</t>
        </is>
      </c>
      <c r="E368" t="inlineStr">
        <is>
          <t>ÅRE</t>
        </is>
      </c>
      <c r="F368" t="inlineStr">
        <is>
          <t>Övriga Aktiebolag</t>
        </is>
      </c>
      <c r="G368" t="n">
        <v>13</v>
      </c>
      <c r="H368" t="n">
        <v>0</v>
      </c>
      <c r="I368" t="n">
        <v>0</v>
      </c>
      <c r="J368" t="n">
        <v>0</v>
      </c>
      <c r="K368" t="n">
        <v>0</v>
      </c>
      <c r="L368" t="n">
        <v>0</v>
      </c>
      <c r="M368" t="n">
        <v>0</v>
      </c>
      <c r="N368" t="n">
        <v>0</v>
      </c>
      <c r="O368" t="n">
        <v>0</v>
      </c>
      <c r="P368" t="n">
        <v>0</v>
      </c>
      <c r="Q368" t="n">
        <v>0</v>
      </c>
      <c r="R368" s="2" t="inlineStr"/>
    </row>
    <row r="369" ht="15" customHeight="1">
      <c r="A369" t="inlineStr">
        <is>
          <t>A 56192-2021</t>
        </is>
      </c>
      <c r="B369" s="1" t="n">
        <v>44477</v>
      </c>
      <c r="C369" s="1" t="n">
        <v>45472</v>
      </c>
      <c r="D369" t="inlineStr">
        <is>
          <t>JÄMTLANDS LÄN</t>
        </is>
      </c>
      <c r="E369" t="inlineStr">
        <is>
          <t>ÅRE</t>
        </is>
      </c>
      <c r="F369" t="inlineStr">
        <is>
          <t>Övriga Aktiebolag</t>
        </is>
      </c>
      <c r="G369" t="n">
        <v>21.5</v>
      </c>
      <c r="H369" t="n">
        <v>0</v>
      </c>
      <c r="I369" t="n">
        <v>0</v>
      </c>
      <c r="J369" t="n">
        <v>0</v>
      </c>
      <c r="K369" t="n">
        <v>0</v>
      </c>
      <c r="L369" t="n">
        <v>0</v>
      </c>
      <c r="M369" t="n">
        <v>0</v>
      </c>
      <c r="N369" t="n">
        <v>0</v>
      </c>
      <c r="O369" t="n">
        <v>0</v>
      </c>
      <c r="P369" t="n">
        <v>0</v>
      </c>
      <c r="Q369" t="n">
        <v>0</v>
      </c>
      <c r="R369" s="2" t="inlineStr"/>
    </row>
    <row r="370" ht="15" customHeight="1">
      <c r="A370" t="inlineStr">
        <is>
          <t>A 57150-2021</t>
        </is>
      </c>
      <c r="B370" s="1" t="n">
        <v>44482</v>
      </c>
      <c r="C370" s="1" t="n">
        <v>45472</v>
      </c>
      <c r="D370" t="inlineStr">
        <is>
          <t>JÄMTLANDS LÄN</t>
        </is>
      </c>
      <c r="E370" t="inlineStr">
        <is>
          <t>ÅRE</t>
        </is>
      </c>
      <c r="G370" t="n">
        <v>1.3</v>
      </c>
      <c r="H370" t="n">
        <v>0</v>
      </c>
      <c r="I370" t="n">
        <v>0</v>
      </c>
      <c r="J370" t="n">
        <v>0</v>
      </c>
      <c r="K370" t="n">
        <v>0</v>
      </c>
      <c r="L370" t="n">
        <v>0</v>
      </c>
      <c r="M370" t="n">
        <v>0</v>
      </c>
      <c r="N370" t="n">
        <v>0</v>
      </c>
      <c r="O370" t="n">
        <v>0</v>
      </c>
      <c r="P370" t="n">
        <v>0</v>
      </c>
      <c r="Q370" t="n">
        <v>0</v>
      </c>
      <c r="R370" s="2" t="inlineStr"/>
    </row>
    <row r="371" ht="15" customHeight="1">
      <c r="A371" t="inlineStr">
        <is>
          <t>A 57158-2021</t>
        </is>
      </c>
      <c r="B371" s="1" t="n">
        <v>44482</v>
      </c>
      <c r="C371" s="1" t="n">
        <v>45472</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57512-2021</t>
        </is>
      </c>
      <c r="B372" s="1" t="n">
        <v>44483</v>
      </c>
      <c r="C372" s="1" t="n">
        <v>45472</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57710-2021</t>
        </is>
      </c>
      <c r="B373" s="1" t="n">
        <v>44484</v>
      </c>
      <c r="C373" s="1" t="n">
        <v>45472</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58230-2021</t>
        </is>
      </c>
      <c r="B374" s="1" t="n">
        <v>44487</v>
      </c>
      <c r="C374" s="1" t="n">
        <v>45472</v>
      </c>
      <c r="D374" t="inlineStr">
        <is>
          <t>JÄMTLANDS LÄN</t>
        </is>
      </c>
      <c r="E374" t="inlineStr">
        <is>
          <t>ÅRE</t>
        </is>
      </c>
      <c r="G374" t="n">
        <v>19.3</v>
      </c>
      <c r="H374" t="n">
        <v>0</v>
      </c>
      <c r="I374" t="n">
        <v>0</v>
      </c>
      <c r="J374" t="n">
        <v>0</v>
      </c>
      <c r="K374" t="n">
        <v>0</v>
      </c>
      <c r="L374" t="n">
        <v>0</v>
      </c>
      <c r="M374" t="n">
        <v>0</v>
      </c>
      <c r="N374" t="n">
        <v>0</v>
      </c>
      <c r="O374" t="n">
        <v>0</v>
      </c>
      <c r="P374" t="n">
        <v>0</v>
      </c>
      <c r="Q374" t="n">
        <v>0</v>
      </c>
      <c r="R374" s="2" t="inlineStr"/>
    </row>
    <row r="375" ht="15" customHeight="1">
      <c r="A375" t="inlineStr">
        <is>
          <t>A 58232-2021</t>
        </is>
      </c>
      <c r="B375" s="1" t="n">
        <v>44487</v>
      </c>
      <c r="C375" s="1" t="n">
        <v>45472</v>
      </c>
      <c r="D375" t="inlineStr">
        <is>
          <t>JÄMTLANDS LÄN</t>
        </is>
      </c>
      <c r="E375" t="inlineStr">
        <is>
          <t>ÅRE</t>
        </is>
      </c>
      <c r="G375" t="n">
        <v>43.7</v>
      </c>
      <c r="H375" t="n">
        <v>0</v>
      </c>
      <c r="I375" t="n">
        <v>0</v>
      </c>
      <c r="J375" t="n">
        <v>0</v>
      </c>
      <c r="K375" t="n">
        <v>0</v>
      </c>
      <c r="L375" t="n">
        <v>0</v>
      </c>
      <c r="M375" t="n">
        <v>0</v>
      </c>
      <c r="N375" t="n">
        <v>0</v>
      </c>
      <c r="O375" t="n">
        <v>0</v>
      </c>
      <c r="P375" t="n">
        <v>0</v>
      </c>
      <c r="Q375" t="n">
        <v>0</v>
      </c>
      <c r="R375" s="2" t="inlineStr"/>
    </row>
    <row r="376" ht="15" customHeight="1">
      <c r="A376" t="inlineStr">
        <is>
          <t>A 58228-2021</t>
        </is>
      </c>
      <c r="B376" s="1" t="n">
        <v>44487</v>
      </c>
      <c r="C376" s="1" t="n">
        <v>45472</v>
      </c>
      <c r="D376" t="inlineStr">
        <is>
          <t>JÄMTLANDS LÄN</t>
        </is>
      </c>
      <c r="E376" t="inlineStr">
        <is>
          <t>ÅRE</t>
        </is>
      </c>
      <c r="G376" t="n">
        <v>46.2</v>
      </c>
      <c r="H376" t="n">
        <v>0</v>
      </c>
      <c r="I376" t="n">
        <v>0</v>
      </c>
      <c r="J376" t="n">
        <v>0</v>
      </c>
      <c r="K376" t="n">
        <v>0</v>
      </c>
      <c r="L376" t="n">
        <v>0</v>
      </c>
      <c r="M376" t="n">
        <v>0</v>
      </c>
      <c r="N376" t="n">
        <v>0</v>
      </c>
      <c r="O376" t="n">
        <v>0</v>
      </c>
      <c r="P376" t="n">
        <v>0</v>
      </c>
      <c r="Q376" t="n">
        <v>0</v>
      </c>
      <c r="R376" s="2" t="inlineStr"/>
    </row>
    <row r="377" ht="15" customHeight="1">
      <c r="A377" t="inlineStr">
        <is>
          <t>A 58940-2021</t>
        </is>
      </c>
      <c r="B377" s="1" t="n">
        <v>44489</v>
      </c>
      <c r="C377" s="1" t="n">
        <v>45472</v>
      </c>
      <c r="D377" t="inlineStr">
        <is>
          <t>JÄMTLANDS LÄN</t>
        </is>
      </c>
      <c r="E377" t="inlineStr">
        <is>
          <t>ÅRE</t>
        </is>
      </c>
      <c r="G377" t="n">
        <v>5.8</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45472</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59397-2021</t>
        </is>
      </c>
      <c r="B379" s="1" t="n">
        <v>44491</v>
      </c>
      <c r="C379" s="1" t="n">
        <v>45472</v>
      </c>
      <c r="D379" t="inlineStr">
        <is>
          <t>JÄMTLANDS LÄN</t>
        </is>
      </c>
      <c r="E379" t="inlineStr">
        <is>
          <t>ÅRE</t>
        </is>
      </c>
      <c r="F379" t="inlineStr">
        <is>
          <t>Övriga Aktiebolag</t>
        </is>
      </c>
      <c r="G379" t="n">
        <v>7.6</v>
      </c>
      <c r="H379" t="n">
        <v>0</v>
      </c>
      <c r="I379" t="n">
        <v>0</v>
      </c>
      <c r="J379" t="n">
        <v>0</v>
      </c>
      <c r="K379" t="n">
        <v>0</v>
      </c>
      <c r="L379" t="n">
        <v>0</v>
      </c>
      <c r="M379" t="n">
        <v>0</v>
      </c>
      <c r="N379" t="n">
        <v>0</v>
      </c>
      <c r="O379" t="n">
        <v>0</v>
      </c>
      <c r="P379" t="n">
        <v>0</v>
      </c>
      <c r="Q379" t="n">
        <v>0</v>
      </c>
      <c r="R379" s="2" t="inlineStr"/>
    </row>
    <row r="380" ht="15" customHeight="1">
      <c r="A380" t="inlineStr">
        <is>
          <t>A 60132-2021</t>
        </is>
      </c>
      <c r="B380" s="1" t="n">
        <v>44495</v>
      </c>
      <c r="C380" s="1" t="n">
        <v>45472</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45472</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61566-2021</t>
        </is>
      </c>
      <c r="B382" s="1" t="n">
        <v>44496</v>
      </c>
      <c r="C382" s="1" t="n">
        <v>45472</v>
      </c>
      <c r="D382" t="inlineStr">
        <is>
          <t>JÄMTLANDS LÄN</t>
        </is>
      </c>
      <c r="E382" t="inlineStr">
        <is>
          <t>ÅRE</t>
        </is>
      </c>
      <c r="F382" t="inlineStr">
        <is>
          <t>Övriga statliga verk och myndigheter</t>
        </is>
      </c>
      <c r="G382" t="n">
        <v>10.9</v>
      </c>
      <c r="H382" t="n">
        <v>0</v>
      </c>
      <c r="I382" t="n">
        <v>0</v>
      </c>
      <c r="J382" t="n">
        <v>0</v>
      </c>
      <c r="K382" t="n">
        <v>0</v>
      </c>
      <c r="L382" t="n">
        <v>0</v>
      </c>
      <c r="M382" t="n">
        <v>0</v>
      </c>
      <c r="N382" t="n">
        <v>0</v>
      </c>
      <c r="O382" t="n">
        <v>0</v>
      </c>
      <c r="P382" t="n">
        <v>0</v>
      </c>
      <c r="Q382" t="n">
        <v>0</v>
      </c>
      <c r="R382" s="2" t="inlineStr"/>
    </row>
    <row r="383" ht="15" customHeight="1">
      <c r="A383" t="inlineStr">
        <is>
          <t>A 61524-2021</t>
        </is>
      </c>
      <c r="B383" s="1" t="n">
        <v>44496</v>
      </c>
      <c r="C383" s="1" t="n">
        <v>45472</v>
      </c>
      <c r="D383" t="inlineStr">
        <is>
          <t>JÄMTLANDS LÄN</t>
        </is>
      </c>
      <c r="E383" t="inlineStr">
        <is>
          <t>ÅRE</t>
        </is>
      </c>
      <c r="F383" t="inlineStr">
        <is>
          <t>Övriga statliga verk och myndigheter</t>
        </is>
      </c>
      <c r="G383" t="n">
        <v>15</v>
      </c>
      <c r="H383" t="n">
        <v>0</v>
      </c>
      <c r="I383" t="n">
        <v>0</v>
      </c>
      <c r="J383" t="n">
        <v>0</v>
      </c>
      <c r="K383" t="n">
        <v>0</v>
      </c>
      <c r="L383" t="n">
        <v>0</v>
      </c>
      <c r="M383" t="n">
        <v>0</v>
      </c>
      <c r="N383" t="n">
        <v>0</v>
      </c>
      <c r="O383" t="n">
        <v>0</v>
      </c>
      <c r="P383" t="n">
        <v>0</v>
      </c>
      <c r="Q383" t="n">
        <v>0</v>
      </c>
      <c r="R383" s="2" t="inlineStr"/>
    </row>
    <row r="384" ht="15" customHeight="1">
      <c r="A384" t="inlineStr">
        <is>
          <t>A 61331-2021</t>
        </is>
      </c>
      <c r="B384" s="1" t="n">
        <v>44498</v>
      </c>
      <c r="C384" s="1" t="n">
        <v>45472</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61803-2021</t>
        </is>
      </c>
      <c r="B385" s="1" t="n">
        <v>44498</v>
      </c>
      <c r="C385" s="1" t="n">
        <v>45472</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61806-2021</t>
        </is>
      </c>
      <c r="B386" s="1" t="n">
        <v>44498</v>
      </c>
      <c r="C386" s="1" t="n">
        <v>45472</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45472</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61375-2021</t>
        </is>
      </c>
      <c r="B388" s="1" t="n">
        <v>44499</v>
      </c>
      <c r="C388" s="1" t="n">
        <v>45472</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62183-2021</t>
        </is>
      </c>
      <c r="B389" s="1" t="n">
        <v>44502</v>
      </c>
      <c r="C389" s="1" t="n">
        <v>45472</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62352-2021</t>
        </is>
      </c>
      <c r="B390" s="1" t="n">
        <v>44502</v>
      </c>
      <c r="C390" s="1" t="n">
        <v>45472</v>
      </c>
      <c r="D390" t="inlineStr">
        <is>
          <t>JÄMTLANDS LÄN</t>
        </is>
      </c>
      <c r="E390" t="inlineStr">
        <is>
          <t>ÅRE</t>
        </is>
      </c>
      <c r="F390" t="inlineStr">
        <is>
          <t>Övriga statliga verk och myndigheter</t>
        </is>
      </c>
      <c r="G390" t="n">
        <v>64.90000000000001</v>
      </c>
      <c r="H390" t="n">
        <v>0</v>
      </c>
      <c r="I390" t="n">
        <v>0</v>
      </c>
      <c r="J390" t="n">
        <v>0</v>
      </c>
      <c r="K390" t="n">
        <v>0</v>
      </c>
      <c r="L390" t="n">
        <v>0</v>
      </c>
      <c r="M390" t="n">
        <v>0</v>
      </c>
      <c r="N390" t="n">
        <v>0</v>
      </c>
      <c r="O390" t="n">
        <v>0</v>
      </c>
      <c r="P390" t="n">
        <v>0</v>
      </c>
      <c r="Q390" t="n">
        <v>0</v>
      </c>
      <c r="R390" s="2" t="inlineStr"/>
    </row>
    <row r="391" ht="15" customHeight="1">
      <c r="A391" t="inlineStr">
        <is>
          <t>A 63226-2021</t>
        </is>
      </c>
      <c r="B391" s="1" t="n">
        <v>44504</v>
      </c>
      <c r="C391" s="1" t="n">
        <v>45472</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64196-2021</t>
        </is>
      </c>
      <c r="B392" s="1" t="n">
        <v>44510</v>
      </c>
      <c r="C392" s="1" t="n">
        <v>45472</v>
      </c>
      <c r="D392" t="inlineStr">
        <is>
          <t>JÄMTLANDS LÄN</t>
        </is>
      </c>
      <c r="E392" t="inlineStr">
        <is>
          <t>ÅRE</t>
        </is>
      </c>
      <c r="G392" t="n">
        <v>0.8</v>
      </c>
      <c r="H392" t="n">
        <v>0</v>
      </c>
      <c r="I392" t="n">
        <v>0</v>
      </c>
      <c r="J392" t="n">
        <v>0</v>
      </c>
      <c r="K392" t="n">
        <v>0</v>
      </c>
      <c r="L392" t="n">
        <v>0</v>
      </c>
      <c r="M392" t="n">
        <v>0</v>
      </c>
      <c r="N392" t="n">
        <v>0</v>
      </c>
      <c r="O392" t="n">
        <v>0</v>
      </c>
      <c r="P392" t="n">
        <v>0</v>
      </c>
      <c r="Q392" t="n">
        <v>0</v>
      </c>
      <c r="R392" s="2" t="inlineStr"/>
    </row>
    <row r="393" ht="15" customHeight="1">
      <c r="A393" t="inlineStr">
        <is>
          <t>A 64237-2021</t>
        </is>
      </c>
      <c r="B393" s="1" t="n">
        <v>44510</v>
      </c>
      <c r="C393" s="1" t="n">
        <v>45472</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64219-2021</t>
        </is>
      </c>
      <c r="B394" s="1" t="n">
        <v>44510</v>
      </c>
      <c r="C394" s="1" t="n">
        <v>45472</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64245-2021</t>
        </is>
      </c>
      <c r="B395" s="1" t="n">
        <v>44510</v>
      </c>
      <c r="C395" s="1" t="n">
        <v>45472</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65239-2021</t>
        </is>
      </c>
      <c r="B396" s="1" t="n">
        <v>44515</v>
      </c>
      <c r="C396" s="1" t="n">
        <v>45472</v>
      </c>
      <c r="D396" t="inlineStr">
        <is>
          <t>JÄMTLANDS LÄN</t>
        </is>
      </c>
      <c r="E396" t="inlineStr">
        <is>
          <t>ÅRE</t>
        </is>
      </c>
      <c r="G396" t="n">
        <v>0</v>
      </c>
      <c r="H396" t="n">
        <v>0</v>
      </c>
      <c r="I396" t="n">
        <v>0</v>
      </c>
      <c r="J396" t="n">
        <v>0</v>
      </c>
      <c r="K396" t="n">
        <v>0</v>
      </c>
      <c r="L396" t="n">
        <v>0</v>
      </c>
      <c r="M396" t="n">
        <v>0</v>
      </c>
      <c r="N396" t="n">
        <v>0</v>
      </c>
      <c r="O396" t="n">
        <v>0</v>
      </c>
      <c r="P396" t="n">
        <v>0</v>
      </c>
      <c r="Q396" t="n">
        <v>0</v>
      </c>
      <c r="R396" s="2" t="inlineStr"/>
    </row>
    <row r="397" ht="15" customHeight="1">
      <c r="A397" t="inlineStr">
        <is>
          <t>A 65415-2021</t>
        </is>
      </c>
      <c r="B397" s="1" t="n">
        <v>44515</v>
      </c>
      <c r="C397" s="1" t="n">
        <v>45472</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65782-2021</t>
        </is>
      </c>
      <c r="B398" s="1" t="n">
        <v>44516</v>
      </c>
      <c r="C398" s="1" t="n">
        <v>45472</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65784-2021</t>
        </is>
      </c>
      <c r="B399" s="1" t="n">
        <v>44516</v>
      </c>
      <c r="C399" s="1" t="n">
        <v>45472</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67541-2021</t>
        </is>
      </c>
      <c r="B400" s="1" t="n">
        <v>44524</v>
      </c>
      <c r="C400" s="1" t="n">
        <v>45472</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69170-2021</t>
        </is>
      </c>
      <c r="B401" s="1" t="n">
        <v>44529</v>
      </c>
      <c r="C401" s="1" t="n">
        <v>45472</v>
      </c>
      <c r="D401" t="inlineStr">
        <is>
          <t>JÄMTLANDS LÄN</t>
        </is>
      </c>
      <c r="E401" t="inlineStr">
        <is>
          <t>ÅRE</t>
        </is>
      </c>
      <c r="G401" t="n">
        <v>114.4</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45472</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69592-2021</t>
        </is>
      </c>
      <c r="B403" s="1" t="n">
        <v>44531</v>
      </c>
      <c r="C403" s="1" t="n">
        <v>45472</v>
      </c>
      <c r="D403" t="inlineStr">
        <is>
          <t>JÄMTLANDS LÄN</t>
        </is>
      </c>
      <c r="E403" t="inlineStr">
        <is>
          <t>ÅRE</t>
        </is>
      </c>
      <c r="G403" t="n">
        <v>4.7</v>
      </c>
      <c r="H403" t="n">
        <v>0</v>
      </c>
      <c r="I403" t="n">
        <v>0</v>
      </c>
      <c r="J403" t="n">
        <v>0</v>
      </c>
      <c r="K403" t="n">
        <v>0</v>
      </c>
      <c r="L403" t="n">
        <v>0</v>
      </c>
      <c r="M403" t="n">
        <v>0</v>
      </c>
      <c r="N403" t="n">
        <v>0</v>
      </c>
      <c r="O403" t="n">
        <v>0</v>
      </c>
      <c r="P403" t="n">
        <v>0</v>
      </c>
      <c r="Q403" t="n">
        <v>0</v>
      </c>
      <c r="R403" s="2" t="inlineStr"/>
    </row>
    <row r="404" ht="15" customHeight="1">
      <c r="A404" t="inlineStr">
        <is>
          <t>A 69801-2021</t>
        </is>
      </c>
      <c r="B404" s="1" t="n">
        <v>44532</v>
      </c>
      <c r="C404" s="1" t="n">
        <v>45472</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70523-2021</t>
        </is>
      </c>
      <c r="B405" s="1" t="n">
        <v>44536</v>
      </c>
      <c r="C405" s="1" t="n">
        <v>45472</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70522-2021</t>
        </is>
      </c>
      <c r="B406" s="1" t="n">
        <v>44536</v>
      </c>
      <c r="C406" s="1" t="n">
        <v>45472</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71005-2021</t>
        </is>
      </c>
      <c r="B407" s="1" t="n">
        <v>44538</v>
      </c>
      <c r="C407" s="1" t="n">
        <v>45472</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45472</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71968-2021</t>
        </is>
      </c>
      <c r="B409" s="1" t="n">
        <v>44540</v>
      </c>
      <c r="C409" s="1" t="n">
        <v>45472</v>
      </c>
      <c r="D409" t="inlineStr">
        <is>
          <t>JÄMTLANDS LÄN</t>
        </is>
      </c>
      <c r="E409" t="inlineStr">
        <is>
          <t>ÅRE</t>
        </is>
      </c>
      <c r="G409" t="n">
        <v>7</v>
      </c>
      <c r="H409" t="n">
        <v>0</v>
      </c>
      <c r="I409" t="n">
        <v>0</v>
      </c>
      <c r="J409" t="n">
        <v>0</v>
      </c>
      <c r="K409" t="n">
        <v>0</v>
      </c>
      <c r="L409" t="n">
        <v>0</v>
      </c>
      <c r="M409" t="n">
        <v>0</v>
      </c>
      <c r="N409" t="n">
        <v>0</v>
      </c>
      <c r="O409" t="n">
        <v>0</v>
      </c>
      <c r="P409" t="n">
        <v>0</v>
      </c>
      <c r="Q409" t="n">
        <v>0</v>
      </c>
      <c r="R409" s="2" t="inlineStr"/>
    </row>
    <row r="410" ht="15" customHeight="1">
      <c r="A410" t="inlineStr">
        <is>
          <t>A 71900-2021</t>
        </is>
      </c>
      <c r="B410" s="1" t="n">
        <v>44543</v>
      </c>
      <c r="C410" s="1" t="n">
        <v>45472</v>
      </c>
      <c r="D410" t="inlineStr">
        <is>
          <t>JÄMTLANDS LÄN</t>
        </is>
      </c>
      <c r="E410" t="inlineStr">
        <is>
          <t>ÅRE</t>
        </is>
      </c>
      <c r="G410" t="n">
        <v>7.7</v>
      </c>
      <c r="H410" t="n">
        <v>0</v>
      </c>
      <c r="I410" t="n">
        <v>0</v>
      </c>
      <c r="J410" t="n">
        <v>0</v>
      </c>
      <c r="K410" t="n">
        <v>0</v>
      </c>
      <c r="L410" t="n">
        <v>0</v>
      </c>
      <c r="M410" t="n">
        <v>0</v>
      </c>
      <c r="N410" t="n">
        <v>0</v>
      </c>
      <c r="O410" t="n">
        <v>0</v>
      </c>
      <c r="P410" t="n">
        <v>0</v>
      </c>
      <c r="Q410" t="n">
        <v>0</v>
      </c>
      <c r="R410" s="2" t="inlineStr"/>
    </row>
    <row r="411" ht="15" customHeight="1">
      <c r="A411" t="inlineStr">
        <is>
          <t>A 72214-2021</t>
        </is>
      </c>
      <c r="B411" s="1" t="n">
        <v>44544</v>
      </c>
      <c r="C411" s="1" t="n">
        <v>45472</v>
      </c>
      <c r="D411" t="inlineStr">
        <is>
          <t>JÄMTLANDS LÄN</t>
        </is>
      </c>
      <c r="E411" t="inlineStr">
        <is>
          <t>ÅRE</t>
        </is>
      </c>
      <c r="G411" t="n">
        <v>14.1</v>
      </c>
      <c r="H411" t="n">
        <v>0</v>
      </c>
      <c r="I411" t="n">
        <v>0</v>
      </c>
      <c r="J411" t="n">
        <v>0</v>
      </c>
      <c r="K411" t="n">
        <v>0</v>
      </c>
      <c r="L411" t="n">
        <v>0</v>
      </c>
      <c r="M411" t="n">
        <v>0</v>
      </c>
      <c r="N411" t="n">
        <v>0</v>
      </c>
      <c r="O411" t="n">
        <v>0</v>
      </c>
      <c r="P411" t="n">
        <v>0</v>
      </c>
      <c r="Q411" t="n">
        <v>0</v>
      </c>
      <c r="R411" s="2" t="inlineStr"/>
    </row>
    <row r="412" ht="15" customHeight="1">
      <c r="A412" t="inlineStr">
        <is>
          <t>A 72215-2021</t>
        </is>
      </c>
      <c r="B412" s="1" t="n">
        <v>44544</v>
      </c>
      <c r="C412" s="1" t="n">
        <v>45472</v>
      </c>
      <c r="D412" t="inlineStr">
        <is>
          <t>JÄMTLANDS LÄN</t>
        </is>
      </c>
      <c r="E412" t="inlineStr">
        <is>
          <t>ÅRE</t>
        </is>
      </c>
      <c r="G412" t="n">
        <v>3.9</v>
      </c>
      <c r="H412" t="n">
        <v>0</v>
      </c>
      <c r="I412" t="n">
        <v>0</v>
      </c>
      <c r="J412" t="n">
        <v>0</v>
      </c>
      <c r="K412" t="n">
        <v>0</v>
      </c>
      <c r="L412" t="n">
        <v>0</v>
      </c>
      <c r="M412" t="n">
        <v>0</v>
      </c>
      <c r="N412" t="n">
        <v>0</v>
      </c>
      <c r="O412" t="n">
        <v>0</v>
      </c>
      <c r="P412" t="n">
        <v>0</v>
      </c>
      <c r="Q412" t="n">
        <v>0</v>
      </c>
      <c r="R412" s="2" t="inlineStr"/>
    </row>
    <row r="413" ht="15" customHeight="1">
      <c r="A413" t="inlineStr">
        <is>
          <t>A 73086-2021</t>
        </is>
      </c>
      <c r="B413" s="1" t="n">
        <v>44550</v>
      </c>
      <c r="C413" s="1" t="n">
        <v>45472</v>
      </c>
      <c r="D413" t="inlineStr">
        <is>
          <t>JÄMTLANDS LÄN</t>
        </is>
      </c>
      <c r="E413" t="inlineStr">
        <is>
          <t>ÅRE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73738-2021</t>
        </is>
      </c>
      <c r="B414" s="1" t="n">
        <v>44551</v>
      </c>
      <c r="C414" s="1" t="n">
        <v>45472</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73629-2021</t>
        </is>
      </c>
      <c r="B415" s="1" t="n">
        <v>44552</v>
      </c>
      <c r="C415" s="1" t="n">
        <v>45472</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73800-2021</t>
        </is>
      </c>
      <c r="B416" s="1" t="n">
        <v>44552</v>
      </c>
      <c r="C416" s="1" t="n">
        <v>45472</v>
      </c>
      <c r="D416" t="inlineStr">
        <is>
          <t>JÄMTLANDS LÄN</t>
        </is>
      </c>
      <c r="E416" t="inlineStr">
        <is>
          <t>ÅRE</t>
        </is>
      </c>
      <c r="G416" t="n">
        <v>8.6</v>
      </c>
      <c r="H416" t="n">
        <v>0</v>
      </c>
      <c r="I416" t="n">
        <v>0</v>
      </c>
      <c r="J416" t="n">
        <v>0</v>
      </c>
      <c r="K416" t="n">
        <v>0</v>
      </c>
      <c r="L416" t="n">
        <v>0</v>
      </c>
      <c r="M416" t="n">
        <v>0</v>
      </c>
      <c r="N416" t="n">
        <v>0</v>
      </c>
      <c r="O416" t="n">
        <v>0</v>
      </c>
      <c r="P416" t="n">
        <v>0</v>
      </c>
      <c r="Q416" t="n">
        <v>0</v>
      </c>
      <c r="R416" s="2" t="inlineStr"/>
    </row>
    <row r="417" ht="15" customHeight="1">
      <c r="A417" t="inlineStr">
        <is>
          <t>A 73798-2021</t>
        </is>
      </c>
      <c r="B417" s="1" t="n">
        <v>44552</v>
      </c>
      <c r="C417" s="1" t="n">
        <v>45472</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74046-2021</t>
        </is>
      </c>
      <c r="B418" s="1" t="n">
        <v>44553</v>
      </c>
      <c r="C418" s="1" t="n">
        <v>45472</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45472</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2230-2022</t>
        </is>
      </c>
      <c r="B420" s="1" t="n">
        <v>44578</v>
      </c>
      <c r="C420" s="1" t="n">
        <v>45472</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2571-2022</t>
        </is>
      </c>
      <c r="B421" s="1" t="n">
        <v>44580</v>
      </c>
      <c r="C421" s="1" t="n">
        <v>45472</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5250-2022</t>
        </is>
      </c>
      <c r="B422" s="1" t="n">
        <v>44594</v>
      </c>
      <c r="C422" s="1" t="n">
        <v>45472</v>
      </c>
      <c r="D422" t="inlineStr">
        <is>
          <t>JÄMTLANDS LÄN</t>
        </is>
      </c>
      <c r="E422" t="inlineStr">
        <is>
          <t>ÅRE</t>
        </is>
      </c>
      <c r="G422" t="n">
        <v>2.1</v>
      </c>
      <c r="H422" t="n">
        <v>0</v>
      </c>
      <c r="I422" t="n">
        <v>0</v>
      </c>
      <c r="J422" t="n">
        <v>0</v>
      </c>
      <c r="K422" t="n">
        <v>0</v>
      </c>
      <c r="L422" t="n">
        <v>0</v>
      </c>
      <c r="M422" t="n">
        <v>0</v>
      </c>
      <c r="N422" t="n">
        <v>0</v>
      </c>
      <c r="O422" t="n">
        <v>0</v>
      </c>
      <c r="P422" t="n">
        <v>0</v>
      </c>
      <c r="Q422" t="n">
        <v>0</v>
      </c>
      <c r="R422" s="2" t="inlineStr"/>
    </row>
    <row r="423" ht="15" customHeight="1">
      <c r="A423" t="inlineStr">
        <is>
          <t>A 5923-2022</t>
        </is>
      </c>
      <c r="B423" s="1" t="n">
        <v>44598</v>
      </c>
      <c r="C423" s="1" t="n">
        <v>45472</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11112-2022</t>
        </is>
      </c>
      <c r="B424" s="1" t="n">
        <v>44628</v>
      </c>
      <c r="C424" s="1" t="n">
        <v>45472</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11500-2022</t>
        </is>
      </c>
      <c r="B425" s="1" t="n">
        <v>44631</v>
      </c>
      <c r="C425" s="1" t="n">
        <v>45472</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45472</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13221-2022</t>
        </is>
      </c>
      <c r="B427" s="1" t="n">
        <v>44644</v>
      </c>
      <c r="C427" s="1" t="n">
        <v>45472</v>
      </c>
      <c r="D427" t="inlineStr">
        <is>
          <t>JÄMTLANDS LÄN</t>
        </is>
      </c>
      <c r="E427" t="inlineStr">
        <is>
          <t>ÅRE</t>
        </is>
      </c>
      <c r="F427" t="inlineStr">
        <is>
          <t>Övriga Aktiebolag</t>
        </is>
      </c>
      <c r="G427" t="n">
        <v>13.7</v>
      </c>
      <c r="H427" t="n">
        <v>0</v>
      </c>
      <c r="I427" t="n">
        <v>0</v>
      </c>
      <c r="J427" t="n">
        <v>0</v>
      </c>
      <c r="K427" t="n">
        <v>0</v>
      </c>
      <c r="L427" t="n">
        <v>0</v>
      </c>
      <c r="M427" t="n">
        <v>0</v>
      </c>
      <c r="N427" t="n">
        <v>0</v>
      </c>
      <c r="O427" t="n">
        <v>0</v>
      </c>
      <c r="P427" t="n">
        <v>0</v>
      </c>
      <c r="Q427" t="n">
        <v>0</v>
      </c>
      <c r="R427" s="2" t="inlineStr"/>
    </row>
    <row r="428" ht="15" customHeight="1">
      <c r="A428" t="inlineStr">
        <is>
          <t>A 13324-2022</t>
        </is>
      </c>
      <c r="B428" s="1" t="n">
        <v>44645</v>
      </c>
      <c r="C428" s="1" t="n">
        <v>45472</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18443-2022</t>
        </is>
      </c>
      <c r="B429" s="1" t="n">
        <v>44686</v>
      </c>
      <c r="C429" s="1" t="n">
        <v>45472</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45472</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20827-2022</t>
        </is>
      </c>
      <c r="B431" s="1" t="n">
        <v>44700</v>
      </c>
      <c r="C431" s="1" t="n">
        <v>45472</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20816-2022</t>
        </is>
      </c>
      <c r="B432" s="1" t="n">
        <v>44700</v>
      </c>
      <c r="C432" s="1" t="n">
        <v>45472</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21464-2022</t>
        </is>
      </c>
      <c r="B433" s="1" t="n">
        <v>44706</v>
      </c>
      <c r="C433" s="1" t="n">
        <v>45472</v>
      </c>
      <c r="D433" t="inlineStr">
        <is>
          <t>JÄMTLANDS LÄN</t>
        </is>
      </c>
      <c r="E433" t="inlineStr">
        <is>
          <t>ÅRE</t>
        </is>
      </c>
      <c r="G433" t="n">
        <v>10.9</v>
      </c>
      <c r="H433" t="n">
        <v>0</v>
      </c>
      <c r="I433" t="n">
        <v>0</v>
      </c>
      <c r="J433" t="n">
        <v>0</v>
      </c>
      <c r="K433" t="n">
        <v>0</v>
      </c>
      <c r="L433" t="n">
        <v>0</v>
      </c>
      <c r="M433" t="n">
        <v>0</v>
      </c>
      <c r="N433" t="n">
        <v>0</v>
      </c>
      <c r="O433" t="n">
        <v>0</v>
      </c>
      <c r="P433" t="n">
        <v>0</v>
      </c>
      <c r="Q433" t="n">
        <v>0</v>
      </c>
      <c r="R433" s="2" t="inlineStr"/>
    </row>
    <row r="434" ht="15" customHeight="1">
      <c r="A434" t="inlineStr">
        <is>
          <t>A 22473-2022</t>
        </is>
      </c>
      <c r="B434" s="1" t="n">
        <v>44713</v>
      </c>
      <c r="C434" s="1" t="n">
        <v>45472</v>
      </c>
      <c r="D434" t="inlineStr">
        <is>
          <t>JÄMTLANDS LÄN</t>
        </is>
      </c>
      <c r="E434" t="inlineStr">
        <is>
          <t>ÅRE</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23117-2022</t>
        </is>
      </c>
      <c r="B435" s="1" t="n">
        <v>44719</v>
      </c>
      <c r="C435" s="1" t="n">
        <v>45472</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23118-2022</t>
        </is>
      </c>
      <c r="B436" s="1" t="n">
        <v>44719</v>
      </c>
      <c r="C436" s="1" t="n">
        <v>45472</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24539-2022</t>
        </is>
      </c>
      <c r="B437" s="1" t="n">
        <v>44727</v>
      </c>
      <c r="C437" s="1" t="n">
        <v>45472</v>
      </c>
      <c r="D437" t="inlineStr">
        <is>
          <t>JÄMTLANDS LÄN</t>
        </is>
      </c>
      <c r="E437" t="inlineStr">
        <is>
          <t>ÅRE</t>
        </is>
      </c>
      <c r="G437" t="n">
        <v>0.3</v>
      </c>
      <c r="H437" t="n">
        <v>0</v>
      </c>
      <c r="I437" t="n">
        <v>0</v>
      </c>
      <c r="J437" t="n">
        <v>0</v>
      </c>
      <c r="K437" t="n">
        <v>0</v>
      </c>
      <c r="L437" t="n">
        <v>0</v>
      </c>
      <c r="M437" t="n">
        <v>0</v>
      </c>
      <c r="N437" t="n">
        <v>0</v>
      </c>
      <c r="O437" t="n">
        <v>0</v>
      </c>
      <c r="P437" t="n">
        <v>0</v>
      </c>
      <c r="Q437" t="n">
        <v>0</v>
      </c>
      <c r="R437" s="2" t="inlineStr"/>
    </row>
    <row r="438" ht="15" customHeight="1">
      <c r="A438" t="inlineStr">
        <is>
          <t>A 25122-2022</t>
        </is>
      </c>
      <c r="B438" s="1" t="n">
        <v>44729</v>
      </c>
      <c r="C438" s="1" t="n">
        <v>45472</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25248-2022</t>
        </is>
      </c>
      <c r="B439" s="1" t="n">
        <v>44729</v>
      </c>
      <c r="C439" s="1" t="n">
        <v>45472</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26533-2022</t>
        </is>
      </c>
      <c r="B440" s="1" t="n">
        <v>44739</v>
      </c>
      <c r="C440" s="1" t="n">
        <v>45472</v>
      </c>
      <c r="D440" t="inlineStr">
        <is>
          <t>JÄMTLANDS LÄN</t>
        </is>
      </c>
      <c r="E440" t="inlineStr">
        <is>
          <t>ÅRE</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26546-2022</t>
        </is>
      </c>
      <c r="B441" s="1" t="n">
        <v>44739</v>
      </c>
      <c r="C441" s="1" t="n">
        <v>45472</v>
      </c>
      <c r="D441" t="inlineStr">
        <is>
          <t>JÄMTLANDS LÄN</t>
        </is>
      </c>
      <c r="E441" t="inlineStr">
        <is>
          <t>ÅRE</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27805-2022</t>
        </is>
      </c>
      <c r="B442" s="1" t="n">
        <v>44743</v>
      </c>
      <c r="C442" s="1" t="n">
        <v>45472</v>
      </c>
      <c r="D442" t="inlineStr">
        <is>
          <t>JÄMTLANDS LÄN</t>
        </is>
      </c>
      <c r="E442" t="inlineStr">
        <is>
          <t>ÅRE</t>
        </is>
      </c>
      <c r="G442" t="n">
        <v>106.2</v>
      </c>
      <c r="H442" t="n">
        <v>0</v>
      </c>
      <c r="I442" t="n">
        <v>0</v>
      </c>
      <c r="J442" t="n">
        <v>0</v>
      </c>
      <c r="K442" t="n">
        <v>0</v>
      </c>
      <c r="L442" t="n">
        <v>0</v>
      </c>
      <c r="M442" t="n">
        <v>0</v>
      </c>
      <c r="N442" t="n">
        <v>0</v>
      </c>
      <c r="O442" t="n">
        <v>0</v>
      </c>
      <c r="P442" t="n">
        <v>0</v>
      </c>
      <c r="Q442" t="n">
        <v>0</v>
      </c>
      <c r="R442" s="2" t="inlineStr"/>
    </row>
    <row r="443" ht="15" customHeight="1">
      <c r="A443" t="inlineStr">
        <is>
          <t>A 29385-2022</t>
        </is>
      </c>
      <c r="B443" s="1" t="n">
        <v>44753</v>
      </c>
      <c r="C443" s="1" t="n">
        <v>45472</v>
      </c>
      <c r="D443" t="inlineStr">
        <is>
          <t>JÄMTLANDS LÄN</t>
        </is>
      </c>
      <c r="E443" t="inlineStr">
        <is>
          <t>ÅRE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29383-2022</t>
        </is>
      </c>
      <c r="B444" s="1" t="n">
        <v>44753</v>
      </c>
      <c r="C444" s="1" t="n">
        <v>45472</v>
      </c>
      <c r="D444" t="inlineStr">
        <is>
          <t>JÄMTLANDS LÄN</t>
        </is>
      </c>
      <c r="E444" t="inlineStr">
        <is>
          <t>ÅRE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31776-2022</t>
        </is>
      </c>
      <c r="B445" s="1" t="n">
        <v>44776</v>
      </c>
      <c r="C445" s="1" t="n">
        <v>45472</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32212-2022</t>
        </is>
      </c>
      <c r="B446" s="1" t="n">
        <v>44781</v>
      </c>
      <c r="C446" s="1" t="n">
        <v>45472</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32210-2022</t>
        </is>
      </c>
      <c r="B447" s="1" t="n">
        <v>44781</v>
      </c>
      <c r="C447" s="1" t="n">
        <v>45472</v>
      </c>
      <c r="D447" t="inlineStr">
        <is>
          <t>JÄMTLANDS LÄN</t>
        </is>
      </c>
      <c r="E447" t="inlineStr">
        <is>
          <t>ÅRE</t>
        </is>
      </c>
      <c r="G447" t="n">
        <v>17.3</v>
      </c>
      <c r="H447" t="n">
        <v>0</v>
      </c>
      <c r="I447" t="n">
        <v>0</v>
      </c>
      <c r="J447" t="n">
        <v>0</v>
      </c>
      <c r="K447" t="n">
        <v>0</v>
      </c>
      <c r="L447" t="n">
        <v>0</v>
      </c>
      <c r="M447" t="n">
        <v>0</v>
      </c>
      <c r="N447" t="n">
        <v>0</v>
      </c>
      <c r="O447" t="n">
        <v>0</v>
      </c>
      <c r="P447" t="n">
        <v>0</v>
      </c>
      <c r="Q447" t="n">
        <v>0</v>
      </c>
      <c r="R447" s="2" t="inlineStr"/>
    </row>
    <row r="448" ht="15" customHeight="1">
      <c r="A448" t="inlineStr">
        <is>
          <t>A 32758-2022</t>
        </is>
      </c>
      <c r="B448" s="1" t="n">
        <v>44783</v>
      </c>
      <c r="C448" s="1" t="n">
        <v>45472</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33023-2022</t>
        </is>
      </c>
      <c r="B449" s="1" t="n">
        <v>44784</v>
      </c>
      <c r="C449" s="1" t="n">
        <v>45472</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33003-2022</t>
        </is>
      </c>
      <c r="B450" s="1" t="n">
        <v>44784</v>
      </c>
      <c r="C450" s="1" t="n">
        <v>45472</v>
      </c>
      <c r="D450" t="inlineStr">
        <is>
          <t>JÄMTLANDS LÄN</t>
        </is>
      </c>
      <c r="E450" t="inlineStr">
        <is>
          <t>ÅRE</t>
        </is>
      </c>
      <c r="G450" t="n">
        <v>6.1</v>
      </c>
      <c r="H450" t="n">
        <v>0</v>
      </c>
      <c r="I450" t="n">
        <v>0</v>
      </c>
      <c r="J450" t="n">
        <v>0</v>
      </c>
      <c r="K450" t="n">
        <v>0</v>
      </c>
      <c r="L450" t="n">
        <v>0</v>
      </c>
      <c r="M450" t="n">
        <v>0</v>
      </c>
      <c r="N450" t="n">
        <v>0</v>
      </c>
      <c r="O450" t="n">
        <v>0</v>
      </c>
      <c r="P450" t="n">
        <v>0</v>
      </c>
      <c r="Q450" t="n">
        <v>0</v>
      </c>
      <c r="R450" s="2" t="inlineStr"/>
    </row>
    <row r="451" ht="15" customHeight="1">
      <c r="A451" t="inlineStr">
        <is>
          <t>A 33015-2022</t>
        </is>
      </c>
      <c r="B451" s="1" t="n">
        <v>44784</v>
      </c>
      <c r="C451" s="1" t="n">
        <v>45472</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33479-2022</t>
        </is>
      </c>
      <c r="B452" s="1" t="n">
        <v>44788</v>
      </c>
      <c r="C452" s="1" t="n">
        <v>45472</v>
      </c>
      <c r="D452" t="inlineStr">
        <is>
          <t>JÄMTLANDS LÄN</t>
        </is>
      </c>
      <c r="E452" t="inlineStr">
        <is>
          <t>ÅRE</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33480-2022</t>
        </is>
      </c>
      <c r="B453" s="1" t="n">
        <v>44788</v>
      </c>
      <c r="C453" s="1" t="n">
        <v>45472</v>
      </c>
      <c r="D453" t="inlineStr">
        <is>
          <t>JÄMTLANDS LÄN</t>
        </is>
      </c>
      <c r="E453" t="inlineStr">
        <is>
          <t>ÅRE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33625-2022</t>
        </is>
      </c>
      <c r="B454" s="1" t="n">
        <v>44789</v>
      </c>
      <c r="C454" s="1" t="n">
        <v>45472</v>
      </c>
      <c r="D454" t="inlineStr">
        <is>
          <t>JÄMTLANDS LÄN</t>
        </is>
      </c>
      <c r="E454" t="inlineStr">
        <is>
          <t>ÅRE</t>
        </is>
      </c>
      <c r="G454" t="n">
        <v>20.7</v>
      </c>
      <c r="H454" t="n">
        <v>0</v>
      </c>
      <c r="I454" t="n">
        <v>0</v>
      </c>
      <c r="J454" t="n">
        <v>0</v>
      </c>
      <c r="K454" t="n">
        <v>0</v>
      </c>
      <c r="L454" t="n">
        <v>0</v>
      </c>
      <c r="M454" t="n">
        <v>0</v>
      </c>
      <c r="N454" t="n">
        <v>0</v>
      </c>
      <c r="O454" t="n">
        <v>0</v>
      </c>
      <c r="P454" t="n">
        <v>0</v>
      </c>
      <c r="Q454" t="n">
        <v>0</v>
      </c>
      <c r="R454" s="2" t="inlineStr"/>
    </row>
    <row r="455" ht="15" customHeight="1">
      <c r="A455" t="inlineStr">
        <is>
          <t>A 33565-2022</t>
        </is>
      </c>
      <c r="B455" s="1" t="n">
        <v>44789</v>
      </c>
      <c r="C455" s="1" t="n">
        <v>45472</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34033-2022</t>
        </is>
      </c>
      <c r="B456" s="1" t="n">
        <v>44790</v>
      </c>
      <c r="C456" s="1" t="n">
        <v>45472</v>
      </c>
      <c r="D456" t="inlineStr">
        <is>
          <t>JÄMTLANDS LÄN</t>
        </is>
      </c>
      <c r="E456" t="inlineStr">
        <is>
          <t>ÅRE</t>
        </is>
      </c>
      <c r="G456" t="n">
        <v>3.5</v>
      </c>
      <c r="H456" t="n">
        <v>0</v>
      </c>
      <c r="I456" t="n">
        <v>0</v>
      </c>
      <c r="J456" t="n">
        <v>0</v>
      </c>
      <c r="K456" t="n">
        <v>0</v>
      </c>
      <c r="L456" t="n">
        <v>0</v>
      </c>
      <c r="M456" t="n">
        <v>0</v>
      </c>
      <c r="N456" t="n">
        <v>0</v>
      </c>
      <c r="O456" t="n">
        <v>0</v>
      </c>
      <c r="P456" t="n">
        <v>0</v>
      </c>
      <c r="Q456" t="n">
        <v>0</v>
      </c>
      <c r="R456" s="2" t="inlineStr"/>
    </row>
    <row r="457" ht="15" customHeight="1">
      <c r="A457" t="inlineStr">
        <is>
          <t>A 34916-2022</t>
        </is>
      </c>
      <c r="B457" s="1" t="n">
        <v>44796</v>
      </c>
      <c r="C457" s="1" t="n">
        <v>45472</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36219-2022</t>
        </is>
      </c>
      <c r="B458" s="1" t="n">
        <v>44803</v>
      </c>
      <c r="C458" s="1" t="n">
        <v>45472</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37645-2022</t>
        </is>
      </c>
      <c r="B459" s="1" t="n">
        <v>44810</v>
      </c>
      <c r="C459" s="1" t="n">
        <v>45472</v>
      </c>
      <c r="D459" t="inlineStr">
        <is>
          <t>JÄMTLANDS LÄN</t>
        </is>
      </c>
      <c r="E459" t="inlineStr">
        <is>
          <t>ÅRE</t>
        </is>
      </c>
      <c r="G459" t="n">
        <v>5.3</v>
      </c>
      <c r="H459" t="n">
        <v>0</v>
      </c>
      <c r="I459" t="n">
        <v>0</v>
      </c>
      <c r="J459" t="n">
        <v>0</v>
      </c>
      <c r="K459" t="n">
        <v>0</v>
      </c>
      <c r="L459" t="n">
        <v>0</v>
      </c>
      <c r="M459" t="n">
        <v>0</v>
      </c>
      <c r="N459" t="n">
        <v>0</v>
      </c>
      <c r="O459" t="n">
        <v>0</v>
      </c>
      <c r="P459" t="n">
        <v>0</v>
      </c>
      <c r="Q459" t="n">
        <v>0</v>
      </c>
      <c r="R459" s="2" t="inlineStr"/>
    </row>
    <row r="460" ht="15" customHeight="1">
      <c r="A460" t="inlineStr">
        <is>
          <t>A 38265-2022</t>
        </is>
      </c>
      <c r="B460" s="1" t="n">
        <v>44812</v>
      </c>
      <c r="C460" s="1" t="n">
        <v>45472</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40159-2022</t>
        </is>
      </c>
      <c r="B461" s="1" t="n">
        <v>44818</v>
      </c>
      <c r="C461" s="1" t="n">
        <v>45472</v>
      </c>
      <c r="D461" t="inlineStr">
        <is>
          <t>JÄMTLANDS LÄN</t>
        </is>
      </c>
      <c r="E461" t="inlineStr">
        <is>
          <t>ÅRE</t>
        </is>
      </c>
      <c r="G461" t="n">
        <v>1.9</v>
      </c>
      <c r="H461" t="n">
        <v>0</v>
      </c>
      <c r="I461" t="n">
        <v>0</v>
      </c>
      <c r="J461" t="n">
        <v>0</v>
      </c>
      <c r="K461" t="n">
        <v>0</v>
      </c>
      <c r="L461" t="n">
        <v>0</v>
      </c>
      <c r="M461" t="n">
        <v>0</v>
      </c>
      <c r="N461" t="n">
        <v>0</v>
      </c>
      <c r="O461" t="n">
        <v>0</v>
      </c>
      <c r="P461" t="n">
        <v>0</v>
      </c>
      <c r="Q461" t="n">
        <v>0</v>
      </c>
      <c r="R461" s="2" t="inlineStr"/>
    </row>
    <row r="462" ht="15" customHeight="1">
      <c r="A462" t="inlineStr">
        <is>
          <t>A 40653-2022</t>
        </is>
      </c>
      <c r="B462" s="1" t="n">
        <v>44818</v>
      </c>
      <c r="C462" s="1" t="n">
        <v>45472</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39713-2022</t>
        </is>
      </c>
      <c r="B463" s="1" t="n">
        <v>44819</v>
      </c>
      <c r="C463" s="1" t="n">
        <v>45472</v>
      </c>
      <c r="D463" t="inlineStr">
        <is>
          <t>JÄMTLANDS LÄN</t>
        </is>
      </c>
      <c r="E463" t="inlineStr">
        <is>
          <t>ÅRE</t>
        </is>
      </c>
      <c r="G463" t="n">
        <v>10.4</v>
      </c>
      <c r="H463" t="n">
        <v>0</v>
      </c>
      <c r="I463" t="n">
        <v>0</v>
      </c>
      <c r="J463" t="n">
        <v>0</v>
      </c>
      <c r="K463" t="n">
        <v>0</v>
      </c>
      <c r="L463" t="n">
        <v>0</v>
      </c>
      <c r="M463" t="n">
        <v>0</v>
      </c>
      <c r="N463" t="n">
        <v>0</v>
      </c>
      <c r="O463" t="n">
        <v>0</v>
      </c>
      <c r="P463" t="n">
        <v>0</v>
      </c>
      <c r="Q463" t="n">
        <v>0</v>
      </c>
      <c r="R463" s="2" t="inlineStr"/>
    </row>
    <row r="464" ht="15" customHeight="1">
      <c r="A464" t="inlineStr">
        <is>
          <t>A 41015-2022</t>
        </is>
      </c>
      <c r="B464" s="1" t="n">
        <v>44820</v>
      </c>
      <c r="C464" s="1" t="n">
        <v>45472</v>
      </c>
      <c r="D464" t="inlineStr">
        <is>
          <t>JÄMTLANDS LÄN</t>
        </is>
      </c>
      <c r="E464" t="inlineStr">
        <is>
          <t>ÅRE</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41162-2022</t>
        </is>
      </c>
      <c r="B465" s="1" t="n">
        <v>44825</v>
      </c>
      <c r="C465" s="1" t="n">
        <v>45472</v>
      </c>
      <c r="D465" t="inlineStr">
        <is>
          <t>JÄMTLANDS LÄN</t>
        </is>
      </c>
      <c r="E465" t="inlineStr">
        <is>
          <t>ÅRE</t>
        </is>
      </c>
      <c r="G465" t="n">
        <v>11.3</v>
      </c>
      <c r="H465" t="n">
        <v>0</v>
      </c>
      <c r="I465" t="n">
        <v>0</v>
      </c>
      <c r="J465" t="n">
        <v>0</v>
      </c>
      <c r="K465" t="n">
        <v>0</v>
      </c>
      <c r="L465" t="n">
        <v>0</v>
      </c>
      <c r="M465" t="n">
        <v>0</v>
      </c>
      <c r="N465" t="n">
        <v>0</v>
      </c>
      <c r="O465" t="n">
        <v>0</v>
      </c>
      <c r="P465" t="n">
        <v>0</v>
      </c>
      <c r="Q465" t="n">
        <v>0</v>
      </c>
      <c r="R465" s="2" t="inlineStr"/>
    </row>
    <row r="466" ht="15" customHeight="1">
      <c r="A466" t="inlineStr">
        <is>
          <t>A 41655-2022</t>
        </is>
      </c>
      <c r="B466" s="1" t="n">
        <v>44827</v>
      </c>
      <c r="C466" s="1" t="n">
        <v>45472</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41654-2022</t>
        </is>
      </c>
      <c r="B467" s="1" t="n">
        <v>44827</v>
      </c>
      <c r="C467" s="1" t="n">
        <v>45472</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41657-2022</t>
        </is>
      </c>
      <c r="B468" s="1" t="n">
        <v>44827</v>
      </c>
      <c r="C468" s="1" t="n">
        <v>45472</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42136-2022</t>
        </is>
      </c>
      <c r="B469" s="1" t="n">
        <v>44830</v>
      </c>
      <c r="C469" s="1" t="n">
        <v>45472</v>
      </c>
      <c r="D469" t="inlineStr">
        <is>
          <t>JÄMTLANDS LÄN</t>
        </is>
      </c>
      <c r="E469" t="inlineStr">
        <is>
          <t>ÅRE</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43180-2022</t>
        </is>
      </c>
      <c r="B470" s="1" t="n">
        <v>44833</v>
      </c>
      <c r="C470" s="1" t="n">
        <v>45472</v>
      </c>
      <c r="D470" t="inlineStr">
        <is>
          <t>JÄMTLANDS LÄN</t>
        </is>
      </c>
      <c r="E470" t="inlineStr">
        <is>
          <t>ÅRE</t>
        </is>
      </c>
      <c r="G470" t="n">
        <v>17.9</v>
      </c>
      <c r="H470" t="n">
        <v>0</v>
      </c>
      <c r="I470" t="n">
        <v>0</v>
      </c>
      <c r="J470" t="n">
        <v>0</v>
      </c>
      <c r="K470" t="n">
        <v>0</v>
      </c>
      <c r="L470" t="n">
        <v>0</v>
      </c>
      <c r="M470" t="n">
        <v>0</v>
      </c>
      <c r="N470" t="n">
        <v>0</v>
      </c>
      <c r="O470" t="n">
        <v>0</v>
      </c>
      <c r="P470" t="n">
        <v>0</v>
      </c>
      <c r="Q470" t="n">
        <v>0</v>
      </c>
      <c r="R470" s="2" t="inlineStr"/>
    </row>
    <row r="471" ht="15" customHeight="1">
      <c r="A471" t="inlineStr">
        <is>
          <t>A 43324-2022</t>
        </is>
      </c>
      <c r="B471" s="1" t="n">
        <v>44834</v>
      </c>
      <c r="C471" s="1" t="n">
        <v>45472</v>
      </c>
      <c r="D471" t="inlineStr">
        <is>
          <t>JÄMTLANDS LÄN</t>
        </is>
      </c>
      <c r="E471" t="inlineStr">
        <is>
          <t>ÅRE</t>
        </is>
      </c>
      <c r="F471" t="inlineStr">
        <is>
          <t>Bergvik skog öst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43583-2022</t>
        </is>
      </c>
      <c r="B472" s="1" t="n">
        <v>44834</v>
      </c>
      <c r="C472" s="1" t="n">
        <v>45472</v>
      </c>
      <c r="D472" t="inlineStr">
        <is>
          <t>JÄMTLANDS LÄN</t>
        </is>
      </c>
      <c r="E472" t="inlineStr">
        <is>
          <t>ÅRE</t>
        </is>
      </c>
      <c r="G472" t="n">
        <v>6.7</v>
      </c>
      <c r="H472" t="n">
        <v>0</v>
      </c>
      <c r="I472" t="n">
        <v>0</v>
      </c>
      <c r="J472" t="n">
        <v>0</v>
      </c>
      <c r="K472" t="n">
        <v>0</v>
      </c>
      <c r="L472" t="n">
        <v>0</v>
      </c>
      <c r="M472" t="n">
        <v>0</v>
      </c>
      <c r="N472" t="n">
        <v>0</v>
      </c>
      <c r="O472" t="n">
        <v>0</v>
      </c>
      <c r="P472" t="n">
        <v>0</v>
      </c>
      <c r="Q472" t="n">
        <v>0</v>
      </c>
      <c r="R472" s="2" t="inlineStr"/>
    </row>
    <row r="473" ht="15" customHeight="1">
      <c r="A473" t="inlineStr">
        <is>
          <t>A 44502-2022</t>
        </is>
      </c>
      <c r="B473" s="1" t="n">
        <v>44840</v>
      </c>
      <c r="C473" s="1" t="n">
        <v>45472</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45461-2022</t>
        </is>
      </c>
      <c r="B474" s="1" t="n">
        <v>44841</v>
      </c>
      <c r="C474" s="1" t="n">
        <v>45472</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45660-2022</t>
        </is>
      </c>
      <c r="B475" s="1" t="n">
        <v>44845</v>
      </c>
      <c r="C475" s="1" t="n">
        <v>45472</v>
      </c>
      <c r="D475" t="inlineStr">
        <is>
          <t>JÄMTLANDS LÄN</t>
        </is>
      </c>
      <c r="E475" t="inlineStr">
        <is>
          <t>ÅRE</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46491-2022</t>
        </is>
      </c>
      <c r="B476" s="1" t="n">
        <v>44848</v>
      </c>
      <c r="C476" s="1" t="n">
        <v>45472</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46497-2022</t>
        </is>
      </c>
      <c r="B477" s="1" t="n">
        <v>44848</v>
      </c>
      <c r="C477" s="1" t="n">
        <v>45472</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46488-2022</t>
        </is>
      </c>
      <c r="B478" s="1" t="n">
        <v>44848</v>
      </c>
      <c r="C478" s="1" t="n">
        <v>45472</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46494-2022</t>
        </is>
      </c>
      <c r="B479" s="1" t="n">
        <v>44848</v>
      </c>
      <c r="C479" s="1" t="n">
        <v>45472</v>
      </c>
      <c r="D479" t="inlineStr">
        <is>
          <t>JÄMTLANDS LÄN</t>
        </is>
      </c>
      <c r="E479" t="inlineStr">
        <is>
          <t>ÅRE</t>
        </is>
      </c>
      <c r="G479" t="n">
        <v>1.5</v>
      </c>
      <c r="H479" t="n">
        <v>0</v>
      </c>
      <c r="I479" t="n">
        <v>0</v>
      </c>
      <c r="J479" t="n">
        <v>0</v>
      </c>
      <c r="K479" t="n">
        <v>0</v>
      </c>
      <c r="L479" t="n">
        <v>0</v>
      </c>
      <c r="M479" t="n">
        <v>0</v>
      </c>
      <c r="N479" t="n">
        <v>0</v>
      </c>
      <c r="O479" t="n">
        <v>0</v>
      </c>
      <c r="P479" t="n">
        <v>0</v>
      </c>
      <c r="Q479" t="n">
        <v>0</v>
      </c>
      <c r="R479" s="2" t="inlineStr"/>
    </row>
    <row r="480" ht="15" customHeight="1">
      <c r="A480" t="inlineStr">
        <is>
          <t>A 46744-2022</t>
        </is>
      </c>
      <c r="B480" s="1" t="n">
        <v>44851</v>
      </c>
      <c r="C480" s="1" t="n">
        <v>45472</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47052-2022</t>
        </is>
      </c>
      <c r="B481" s="1" t="n">
        <v>44851</v>
      </c>
      <c r="C481" s="1" t="n">
        <v>45472</v>
      </c>
      <c r="D481" t="inlineStr">
        <is>
          <t>JÄMTLANDS LÄN</t>
        </is>
      </c>
      <c r="E481" t="inlineStr">
        <is>
          <t>ÅRE</t>
        </is>
      </c>
      <c r="G481" t="n">
        <v>90.8</v>
      </c>
      <c r="H481" t="n">
        <v>0</v>
      </c>
      <c r="I481" t="n">
        <v>0</v>
      </c>
      <c r="J481" t="n">
        <v>0</v>
      </c>
      <c r="K481" t="n">
        <v>0</v>
      </c>
      <c r="L481" t="n">
        <v>0</v>
      </c>
      <c r="M481" t="n">
        <v>0</v>
      </c>
      <c r="N481" t="n">
        <v>0</v>
      </c>
      <c r="O481" t="n">
        <v>0</v>
      </c>
      <c r="P481" t="n">
        <v>0</v>
      </c>
      <c r="Q481" t="n">
        <v>0</v>
      </c>
      <c r="R481" s="2" t="inlineStr"/>
    </row>
    <row r="482" ht="15" customHeight="1">
      <c r="A482" t="inlineStr">
        <is>
          <t>A 47664-2022</t>
        </is>
      </c>
      <c r="B482" s="1" t="n">
        <v>44854</v>
      </c>
      <c r="C482" s="1" t="n">
        <v>45472</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47873-2022</t>
        </is>
      </c>
      <c r="B483" s="1" t="n">
        <v>44855</v>
      </c>
      <c r="C483" s="1" t="n">
        <v>45472</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48898-2022</t>
        </is>
      </c>
      <c r="B484" s="1" t="n">
        <v>44860</v>
      </c>
      <c r="C484" s="1" t="n">
        <v>45472</v>
      </c>
      <c r="D484" t="inlineStr">
        <is>
          <t>JÄMTLANDS LÄN</t>
        </is>
      </c>
      <c r="E484" t="inlineStr">
        <is>
          <t>ÅRE</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49818-2022</t>
        </is>
      </c>
      <c r="B485" s="1" t="n">
        <v>44859</v>
      </c>
      <c r="C485" s="1" t="n">
        <v>45472</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49610-2022</t>
        </is>
      </c>
      <c r="B486" s="1" t="n">
        <v>44859</v>
      </c>
      <c r="C486" s="1" t="n">
        <v>45472</v>
      </c>
      <c r="D486" t="inlineStr">
        <is>
          <t>JÄMTLANDS LÄN</t>
        </is>
      </c>
      <c r="E486" t="inlineStr">
        <is>
          <t>ÅRE</t>
        </is>
      </c>
      <c r="G486" t="n">
        <v>26.2</v>
      </c>
      <c r="H486" t="n">
        <v>0</v>
      </c>
      <c r="I486" t="n">
        <v>0</v>
      </c>
      <c r="J486" t="n">
        <v>0</v>
      </c>
      <c r="K486" t="n">
        <v>0</v>
      </c>
      <c r="L486" t="n">
        <v>0</v>
      </c>
      <c r="M486" t="n">
        <v>0</v>
      </c>
      <c r="N486" t="n">
        <v>0</v>
      </c>
      <c r="O486" t="n">
        <v>0</v>
      </c>
      <c r="P486" t="n">
        <v>0</v>
      </c>
      <c r="Q486" t="n">
        <v>0</v>
      </c>
      <c r="R486" s="2" t="inlineStr"/>
    </row>
    <row r="487" ht="15" customHeight="1">
      <c r="A487" t="inlineStr">
        <is>
          <t>A 50307-2022</t>
        </is>
      </c>
      <c r="B487" s="1" t="n">
        <v>44865</v>
      </c>
      <c r="C487" s="1" t="n">
        <v>45472</v>
      </c>
      <c r="D487" t="inlineStr">
        <is>
          <t>JÄMTLANDS LÄN</t>
        </is>
      </c>
      <c r="E487" t="inlineStr">
        <is>
          <t>ÅRE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52313-2022</t>
        </is>
      </c>
      <c r="B488" s="1" t="n">
        <v>44873</v>
      </c>
      <c r="C488" s="1" t="n">
        <v>45472</v>
      </c>
      <c r="D488" t="inlineStr">
        <is>
          <t>JÄMTLANDS LÄN</t>
        </is>
      </c>
      <c r="E488" t="inlineStr">
        <is>
          <t>ÅRE</t>
        </is>
      </c>
      <c r="G488" t="n">
        <v>3.4</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v>
      </c>
      <c r="C489" s="1" t="n">
        <v>45472</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52485-2022</t>
        </is>
      </c>
      <c r="B490" s="1" t="n">
        <v>44874</v>
      </c>
      <c r="C490" s="1" t="n">
        <v>45472</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52707-2022</t>
        </is>
      </c>
      <c r="B491" s="1" t="n">
        <v>44874</v>
      </c>
      <c r="C491" s="1" t="n">
        <v>45472</v>
      </c>
      <c r="D491" t="inlineStr">
        <is>
          <t>JÄMTLANDS LÄN</t>
        </is>
      </c>
      <c r="E491" t="inlineStr">
        <is>
          <t>ÅRE</t>
        </is>
      </c>
      <c r="F491" t="inlineStr">
        <is>
          <t>Övriga Aktiebolag</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54615-2022</t>
        </is>
      </c>
      <c r="B492" s="1" t="n">
        <v>44883</v>
      </c>
      <c r="C492" s="1" t="n">
        <v>45472</v>
      </c>
      <c r="D492" t="inlineStr">
        <is>
          <t>JÄMTLANDS LÄN</t>
        </is>
      </c>
      <c r="E492" t="inlineStr">
        <is>
          <t>ÅRE</t>
        </is>
      </c>
      <c r="F492" t="inlineStr">
        <is>
          <t>Övriga Aktiebolag</t>
        </is>
      </c>
      <c r="G492" t="n">
        <v>5.1</v>
      </c>
      <c r="H492" t="n">
        <v>0</v>
      </c>
      <c r="I492" t="n">
        <v>0</v>
      </c>
      <c r="J492" t="n">
        <v>0</v>
      </c>
      <c r="K492" t="n">
        <v>0</v>
      </c>
      <c r="L492" t="n">
        <v>0</v>
      </c>
      <c r="M492" t="n">
        <v>0</v>
      </c>
      <c r="N492" t="n">
        <v>0</v>
      </c>
      <c r="O492" t="n">
        <v>0</v>
      </c>
      <c r="P492" t="n">
        <v>0</v>
      </c>
      <c r="Q492" t="n">
        <v>0</v>
      </c>
      <c r="R492" s="2" t="inlineStr"/>
    </row>
    <row r="493" ht="15" customHeight="1">
      <c r="A493" t="inlineStr">
        <is>
          <t>A 54611-2022</t>
        </is>
      </c>
      <c r="B493" s="1" t="n">
        <v>44883</v>
      </c>
      <c r="C493" s="1" t="n">
        <v>45472</v>
      </c>
      <c r="D493" t="inlineStr">
        <is>
          <t>JÄMTLANDS LÄN</t>
        </is>
      </c>
      <c r="E493" t="inlineStr">
        <is>
          <t>ÅRE</t>
        </is>
      </c>
      <c r="F493" t="inlineStr">
        <is>
          <t>Övriga Aktiebolag</t>
        </is>
      </c>
      <c r="G493" t="n">
        <v>11.7</v>
      </c>
      <c r="H493" t="n">
        <v>0</v>
      </c>
      <c r="I493" t="n">
        <v>0</v>
      </c>
      <c r="J493" t="n">
        <v>0</v>
      </c>
      <c r="K493" t="n">
        <v>0</v>
      </c>
      <c r="L493" t="n">
        <v>0</v>
      </c>
      <c r="M493" t="n">
        <v>0</v>
      </c>
      <c r="N493" t="n">
        <v>0</v>
      </c>
      <c r="O493" t="n">
        <v>0</v>
      </c>
      <c r="P493" t="n">
        <v>0</v>
      </c>
      <c r="Q493" t="n">
        <v>0</v>
      </c>
      <c r="R493" s="2" t="inlineStr"/>
    </row>
    <row r="494" ht="15" customHeight="1">
      <c r="A494" t="inlineStr">
        <is>
          <t>A 54904-2022</t>
        </is>
      </c>
      <c r="B494" s="1" t="n">
        <v>44886</v>
      </c>
      <c r="C494" s="1" t="n">
        <v>45472</v>
      </c>
      <c r="D494" t="inlineStr">
        <is>
          <t>JÄMTLANDS LÄN</t>
        </is>
      </c>
      <c r="E494" t="inlineStr">
        <is>
          <t>ÅRE</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55230-2022</t>
        </is>
      </c>
      <c r="B495" s="1" t="n">
        <v>44887</v>
      </c>
      <c r="C495" s="1" t="n">
        <v>45472</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55235-2022</t>
        </is>
      </c>
      <c r="B496" s="1" t="n">
        <v>44887</v>
      </c>
      <c r="C496" s="1" t="n">
        <v>45472</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55229-2022</t>
        </is>
      </c>
      <c r="B497" s="1" t="n">
        <v>44887</v>
      </c>
      <c r="C497" s="1" t="n">
        <v>45472</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55234-2022</t>
        </is>
      </c>
      <c r="B498" s="1" t="n">
        <v>44887</v>
      </c>
      <c r="C498" s="1" t="n">
        <v>45472</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55233-2022</t>
        </is>
      </c>
      <c r="B499" s="1" t="n">
        <v>44887</v>
      </c>
      <c r="C499" s="1" t="n">
        <v>45472</v>
      </c>
      <c r="D499" t="inlineStr">
        <is>
          <t>JÄMTLANDS LÄN</t>
        </is>
      </c>
      <c r="E499" t="inlineStr">
        <is>
          <t>ÅRE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55237-2022</t>
        </is>
      </c>
      <c r="B500" s="1" t="n">
        <v>44887</v>
      </c>
      <c r="C500" s="1" t="n">
        <v>45472</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55232-2022</t>
        </is>
      </c>
      <c r="B501" s="1" t="n">
        <v>44887</v>
      </c>
      <c r="C501" s="1" t="n">
        <v>45472</v>
      </c>
      <c r="D501" t="inlineStr">
        <is>
          <t>JÄMTLANDS LÄN</t>
        </is>
      </c>
      <c r="E501" t="inlineStr">
        <is>
          <t>ÅRE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55236-2022</t>
        </is>
      </c>
      <c r="B502" s="1" t="n">
        <v>44887</v>
      </c>
      <c r="C502" s="1" t="n">
        <v>45472</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56182-2022</t>
        </is>
      </c>
      <c r="B503" s="1" t="n">
        <v>44889</v>
      </c>
      <c r="C503" s="1" t="n">
        <v>45472</v>
      </c>
      <c r="D503" t="inlineStr">
        <is>
          <t>JÄMTLANDS LÄN</t>
        </is>
      </c>
      <c r="E503" t="inlineStr">
        <is>
          <t>ÅRE</t>
        </is>
      </c>
      <c r="G503" t="n">
        <v>42.3</v>
      </c>
      <c r="H503" t="n">
        <v>0</v>
      </c>
      <c r="I503" t="n">
        <v>0</v>
      </c>
      <c r="J503" t="n">
        <v>0</v>
      </c>
      <c r="K503" t="n">
        <v>0</v>
      </c>
      <c r="L503" t="n">
        <v>0</v>
      </c>
      <c r="M503" t="n">
        <v>0</v>
      </c>
      <c r="N503" t="n">
        <v>0</v>
      </c>
      <c r="O503" t="n">
        <v>0</v>
      </c>
      <c r="P503" t="n">
        <v>0</v>
      </c>
      <c r="Q503" t="n">
        <v>0</v>
      </c>
      <c r="R503" s="2" t="inlineStr"/>
    </row>
    <row r="504" ht="15" customHeight="1">
      <c r="A504" t="inlineStr">
        <is>
          <t>A 55944-2022</t>
        </is>
      </c>
      <c r="B504" s="1" t="n">
        <v>44889</v>
      </c>
      <c r="C504" s="1" t="n">
        <v>45472</v>
      </c>
      <c r="D504" t="inlineStr">
        <is>
          <t>JÄMTLANDS LÄN</t>
        </is>
      </c>
      <c r="E504" t="inlineStr">
        <is>
          <t>ÅRE</t>
        </is>
      </c>
      <c r="G504" t="n">
        <v>11.1</v>
      </c>
      <c r="H504" t="n">
        <v>0</v>
      </c>
      <c r="I504" t="n">
        <v>0</v>
      </c>
      <c r="J504" t="n">
        <v>0</v>
      </c>
      <c r="K504" t="n">
        <v>0</v>
      </c>
      <c r="L504" t="n">
        <v>0</v>
      </c>
      <c r="M504" t="n">
        <v>0</v>
      </c>
      <c r="N504" t="n">
        <v>0</v>
      </c>
      <c r="O504" t="n">
        <v>0</v>
      </c>
      <c r="P504" t="n">
        <v>0</v>
      </c>
      <c r="Q504" t="n">
        <v>0</v>
      </c>
      <c r="R504" s="2" t="inlineStr"/>
    </row>
    <row r="505" ht="15" customHeight="1">
      <c r="A505" t="inlineStr">
        <is>
          <t>A 56254-2022</t>
        </is>
      </c>
      <c r="B505" s="1" t="n">
        <v>44890</v>
      </c>
      <c r="C505" s="1" t="n">
        <v>45472</v>
      </c>
      <c r="D505" t="inlineStr">
        <is>
          <t>JÄMTLANDS LÄN</t>
        </is>
      </c>
      <c r="E505" t="inlineStr">
        <is>
          <t>ÅRE</t>
        </is>
      </c>
      <c r="F505" t="inlineStr">
        <is>
          <t>Övriga Aktiebolag</t>
        </is>
      </c>
      <c r="G505" t="n">
        <v>7.7</v>
      </c>
      <c r="H505" t="n">
        <v>0</v>
      </c>
      <c r="I505" t="n">
        <v>0</v>
      </c>
      <c r="J505" t="n">
        <v>0</v>
      </c>
      <c r="K505" t="n">
        <v>0</v>
      </c>
      <c r="L505" t="n">
        <v>0</v>
      </c>
      <c r="M505" t="n">
        <v>0</v>
      </c>
      <c r="N505" t="n">
        <v>0</v>
      </c>
      <c r="O505" t="n">
        <v>0</v>
      </c>
      <c r="P505" t="n">
        <v>0</v>
      </c>
      <c r="Q505" t="n">
        <v>0</v>
      </c>
      <c r="R505" s="2" t="inlineStr"/>
    </row>
    <row r="506" ht="15" customHeight="1">
      <c r="A506" t="inlineStr">
        <is>
          <t>A 56659-2022</t>
        </is>
      </c>
      <c r="B506" s="1" t="n">
        <v>44893</v>
      </c>
      <c r="C506" s="1" t="n">
        <v>45472</v>
      </c>
      <c r="D506" t="inlineStr">
        <is>
          <t>JÄMTLANDS LÄN</t>
        </is>
      </c>
      <c r="E506" t="inlineStr">
        <is>
          <t>ÅRE</t>
        </is>
      </c>
      <c r="F506" t="inlineStr">
        <is>
          <t>Övriga Aktiebolag</t>
        </is>
      </c>
      <c r="G506" t="n">
        <v>6.1</v>
      </c>
      <c r="H506" t="n">
        <v>0</v>
      </c>
      <c r="I506" t="n">
        <v>0</v>
      </c>
      <c r="J506" t="n">
        <v>0</v>
      </c>
      <c r="K506" t="n">
        <v>0</v>
      </c>
      <c r="L506" t="n">
        <v>0</v>
      </c>
      <c r="M506" t="n">
        <v>0</v>
      </c>
      <c r="N506" t="n">
        <v>0</v>
      </c>
      <c r="O506" t="n">
        <v>0</v>
      </c>
      <c r="P506" t="n">
        <v>0</v>
      </c>
      <c r="Q506" t="n">
        <v>0</v>
      </c>
      <c r="R506" s="2" t="inlineStr"/>
    </row>
    <row r="507" ht="15" customHeight="1">
      <c r="A507" t="inlineStr">
        <is>
          <t>A 56508-2022</t>
        </is>
      </c>
      <c r="B507" s="1" t="n">
        <v>44893</v>
      </c>
      <c r="C507" s="1" t="n">
        <v>45472</v>
      </c>
      <c r="D507" t="inlineStr">
        <is>
          <t>JÄMTLANDS LÄN</t>
        </is>
      </c>
      <c r="E507" t="inlineStr">
        <is>
          <t>ÅRE</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56576-2022</t>
        </is>
      </c>
      <c r="B508" s="1" t="n">
        <v>44893</v>
      </c>
      <c r="C508" s="1" t="n">
        <v>45472</v>
      </c>
      <c r="D508" t="inlineStr">
        <is>
          <t>JÄMTLANDS LÄN</t>
        </is>
      </c>
      <c r="E508" t="inlineStr">
        <is>
          <t>ÅRE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56556-2022</t>
        </is>
      </c>
      <c r="B509" s="1" t="n">
        <v>44893</v>
      </c>
      <c r="C509" s="1" t="n">
        <v>45472</v>
      </c>
      <c r="D509" t="inlineStr">
        <is>
          <t>JÄMTLANDS LÄN</t>
        </is>
      </c>
      <c r="E509" t="inlineStr">
        <is>
          <t>ÅRE</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56650-2022</t>
        </is>
      </c>
      <c r="B510" s="1" t="n">
        <v>44893</v>
      </c>
      <c r="C510" s="1" t="n">
        <v>45472</v>
      </c>
      <c r="D510" t="inlineStr">
        <is>
          <t>JÄMTLANDS LÄN</t>
        </is>
      </c>
      <c r="E510" t="inlineStr">
        <is>
          <t>ÅRE</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56581-2022</t>
        </is>
      </c>
      <c r="B511" s="1" t="n">
        <v>44893</v>
      </c>
      <c r="C511" s="1" t="n">
        <v>45472</v>
      </c>
      <c r="D511" t="inlineStr">
        <is>
          <t>JÄMTLANDS LÄN</t>
        </is>
      </c>
      <c r="E511" t="inlineStr">
        <is>
          <t>ÅRE</t>
        </is>
      </c>
      <c r="F511" t="inlineStr">
        <is>
          <t>Övriga Aktiebolag</t>
        </is>
      </c>
      <c r="G511" t="n">
        <v>2.8</v>
      </c>
      <c r="H511" t="n">
        <v>0</v>
      </c>
      <c r="I511" t="n">
        <v>0</v>
      </c>
      <c r="J511" t="n">
        <v>0</v>
      </c>
      <c r="K511" t="n">
        <v>0</v>
      </c>
      <c r="L511" t="n">
        <v>0</v>
      </c>
      <c r="M511" t="n">
        <v>0</v>
      </c>
      <c r="N511" t="n">
        <v>0</v>
      </c>
      <c r="O511" t="n">
        <v>0</v>
      </c>
      <c r="P511" t="n">
        <v>0</v>
      </c>
      <c r="Q511" t="n">
        <v>0</v>
      </c>
      <c r="R511" s="2" t="inlineStr"/>
    </row>
    <row r="512" ht="15" customHeight="1">
      <c r="A512" t="inlineStr">
        <is>
          <t>A 56673-2022</t>
        </is>
      </c>
      <c r="B512" s="1" t="n">
        <v>44893</v>
      </c>
      <c r="C512" s="1" t="n">
        <v>45472</v>
      </c>
      <c r="D512" t="inlineStr">
        <is>
          <t>JÄMTLANDS LÄN</t>
        </is>
      </c>
      <c r="E512" t="inlineStr">
        <is>
          <t>ÅRE</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58337-2022</t>
        </is>
      </c>
      <c r="B513" s="1" t="n">
        <v>44893</v>
      </c>
      <c r="C513" s="1" t="n">
        <v>45472</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56811-2022</t>
        </is>
      </c>
      <c r="B514" s="1" t="n">
        <v>44894</v>
      </c>
      <c r="C514" s="1" t="n">
        <v>45472</v>
      </c>
      <c r="D514" t="inlineStr">
        <is>
          <t>JÄMTLANDS LÄN</t>
        </is>
      </c>
      <c r="E514" t="inlineStr">
        <is>
          <t>ÅRE</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56910-2022</t>
        </is>
      </c>
      <c r="B515" s="1" t="n">
        <v>44894</v>
      </c>
      <c r="C515" s="1" t="n">
        <v>45472</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56828-2022</t>
        </is>
      </c>
      <c r="B516" s="1" t="n">
        <v>44894</v>
      </c>
      <c r="C516" s="1" t="n">
        <v>45472</v>
      </c>
      <c r="D516" t="inlineStr">
        <is>
          <t>JÄMTLANDS LÄN</t>
        </is>
      </c>
      <c r="E516" t="inlineStr">
        <is>
          <t>ÅRE</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56842-2022</t>
        </is>
      </c>
      <c r="B517" s="1" t="n">
        <v>44894</v>
      </c>
      <c r="C517" s="1" t="n">
        <v>45472</v>
      </c>
      <c r="D517" t="inlineStr">
        <is>
          <t>JÄMTLANDS LÄN</t>
        </is>
      </c>
      <c r="E517" t="inlineStr">
        <is>
          <t>ÅRE</t>
        </is>
      </c>
      <c r="F517" t="inlineStr">
        <is>
          <t>Övriga Aktiebolag</t>
        </is>
      </c>
      <c r="G517" t="n">
        <v>7.9</v>
      </c>
      <c r="H517" t="n">
        <v>0</v>
      </c>
      <c r="I517" t="n">
        <v>0</v>
      </c>
      <c r="J517" t="n">
        <v>0</v>
      </c>
      <c r="K517" t="n">
        <v>0</v>
      </c>
      <c r="L517" t="n">
        <v>0</v>
      </c>
      <c r="M517" t="n">
        <v>0</v>
      </c>
      <c r="N517" t="n">
        <v>0</v>
      </c>
      <c r="O517" t="n">
        <v>0</v>
      </c>
      <c r="P517" t="n">
        <v>0</v>
      </c>
      <c r="Q517" t="n">
        <v>0</v>
      </c>
      <c r="R517" s="2" t="inlineStr"/>
    </row>
    <row r="518" ht="15" customHeight="1">
      <c r="A518" t="inlineStr">
        <is>
          <t>A 56835-2022</t>
        </is>
      </c>
      <c r="B518" s="1" t="n">
        <v>44894</v>
      </c>
      <c r="C518" s="1" t="n">
        <v>45472</v>
      </c>
      <c r="D518" t="inlineStr">
        <is>
          <t>JÄMTLANDS LÄN</t>
        </is>
      </c>
      <c r="E518" t="inlineStr">
        <is>
          <t>ÅRE</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56837-2022</t>
        </is>
      </c>
      <c r="B519" s="1" t="n">
        <v>44894</v>
      </c>
      <c r="C519" s="1" t="n">
        <v>45472</v>
      </c>
      <c r="D519" t="inlineStr">
        <is>
          <t>JÄMTLANDS LÄN</t>
        </is>
      </c>
      <c r="E519" t="inlineStr">
        <is>
          <t>ÅRE</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57394-2022</t>
        </is>
      </c>
      <c r="B520" s="1" t="n">
        <v>44896</v>
      </c>
      <c r="C520" s="1" t="n">
        <v>45472</v>
      </c>
      <c r="D520" t="inlineStr">
        <is>
          <t>JÄMTLANDS LÄN</t>
        </is>
      </c>
      <c r="E520" t="inlineStr">
        <is>
          <t>ÅRE</t>
        </is>
      </c>
      <c r="G520" t="n">
        <v>5.8</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45472</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58882-2022</t>
        </is>
      </c>
      <c r="B522" s="1" t="n">
        <v>44896</v>
      </c>
      <c r="C522" s="1" t="n">
        <v>45472</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58513-2022</t>
        </is>
      </c>
      <c r="B523" s="1" t="n">
        <v>44902</v>
      </c>
      <c r="C523" s="1" t="n">
        <v>45472</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58516-2022</t>
        </is>
      </c>
      <c r="B524" s="1" t="n">
        <v>44902</v>
      </c>
      <c r="C524" s="1" t="n">
        <v>45472</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58758-2022</t>
        </is>
      </c>
      <c r="B525" s="1" t="n">
        <v>44903</v>
      </c>
      <c r="C525" s="1" t="n">
        <v>45472</v>
      </c>
      <c r="D525" t="inlineStr">
        <is>
          <t>JÄMTLANDS LÄN</t>
        </is>
      </c>
      <c r="E525" t="inlineStr">
        <is>
          <t>ÅRE</t>
        </is>
      </c>
      <c r="F525" t="inlineStr">
        <is>
          <t>Övriga Aktiebolag</t>
        </is>
      </c>
      <c r="G525" t="n">
        <v>42.9</v>
      </c>
      <c r="H525" t="n">
        <v>0</v>
      </c>
      <c r="I525" t="n">
        <v>0</v>
      </c>
      <c r="J525" t="n">
        <v>0</v>
      </c>
      <c r="K525" t="n">
        <v>0</v>
      </c>
      <c r="L525" t="n">
        <v>0</v>
      </c>
      <c r="M525" t="n">
        <v>0</v>
      </c>
      <c r="N525" t="n">
        <v>0</v>
      </c>
      <c r="O525" t="n">
        <v>0</v>
      </c>
      <c r="P525" t="n">
        <v>0</v>
      </c>
      <c r="Q525" t="n">
        <v>0</v>
      </c>
      <c r="R525" s="2" t="inlineStr"/>
    </row>
    <row r="526" ht="15" customHeight="1">
      <c r="A526" t="inlineStr">
        <is>
          <t>A 58856-2022</t>
        </is>
      </c>
      <c r="B526" s="1" t="n">
        <v>44903</v>
      </c>
      <c r="C526" s="1" t="n">
        <v>45472</v>
      </c>
      <c r="D526" t="inlineStr">
        <is>
          <t>JÄMTLANDS LÄN</t>
        </is>
      </c>
      <c r="E526" t="inlineStr">
        <is>
          <t>ÅRE</t>
        </is>
      </c>
      <c r="F526" t="inlineStr">
        <is>
          <t>Övriga Aktiebolag</t>
        </is>
      </c>
      <c r="G526" t="n">
        <v>10.2</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45472</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58845-2022</t>
        </is>
      </c>
      <c r="B528" s="1" t="n">
        <v>44903</v>
      </c>
      <c r="C528" s="1" t="n">
        <v>45472</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59163-2022</t>
        </is>
      </c>
      <c r="B529" s="1" t="n">
        <v>44904</v>
      </c>
      <c r="C529" s="1" t="n">
        <v>45472</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60540-2022</t>
        </is>
      </c>
      <c r="B530" s="1" t="n">
        <v>44904</v>
      </c>
      <c r="C530" s="1" t="n">
        <v>45472</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59387-2022</t>
        </is>
      </c>
      <c r="B531" s="1" t="n">
        <v>44905</v>
      </c>
      <c r="C531" s="1" t="n">
        <v>45472</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60935-2022</t>
        </is>
      </c>
      <c r="B532" s="1" t="n">
        <v>44908</v>
      </c>
      <c r="C532" s="1" t="n">
        <v>45472</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60899-2022</t>
        </is>
      </c>
      <c r="B533" s="1" t="n">
        <v>44908</v>
      </c>
      <c r="C533" s="1" t="n">
        <v>45472</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60944-2022</t>
        </is>
      </c>
      <c r="B534" s="1" t="n">
        <v>44908</v>
      </c>
      <c r="C534" s="1" t="n">
        <v>45472</v>
      </c>
      <c r="D534" t="inlineStr">
        <is>
          <t>JÄMTLANDS LÄN</t>
        </is>
      </c>
      <c r="E534" t="inlineStr">
        <is>
          <t>ÅRE</t>
        </is>
      </c>
      <c r="G534" t="n">
        <v>6</v>
      </c>
      <c r="H534" t="n">
        <v>0</v>
      </c>
      <c r="I534" t="n">
        <v>0</v>
      </c>
      <c r="J534" t="n">
        <v>0</v>
      </c>
      <c r="K534" t="n">
        <v>0</v>
      </c>
      <c r="L534" t="n">
        <v>0</v>
      </c>
      <c r="M534" t="n">
        <v>0</v>
      </c>
      <c r="N534" t="n">
        <v>0</v>
      </c>
      <c r="O534" t="n">
        <v>0</v>
      </c>
      <c r="P534" t="n">
        <v>0</v>
      </c>
      <c r="Q534" t="n">
        <v>0</v>
      </c>
      <c r="R534" s="2" t="inlineStr"/>
    </row>
    <row r="535" ht="15" customHeight="1">
      <c r="A535" t="inlineStr">
        <is>
          <t>A 60921-2022</t>
        </is>
      </c>
      <c r="B535" s="1" t="n">
        <v>44908</v>
      </c>
      <c r="C535" s="1" t="n">
        <v>45472</v>
      </c>
      <c r="D535" t="inlineStr">
        <is>
          <t>JÄMTLANDS LÄN</t>
        </is>
      </c>
      <c r="E535" t="inlineStr">
        <is>
          <t>ÅRE</t>
        </is>
      </c>
      <c r="G535" t="n">
        <v>4.4</v>
      </c>
      <c r="H535" t="n">
        <v>0</v>
      </c>
      <c r="I535" t="n">
        <v>0</v>
      </c>
      <c r="J535" t="n">
        <v>0</v>
      </c>
      <c r="K535" t="n">
        <v>0</v>
      </c>
      <c r="L535" t="n">
        <v>0</v>
      </c>
      <c r="M535" t="n">
        <v>0</v>
      </c>
      <c r="N535" t="n">
        <v>0</v>
      </c>
      <c r="O535" t="n">
        <v>0</v>
      </c>
      <c r="P535" t="n">
        <v>0</v>
      </c>
      <c r="Q535" t="n">
        <v>0</v>
      </c>
      <c r="R535" s="2" t="inlineStr"/>
    </row>
    <row r="536" ht="15" customHeight="1">
      <c r="A536" t="inlineStr">
        <is>
          <t>A 60941-2022</t>
        </is>
      </c>
      <c r="B536" s="1" t="n">
        <v>44908</v>
      </c>
      <c r="C536" s="1" t="n">
        <v>45472</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61340-2022</t>
        </is>
      </c>
      <c r="B537" s="1" t="n">
        <v>44909</v>
      </c>
      <c r="C537" s="1" t="n">
        <v>45472</v>
      </c>
      <c r="D537" t="inlineStr">
        <is>
          <t>JÄMTLANDS LÄN</t>
        </is>
      </c>
      <c r="E537" t="inlineStr">
        <is>
          <t>ÅRE</t>
        </is>
      </c>
      <c r="G537" t="n">
        <v>4.4</v>
      </c>
      <c r="H537" t="n">
        <v>0</v>
      </c>
      <c r="I537" t="n">
        <v>0</v>
      </c>
      <c r="J537" t="n">
        <v>0</v>
      </c>
      <c r="K537" t="n">
        <v>0</v>
      </c>
      <c r="L537" t="n">
        <v>0</v>
      </c>
      <c r="M537" t="n">
        <v>0</v>
      </c>
      <c r="N537" t="n">
        <v>0</v>
      </c>
      <c r="O537" t="n">
        <v>0</v>
      </c>
      <c r="P537" t="n">
        <v>0</v>
      </c>
      <c r="Q537" t="n">
        <v>0</v>
      </c>
      <c r="R537" s="2" t="inlineStr"/>
    </row>
    <row r="538" ht="15" customHeight="1">
      <c r="A538" t="inlineStr">
        <is>
          <t>A 61481-2022</t>
        </is>
      </c>
      <c r="B538" s="1" t="n">
        <v>44910</v>
      </c>
      <c r="C538" s="1" t="n">
        <v>45472</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60426-2022</t>
        </is>
      </c>
      <c r="B539" s="1" t="n">
        <v>44911</v>
      </c>
      <c r="C539" s="1" t="n">
        <v>45472</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60437-2022</t>
        </is>
      </c>
      <c r="B540" s="1" t="n">
        <v>44911</v>
      </c>
      <c r="C540" s="1" t="n">
        <v>45472</v>
      </c>
      <c r="D540" t="inlineStr">
        <is>
          <t>JÄMTLANDS LÄN</t>
        </is>
      </c>
      <c r="E540" t="inlineStr">
        <is>
          <t>ÅRE</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61789-2022</t>
        </is>
      </c>
      <c r="B541" s="1" t="n">
        <v>44917</v>
      </c>
      <c r="C541" s="1" t="n">
        <v>45472</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61784-2022</t>
        </is>
      </c>
      <c r="B542" s="1" t="n">
        <v>44917</v>
      </c>
      <c r="C542" s="1" t="n">
        <v>45472</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61925-2022</t>
        </is>
      </c>
      <c r="B543" s="1" t="n">
        <v>44917</v>
      </c>
      <c r="C543" s="1" t="n">
        <v>45472</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61930-2022</t>
        </is>
      </c>
      <c r="B544" s="1" t="n">
        <v>44917</v>
      </c>
      <c r="C544" s="1" t="n">
        <v>45472</v>
      </c>
      <c r="D544" t="inlineStr">
        <is>
          <t>JÄMTLANDS LÄN</t>
        </is>
      </c>
      <c r="E544" t="inlineStr">
        <is>
          <t>ÅRE</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61924-2022</t>
        </is>
      </c>
      <c r="B545" s="1" t="n">
        <v>44917</v>
      </c>
      <c r="C545" s="1" t="n">
        <v>45472</v>
      </c>
      <c r="D545" t="inlineStr">
        <is>
          <t>JÄMTLANDS LÄN</t>
        </is>
      </c>
      <c r="E545" t="inlineStr">
        <is>
          <t>ÅRE</t>
        </is>
      </c>
      <c r="G545" t="n">
        <v>39.8</v>
      </c>
      <c r="H545" t="n">
        <v>0</v>
      </c>
      <c r="I545" t="n">
        <v>0</v>
      </c>
      <c r="J545" t="n">
        <v>0</v>
      </c>
      <c r="K545" t="n">
        <v>0</v>
      </c>
      <c r="L545" t="n">
        <v>0</v>
      </c>
      <c r="M545" t="n">
        <v>0</v>
      </c>
      <c r="N545" t="n">
        <v>0</v>
      </c>
      <c r="O545" t="n">
        <v>0</v>
      </c>
      <c r="P545" t="n">
        <v>0</v>
      </c>
      <c r="Q545" t="n">
        <v>0</v>
      </c>
      <c r="R545" s="2" t="inlineStr"/>
    </row>
    <row r="546" ht="15" customHeight="1">
      <c r="A546" t="inlineStr">
        <is>
          <t>A 61926-2022</t>
        </is>
      </c>
      <c r="B546" s="1" t="n">
        <v>44917</v>
      </c>
      <c r="C546" s="1" t="n">
        <v>45472</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61931-2022</t>
        </is>
      </c>
      <c r="B547" s="1" t="n">
        <v>44917</v>
      </c>
      <c r="C547" s="1" t="n">
        <v>45472</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62520-2022</t>
        </is>
      </c>
      <c r="B548" s="1" t="n">
        <v>44924</v>
      </c>
      <c r="C548" s="1" t="n">
        <v>45472</v>
      </c>
      <c r="D548" t="inlineStr">
        <is>
          <t>JÄMTLANDS LÄN</t>
        </is>
      </c>
      <c r="E548" t="inlineStr">
        <is>
          <t>ÅRE</t>
        </is>
      </c>
      <c r="G548" t="n">
        <v>0.7</v>
      </c>
      <c r="H548" t="n">
        <v>0</v>
      </c>
      <c r="I548" t="n">
        <v>0</v>
      </c>
      <c r="J548" t="n">
        <v>0</v>
      </c>
      <c r="K548" t="n">
        <v>0</v>
      </c>
      <c r="L548" t="n">
        <v>0</v>
      </c>
      <c r="M548" t="n">
        <v>0</v>
      </c>
      <c r="N548" t="n">
        <v>0</v>
      </c>
      <c r="O548" t="n">
        <v>0</v>
      </c>
      <c r="P548" t="n">
        <v>0</v>
      </c>
      <c r="Q548" t="n">
        <v>0</v>
      </c>
      <c r="R548" s="2" t="inlineStr"/>
    </row>
    <row r="549" ht="15" customHeight="1">
      <c r="A549" t="inlineStr">
        <is>
          <t>A 62528-2022</t>
        </is>
      </c>
      <c r="B549" s="1" t="n">
        <v>44924</v>
      </c>
      <c r="C549" s="1" t="n">
        <v>45472</v>
      </c>
      <c r="D549" t="inlineStr">
        <is>
          <t>JÄMTLANDS LÄN</t>
        </is>
      </c>
      <c r="E549" t="inlineStr">
        <is>
          <t>ÅRE</t>
        </is>
      </c>
      <c r="G549" t="n">
        <v>5.3</v>
      </c>
      <c r="H549" t="n">
        <v>0</v>
      </c>
      <c r="I549" t="n">
        <v>0</v>
      </c>
      <c r="J549" t="n">
        <v>0</v>
      </c>
      <c r="K549" t="n">
        <v>0</v>
      </c>
      <c r="L549" t="n">
        <v>0</v>
      </c>
      <c r="M549" t="n">
        <v>0</v>
      </c>
      <c r="N549" t="n">
        <v>0</v>
      </c>
      <c r="O549" t="n">
        <v>0</v>
      </c>
      <c r="P549" t="n">
        <v>0</v>
      </c>
      <c r="Q549" t="n">
        <v>0</v>
      </c>
      <c r="R549" s="2" t="inlineStr"/>
    </row>
    <row r="550" ht="15" customHeight="1">
      <c r="A550" t="inlineStr">
        <is>
          <t>A 62582-2022</t>
        </is>
      </c>
      <c r="B550" s="1" t="n">
        <v>44924</v>
      </c>
      <c r="C550" s="1" t="n">
        <v>45472</v>
      </c>
      <c r="D550" t="inlineStr">
        <is>
          <t>JÄMTLANDS LÄN</t>
        </is>
      </c>
      <c r="E550" t="inlineStr">
        <is>
          <t>ÅRE</t>
        </is>
      </c>
      <c r="F550" t="inlineStr">
        <is>
          <t>Övriga Aktiebolag</t>
        </is>
      </c>
      <c r="G550" t="n">
        <v>6.9</v>
      </c>
      <c r="H550" t="n">
        <v>0</v>
      </c>
      <c r="I550" t="n">
        <v>0</v>
      </c>
      <c r="J550" t="n">
        <v>0</v>
      </c>
      <c r="K550" t="n">
        <v>0</v>
      </c>
      <c r="L550" t="n">
        <v>0</v>
      </c>
      <c r="M550" t="n">
        <v>0</v>
      </c>
      <c r="N550" t="n">
        <v>0</v>
      </c>
      <c r="O550" t="n">
        <v>0</v>
      </c>
      <c r="P550" t="n">
        <v>0</v>
      </c>
      <c r="Q550" t="n">
        <v>0</v>
      </c>
      <c r="R550" s="2" t="inlineStr"/>
    </row>
    <row r="551" ht="15" customHeight="1">
      <c r="A551" t="inlineStr">
        <is>
          <t>A 34-2023</t>
        </is>
      </c>
      <c r="B551" s="1" t="n">
        <v>44928</v>
      </c>
      <c r="C551" s="1" t="n">
        <v>45472</v>
      </c>
      <c r="D551" t="inlineStr">
        <is>
          <t>JÄMTLANDS LÄN</t>
        </is>
      </c>
      <c r="E551" t="inlineStr">
        <is>
          <t>ÅRE</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278-2023</t>
        </is>
      </c>
      <c r="B552" s="1" t="n">
        <v>44928</v>
      </c>
      <c r="C552" s="1" t="n">
        <v>45472</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45472</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772-2023</t>
        </is>
      </c>
      <c r="B554" s="1" t="n">
        <v>44931</v>
      </c>
      <c r="C554" s="1" t="n">
        <v>45472</v>
      </c>
      <c r="D554" t="inlineStr">
        <is>
          <t>JÄMTLANDS LÄN</t>
        </is>
      </c>
      <c r="E554" t="inlineStr">
        <is>
          <t>ÅRE</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844-2023</t>
        </is>
      </c>
      <c r="B555" s="1" t="n">
        <v>44931</v>
      </c>
      <c r="C555" s="1" t="n">
        <v>45472</v>
      </c>
      <c r="D555" t="inlineStr">
        <is>
          <t>JÄMTLANDS LÄN</t>
        </is>
      </c>
      <c r="E555" t="inlineStr">
        <is>
          <t>ÅRE</t>
        </is>
      </c>
      <c r="F555" t="inlineStr">
        <is>
          <t>Övriga Aktiebolag</t>
        </is>
      </c>
      <c r="G555" t="n">
        <v>2.5</v>
      </c>
      <c r="H555" t="n">
        <v>0</v>
      </c>
      <c r="I555" t="n">
        <v>0</v>
      </c>
      <c r="J555" t="n">
        <v>0</v>
      </c>
      <c r="K555" t="n">
        <v>0</v>
      </c>
      <c r="L555" t="n">
        <v>0</v>
      </c>
      <c r="M555" t="n">
        <v>0</v>
      </c>
      <c r="N555" t="n">
        <v>0</v>
      </c>
      <c r="O555" t="n">
        <v>0</v>
      </c>
      <c r="P555" t="n">
        <v>0</v>
      </c>
      <c r="Q555" t="n">
        <v>0</v>
      </c>
      <c r="R555" s="2" t="inlineStr"/>
    </row>
    <row r="556" ht="15" customHeight="1">
      <c r="A556" t="inlineStr">
        <is>
          <t>A 848-2023</t>
        </is>
      </c>
      <c r="B556" s="1" t="n">
        <v>44931</v>
      </c>
      <c r="C556" s="1" t="n">
        <v>45472</v>
      </c>
      <c r="D556" t="inlineStr">
        <is>
          <t>JÄMTLANDS LÄN</t>
        </is>
      </c>
      <c r="E556" t="inlineStr">
        <is>
          <t>ÅRE</t>
        </is>
      </c>
      <c r="F556" t="inlineStr">
        <is>
          <t>Övriga Aktiebolag</t>
        </is>
      </c>
      <c r="G556" t="n">
        <v>5.1</v>
      </c>
      <c r="H556" t="n">
        <v>0</v>
      </c>
      <c r="I556" t="n">
        <v>0</v>
      </c>
      <c r="J556" t="n">
        <v>0</v>
      </c>
      <c r="K556" t="n">
        <v>0</v>
      </c>
      <c r="L556" t="n">
        <v>0</v>
      </c>
      <c r="M556" t="n">
        <v>0</v>
      </c>
      <c r="N556" t="n">
        <v>0</v>
      </c>
      <c r="O556" t="n">
        <v>0</v>
      </c>
      <c r="P556" t="n">
        <v>0</v>
      </c>
      <c r="Q556" t="n">
        <v>0</v>
      </c>
      <c r="R556" s="2" t="inlineStr"/>
    </row>
    <row r="557" ht="15" customHeight="1">
      <c r="A557" t="inlineStr">
        <is>
          <t>A 796-2023</t>
        </is>
      </c>
      <c r="B557" s="1" t="n">
        <v>44931</v>
      </c>
      <c r="C557" s="1" t="n">
        <v>45472</v>
      </c>
      <c r="D557" t="inlineStr">
        <is>
          <t>JÄMTLANDS LÄN</t>
        </is>
      </c>
      <c r="E557" t="inlineStr">
        <is>
          <t>ÅRE</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837-2023</t>
        </is>
      </c>
      <c r="B558" s="1" t="n">
        <v>44931</v>
      </c>
      <c r="C558" s="1" t="n">
        <v>45472</v>
      </c>
      <c r="D558" t="inlineStr">
        <is>
          <t>JÄMTLANDS LÄN</t>
        </is>
      </c>
      <c r="E558" t="inlineStr">
        <is>
          <t>ÅRE</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1159-2023</t>
        </is>
      </c>
      <c r="B559" s="1" t="n">
        <v>44935</v>
      </c>
      <c r="C559" s="1" t="n">
        <v>45472</v>
      </c>
      <c r="D559" t="inlineStr">
        <is>
          <t>JÄMTLANDS LÄN</t>
        </is>
      </c>
      <c r="E559" t="inlineStr">
        <is>
          <t>ÅRE</t>
        </is>
      </c>
      <c r="G559" t="n">
        <v>6.4</v>
      </c>
      <c r="H559" t="n">
        <v>0</v>
      </c>
      <c r="I559" t="n">
        <v>0</v>
      </c>
      <c r="J559" t="n">
        <v>0</v>
      </c>
      <c r="K559" t="n">
        <v>0</v>
      </c>
      <c r="L559" t="n">
        <v>0</v>
      </c>
      <c r="M559" t="n">
        <v>0</v>
      </c>
      <c r="N559" t="n">
        <v>0</v>
      </c>
      <c r="O559" t="n">
        <v>0</v>
      </c>
      <c r="P559" t="n">
        <v>0</v>
      </c>
      <c r="Q559" t="n">
        <v>0</v>
      </c>
      <c r="R559" s="2" t="inlineStr"/>
    </row>
    <row r="560" ht="15" customHeight="1">
      <c r="A560" t="inlineStr">
        <is>
          <t>A 1414-2023</t>
        </is>
      </c>
      <c r="B560" s="1" t="n">
        <v>44936</v>
      </c>
      <c r="C560" s="1" t="n">
        <v>45472</v>
      </c>
      <c r="D560" t="inlineStr">
        <is>
          <t>JÄMTLANDS LÄN</t>
        </is>
      </c>
      <c r="E560" t="inlineStr">
        <is>
          <t>ÅRE</t>
        </is>
      </c>
      <c r="G560" t="n">
        <v>1.7</v>
      </c>
      <c r="H560" t="n">
        <v>0</v>
      </c>
      <c r="I560" t="n">
        <v>0</v>
      </c>
      <c r="J560" t="n">
        <v>0</v>
      </c>
      <c r="K560" t="n">
        <v>0</v>
      </c>
      <c r="L560" t="n">
        <v>0</v>
      </c>
      <c r="M560" t="n">
        <v>0</v>
      </c>
      <c r="N560" t="n">
        <v>0</v>
      </c>
      <c r="O560" t="n">
        <v>0</v>
      </c>
      <c r="P560" t="n">
        <v>0</v>
      </c>
      <c r="Q560" t="n">
        <v>0</v>
      </c>
      <c r="R560" s="2" t="inlineStr"/>
    </row>
    <row r="561" ht="15" customHeight="1">
      <c r="A561" t="inlineStr">
        <is>
          <t>A 1806-2023</t>
        </is>
      </c>
      <c r="B561" s="1" t="n">
        <v>44938</v>
      </c>
      <c r="C561" s="1" t="n">
        <v>45472</v>
      </c>
      <c r="D561" t="inlineStr">
        <is>
          <t>JÄMTLANDS LÄN</t>
        </is>
      </c>
      <c r="E561" t="inlineStr">
        <is>
          <t>ÅRE</t>
        </is>
      </c>
      <c r="G561" t="n">
        <v>1.3</v>
      </c>
      <c r="H561" t="n">
        <v>0</v>
      </c>
      <c r="I561" t="n">
        <v>0</v>
      </c>
      <c r="J561" t="n">
        <v>0</v>
      </c>
      <c r="K561" t="n">
        <v>0</v>
      </c>
      <c r="L561" t="n">
        <v>0</v>
      </c>
      <c r="M561" t="n">
        <v>0</v>
      </c>
      <c r="N561" t="n">
        <v>0</v>
      </c>
      <c r="O561" t="n">
        <v>0</v>
      </c>
      <c r="P561" t="n">
        <v>0</v>
      </c>
      <c r="Q561" t="n">
        <v>0</v>
      </c>
      <c r="R561" s="2" t="inlineStr"/>
    </row>
    <row r="562" ht="15" customHeight="1">
      <c r="A562" t="inlineStr">
        <is>
          <t>A 2374-2023</t>
        </is>
      </c>
      <c r="B562" s="1" t="n">
        <v>44942</v>
      </c>
      <c r="C562" s="1" t="n">
        <v>45472</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2376-2023</t>
        </is>
      </c>
      <c r="B563" s="1" t="n">
        <v>44942</v>
      </c>
      <c r="C563" s="1" t="n">
        <v>45472</v>
      </c>
      <c r="D563" t="inlineStr">
        <is>
          <t>JÄMTLANDS LÄN</t>
        </is>
      </c>
      <c r="E563" t="inlineStr">
        <is>
          <t>ÅRE</t>
        </is>
      </c>
      <c r="G563" t="n">
        <v>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45472</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3066-2023</t>
        </is>
      </c>
      <c r="B565" s="1" t="n">
        <v>44946</v>
      </c>
      <c r="C565" s="1" t="n">
        <v>45472</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3147-2023</t>
        </is>
      </c>
      <c r="B566" s="1" t="n">
        <v>44946</v>
      </c>
      <c r="C566" s="1" t="n">
        <v>45472</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3154-2023</t>
        </is>
      </c>
      <c r="B567" s="1" t="n">
        <v>44946</v>
      </c>
      <c r="C567" s="1" t="n">
        <v>45472</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45472</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3204-2023</t>
        </is>
      </c>
      <c r="B569" s="1" t="n">
        <v>44946</v>
      </c>
      <c r="C569" s="1" t="n">
        <v>45472</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44949</v>
      </c>
      <c r="C570" s="1" t="n">
        <v>45472</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5651-2023</t>
        </is>
      </c>
      <c r="B571" s="1" t="n">
        <v>44958</v>
      </c>
      <c r="C571" s="1" t="n">
        <v>45472</v>
      </c>
      <c r="D571" t="inlineStr">
        <is>
          <t>JÄMTLANDS LÄN</t>
        </is>
      </c>
      <c r="E571" t="inlineStr">
        <is>
          <t>ÅRE</t>
        </is>
      </c>
      <c r="G571" t="n">
        <v>5.7</v>
      </c>
      <c r="H571" t="n">
        <v>0</v>
      </c>
      <c r="I571" t="n">
        <v>0</v>
      </c>
      <c r="J571" t="n">
        <v>0</v>
      </c>
      <c r="K571" t="n">
        <v>0</v>
      </c>
      <c r="L571" t="n">
        <v>0</v>
      </c>
      <c r="M571" t="n">
        <v>0</v>
      </c>
      <c r="N571" t="n">
        <v>0</v>
      </c>
      <c r="O571" t="n">
        <v>0</v>
      </c>
      <c r="P571" t="n">
        <v>0</v>
      </c>
      <c r="Q571" t="n">
        <v>0</v>
      </c>
      <c r="R571" s="2" t="inlineStr"/>
    </row>
    <row r="572" ht="15" customHeight="1">
      <c r="A572" t="inlineStr">
        <is>
          <t>A 5654-2023</t>
        </is>
      </c>
      <c r="B572" s="1" t="n">
        <v>44958</v>
      </c>
      <c r="C572" s="1" t="n">
        <v>45472</v>
      </c>
      <c r="D572" t="inlineStr">
        <is>
          <t>JÄMTLANDS LÄN</t>
        </is>
      </c>
      <c r="E572" t="inlineStr">
        <is>
          <t>ÅRE</t>
        </is>
      </c>
      <c r="G572" t="n">
        <v>14.4</v>
      </c>
      <c r="H572" t="n">
        <v>0</v>
      </c>
      <c r="I572" t="n">
        <v>0</v>
      </c>
      <c r="J572" t="n">
        <v>0</v>
      </c>
      <c r="K572" t="n">
        <v>0</v>
      </c>
      <c r="L572" t="n">
        <v>0</v>
      </c>
      <c r="M572" t="n">
        <v>0</v>
      </c>
      <c r="N572" t="n">
        <v>0</v>
      </c>
      <c r="O572" t="n">
        <v>0</v>
      </c>
      <c r="P572" t="n">
        <v>0</v>
      </c>
      <c r="Q572" t="n">
        <v>0</v>
      </c>
      <c r="R572" s="2" t="inlineStr"/>
    </row>
    <row r="573" ht="15" customHeight="1">
      <c r="A573" t="inlineStr">
        <is>
          <t>A 5460-2023</t>
        </is>
      </c>
      <c r="B573" s="1" t="n">
        <v>44960</v>
      </c>
      <c r="C573" s="1" t="n">
        <v>45472</v>
      </c>
      <c r="D573" t="inlineStr">
        <is>
          <t>JÄMTLANDS LÄN</t>
        </is>
      </c>
      <c r="E573" t="inlineStr">
        <is>
          <t>ÅRE</t>
        </is>
      </c>
      <c r="G573" t="n">
        <v>9.4</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45472</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7970-2023</t>
        </is>
      </c>
      <c r="B575" s="1" t="n">
        <v>44970</v>
      </c>
      <c r="C575" s="1" t="n">
        <v>45472</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7977-2023</t>
        </is>
      </c>
      <c r="B576" s="1" t="n">
        <v>44970</v>
      </c>
      <c r="C576" s="1" t="n">
        <v>45472</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8443-2023</t>
        </is>
      </c>
      <c r="B577" s="1" t="n">
        <v>44977</v>
      </c>
      <c r="C577" s="1" t="n">
        <v>45472</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8630-2023</t>
        </is>
      </c>
      <c r="B578" s="1" t="n">
        <v>44977</v>
      </c>
      <c r="C578" s="1" t="n">
        <v>45472</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10248-2023</t>
        </is>
      </c>
      <c r="B579" s="1" t="n">
        <v>44980</v>
      </c>
      <c r="C579" s="1" t="n">
        <v>45472</v>
      </c>
      <c r="D579" t="inlineStr">
        <is>
          <t>JÄMTLANDS LÄN</t>
        </is>
      </c>
      <c r="E579" t="inlineStr">
        <is>
          <t>ÅRE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9775-2023</t>
        </is>
      </c>
      <c r="B580" s="1" t="n">
        <v>44984</v>
      </c>
      <c r="C580" s="1" t="n">
        <v>45472</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11813-2023</t>
        </is>
      </c>
      <c r="B581" s="1" t="n">
        <v>44994</v>
      </c>
      <c r="C581" s="1" t="n">
        <v>45472</v>
      </c>
      <c r="D581" t="inlineStr">
        <is>
          <t>JÄMTLANDS LÄN</t>
        </is>
      </c>
      <c r="E581" t="inlineStr">
        <is>
          <t>ÅRE</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v>
      </c>
      <c r="C582" s="1" t="n">
        <v>45472</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v>
      </c>
      <c r="C583" s="1" t="n">
        <v>45472</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12290-2023</t>
        </is>
      </c>
      <c r="B584" s="1" t="n">
        <v>44998</v>
      </c>
      <c r="C584" s="1" t="n">
        <v>45472</v>
      </c>
      <c r="D584" t="inlineStr">
        <is>
          <t>JÄMTLANDS LÄN</t>
        </is>
      </c>
      <c r="E584" t="inlineStr">
        <is>
          <t>ÅRE</t>
        </is>
      </c>
      <c r="G584" t="n">
        <v>2.8</v>
      </c>
      <c r="H584" t="n">
        <v>0</v>
      </c>
      <c r="I584" t="n">
        <v>0</v>
      </c>
      <c r="J584" t="n">
        <v>0</v>
      </c>
      <c r="K584" t="n">
        <v>0</v>
      </c>
      <c r="L584" t="n">
        <v>0</v>
      </c>
      <c r="M584" t="n">
        <v>0</v>
      </c>
      <c r="N584" t="n">
        <v>0</v>
      </c>
      <c r="O584" t="n">
        <v>0</v>
      </c>
      <c r="P584" t="n">
        <v>0</v>
      </c>
      <c r="Q584" t="n">
        <v>0</v>
      </c>
      <c r="R584" s="2" t="inlineStr"/>
    </row>
    <row r="585" ht="15" customHeight="1">
      <c r="A585" t="inlineStr">
        <is>
          <t>A 12168-2023</t>
        </is>
      </c>
      <c r="B585" s="1" t="n">
        <v>44998</v>
      </c>
      <c r="C585" s="1" t="n">
        <v>45472</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12173-2023</t>
        </is>
      </c>
      <c r="B586" s="1" t="n">
        <v>44998</v>
      </c>
      <c r="C586" s="1" t="n">
        <v>45472</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45472</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12216-2023</t>
        </is>
      </c>
      <c r="B588" s="1" t="n">
        <v>44998</v>
      </c>
      <c r="C588" s="1" t="n">
        <v>45472</v>
      </c>
      <c r="D588" t="inlineStr">
        <is>
          <t>JÄMTLANDS LÄN</t>
        </is>
      </c>
      <c r="E588" t="inlineStr">
        <is>
          <t>ÅRE</t>
        </is>
      </c>
      <c r="G588" t="n">
        <v>11.8</v>
      </c>
      <c r="H588" t="n">
        <v>0</v>
      </c>
      <c r="I588" t="n">
        <v>0</v>
      </c>
      <c r="J588" t="n">
        <v>0</v>
      </c>
      <c r="K588" t="n">
        <v>0</v>
      </c>
      <c r="L588" t="n">
        <v>0</v>
      </c>
      <c r="M588" t="n">
        <v>0</v>
      </c>
      <c r="N588" t="n">
        <v>0</v>
      </c>
      <c r="O588" t="n">
        <v>0</v>
      </c>
      <c r="P588" t="n">
        <v>0</v>
      </c>
      <c r="Q588" t="n">
        <v>0</v>
      </c>
      <c r="R588" s="2" t="inlineStr"/>
    </row>
    <row r="589" ht="15" customHeight="1">
      <c r="A589" t="inlineStr">
        <is>
          <t>A 12227-2023</t>
        </is>
      </c>
      <c r="B589" s="1" t="n">
        <v>44998</v>
      </c>
      <c r="C589" s="1" t="n">
        <v>45472</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12288-2023</t>
        </is>
      </c>
      <c r="B590" s="1" t="n">
        <v>44998</v>
      </c>
      <c r="C590" s="1" t="n">
        <v>45472</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12292-2023</t>
        </is>
      </c>
      <c r="B591" s="1" t="n">
        <v>44998</v>
      </c>
      <c r="C591" s="1" t="n">
        <v>45472</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12193-2023</t>
        </is>
      </c>
      <c r="B592" s="1" t="n">
        <v>44998</v>
      </c>
      <c r="C592" s="1" t="n">
        <v>45472</v>
      </c>
      <c r="D592" t="inlineStr">
        <is>
          <t>JÄMTLANDS LÄN</t>
        </is>
      </c>
      <c r="E592" t="inlineStr">
        <is>
          <t>ÅRE</t>
        </is>
      </c>
      <c r="G592" t="n">
        <v>14.7</v>
      </c>
      <c r="H592" t="n">
        <v>0</v>
      </c>
      <c r="I592" t="n">
        <v>0</v>
      </c>
      <c r="J592" t="n">
        <v>0</v>
      </c>
      <c r="K592" t="n">
        <v>0</v>
      </c>
      <c r="L592" t="n">
        <v>0</v>
      </c>
      <c r="M592" t="n">
        <v>0</v>
      </c>
      <c r="N592" t="n">
        <v>0</v>
      </c>
      <c r="O592" t="n">
        <v>0</v>
      </c>
      <c r="P592" t="n">
        <v>0</v>
      </c>
      <c r="Q592" t="n">
        <v>0</v>
      </c>
      <c r="R592" s="2" t="inlineStr"/>
    </row>
    <row r="593" ht="15" customHeight="1">
      <c r="A593" t="inlineStr">
        <is>
          <t>A 12287-2023</t>
        </is>
      </c>
      <c r="B593" s="1" t="n">
        <v>44998</v>
      </c>
      <c r="C593" s="1" t="n">
        <v>45472</v>
      </c>
      <c r="D593" t="inlineStr">
        <is>
          <t>JÄMTLANDS LÄN</t>
        </is>
      </c>
      <c r="E593" t="inlineStr">
        <is>
          <t>ÅRE</t>
        </is>
      </c>
      <c r="G593" t="n">
        <v>3.1</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v>
      </c>
      <c r="C594" s="1" t="n">
        <v>45472</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12179-2023</t>
        </is>
      </c>
      <c r="B595" s="1" t="n">
        <v>44998</v>
      </c>
      <c r="C595" s="1" t="n">
        <v>45472</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12294-2023</t>
        </is>
      </c>
      <c r="B596" s="1" t="n">
        <v>44998</v>
      </c>
      <c r="C596" s="1" t="n">
        <v>45472</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12663-2023</t>
        </is>
      </c>
      <c r="B597" s="1" t="n">
        <v>45000</v>
      </c>
      <c r="C597" s="1" t="n">
        <v>45472</v>
      </c>
      <c r="D597" t="inlineStr">
        <is>
          <t>JÄMTLANDS LÄN</t>
        </is>
      </c>
      <c r="E597" t="inlineStr">
        <is>
          <t>ÅRE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12669-2023</t>
        </is>
      </c>
      <c r="B598" s="1" t="n">
        <v>45000</v>
      </c>
      <c r="C598" s="1" t="n">
        <v>45472</v>
      </c>
      <c r="D598" t="inlineStr">
        <is>
          <t>JÄMTLANDS LÄN</t>
        </is>
      </c>
      <c r="E598" t="inlineStr">
        <is>
          <t>ÅRE</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12816-2023</t>
        </is>
      </c>
      <c r="B599" s="1" t="n">
        <v>45000</v>
      </c>
      <c r="C599" s="1" t="n">
        <v>45472</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13648-2023</t>
        </is>
      </c>
      <c r="B600" s="1" t="n">
        <v>45006</v>
      </c>
      <c r="C600" s="1" t="n">
        <v>45472</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13631-2023</t>
        </is>
      </c>
      <c r="B601" s="1" t="n">
        <v>45006</v>
      </c>
      <c r="C601" s="1" t="n">
        <v>45472</v>
      </c>
      <c r="D601" t="inlineStr">
        <is>
          <t>JÄMTLANDS LÄN</t>
        </is>
      </c>
      <c r="E601" t="inlineStr">
        <is>
          <t>ÅRE</t>
        </is>
      </c>
      <c r="G601" t="n">
        <v>2</v>
      </c>
      <c r="H601" t="n">
        <v>0</v>
      </c>
      <c r="I601" t="n">
        <v>0</v>
      </c>
      <c r="J601" t="n">
        <v>0</v>
      </c>
      <c r="K601" t="n">
        <v>0</v>
      </c>
      <c r="L601" t="n">
        <v>0</v>
      </c>
      <c r="M601" t="n">
        <v>0</v>
      </c>
      <c r="N601" t="n">
        <v>0</v>
      </c>
      <c r="O601" t="n">
        <v>0</v>
      </c>
      <c r="P601" t="n">
        <v>0</v>
      </c>
      <c r="Q601" t="n">
        <v>0</v>
      </c>
      <c r="R601" s="2" t="inlineStr"/>
    </row>
    <row r="602" ht="15" customHeight="1">
      <c r="A602" t="inlineStr">
        <is>
          <t>A 13645-2023</t>
        </is>
      </c>
      <c r="B602" s="1" t="n">
        <v>45006</v>
      </c>
      <c r="C602" s="1" t="n">
        <v>45472</v>
      </c>
      <c r="D602" t="inlineStr">
        <is>
          <t>JÄMTLANDS LÄN</t>
        </is>
      </c>
      <c r="E602" t="inlineStr">
        <is>
          <t>ÅRE</t>
        </is>
      </c>
      <c r="G602" t="n">
        <v>5</v>
      </c>
      <c r="H602" t="n">
        <v>0</v>
      </c>
      <c r="I602" t="n">
        <v>0</v>
      </c>
      <c r="J602" t="n">
        <v>0</v>
      </c>
      <c r="K602" t="n">
        <v>0</v>
      </c>
      <c r="L602" t="n">
        <v>0</v>
      </c>
      <c r="M602" t="n">
        <v>0</v>
      </c>
      <c r="N602" t="n">
        <v>0</v>
      </c>
      <c r="O602" t="n">
        <v>0</v>
      </c>
      <c r="P602" t="n">
        <v>0</v>
      </c>
      <c r="Q602" t="n">
        <v>0</v>
      </c>
      <c r="R602" s="2" t="inlineStr"/>
    </row>
    <row r="603" ht="15" customHeight="1">
      <c r="A603" t="inlineStr">
        <is>
          <t>A 15884-2023</t>
        </is>
      </c>
      <c r="B603" s="1" t="n">
        <v>45022</v>
      </c>
      <c r="C603" s="1" t="n">
        <v>45472</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15892-2023</t>
        </is>
      </c>
      <c r="B604" s="1" t="n">
        <v>45022</v>
      </c>
      <c r="C604" s="1" t="n">
        <v>45472</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45472</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17636-2023</t>
        </is>
      </c>
      <c r="B606" s="1" t="n">
        <v>45036</v>
      </c>
      <c r="C606" s="1" t="n">
        <v>45472</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17703-2023</t>
        </is>
      </c>
      <c r="B607" s="1" t="n">
        <v>45037</v>
      </c>
      <c r="C607" s="1" t="n">
        <v>45472</v>
      </c>
      <c r="D607" t="inlineStr">
        <is>
          <t>JÄMTLANDS LÄN</t>
        </is>
      </c>
      <c r="E607" t="inlineStr">
        <is>
          <t>ÅRE</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17847-2023</t>
        </is>
      </c>
      <c r="B608" s="1" t="n">
        <v>45037</v>
      </c>
      <c r="C608" s="1" t="n">
        <v>45472</v>
      </c>
      <c r="D608" t="inlineStr">
        <is>
          <t>JÄMTLANDS LÄN</t>
        </is>
      </c>
      <c r="E608" t="inlineStr">
        <is>
          <t>ÅRE</t>
        </is>
      </c>
      <c r="G608" t="n">
        <v>2.1</v>
      </c>
      <c r="H608" t="n">
        <v>0</v>
      </c>
      <c r="I608" t="n">
        <v>0</v>
      </c>
      <c r="J608" t="n">
        <v>0</v>
      </c>
      <c r="K608" t="n">
        <v>0</v>
      </c>
      <c r="L608" t="n">
        <v>0</v>
      </c>
      <c r="M608" t="n">
        <v>0</v>
      </c>
      <c r="N608" t="n">
        <v>0</v>
      </c>
      <c r="O608" t="n">
        <v>0</v>
      </c>
      <c r="P608" t="n">
        <v>0</v>
      </c>
      <c r="Q608" t="n">
        <v>0</v>
      </c>
      <c r="R608" s="2" t="inlineStr"/>
    </row>
    <row r="609" ht="15" customHeight="1">
      <c r="A609" t="inlineStr">
        <is>
          <t>A 18204-2023</t>
        </is>
      </c>
      <c r="B609" s="1" t="n">
        <v>45040</v>
      </c>
      <c r="C609" s="1" t="n">
        <v>45472</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18253-2023</t>
        </is>
      </c>
      <c r="B610" s="1" t="n">
        <v>45041</v>
      </c>
      <c r="C610" s="1" t="n">
        <v>45472</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18264-2023</t>
        </is>
      </c>
      <c r="B611" s="1" t="n">
        <v>45041</v>
      </c>
      <c r="C611" s="1" t="n">
        <v>45472</v>
      </c>
      <c r="D611" t="inlineStr">
        <is>
          <t>JÄMTLANDS LÄN</t>
        </is>
      </c>
      <c r="E611" t="inlineStr">
        <is>
          <t>ÅRE</t>
        </is>
      </c>
      <c r="G611" t="n">
        <v>0.2</v>
      </c>
      <c r="H611" t="n">
        <v>0</v>
      </c>
      <c r="I611" t="n">
        <v>0</v>
      </c>
      <c r="J611" t="n">
        <v>0</v>
      </c>
      <c r="K611" t="n">
        <v>0</v>
      </c>
      <c r="L611" t="n">
        <v>0</v>
      </c>
      <c r="M611" t="n">
        <v>0</v>
      </c>
      <c r="N611" t="n">
        <v>0</v>
      </c>
      <c r="O611" t="n">
        <v>0</v>
      </c>
      <c r="P611" t="n">
        <v>0</v>
      </c>
      <c r="Q611" t="n">
        <v>0</v>
      </c>
      <c r="R611" s="2" t="inlineStr"/>
    </row>
    <row r="612" ht="15" customHeight="1">
      <c r="A612" t="inlineStr">
        <is>
          <t>A 19694-2023</t>
        </is>
      </c>
      <c r="B612" s="1" t="n">
        <v>45051</v>
      </c>
      <c r="C612" s="1" t="n">
        <v>45472</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19698-2023</t>
        </is>
      </c>
      <c r="B613" s="1" t="n">
        <v>45051</v>
      </c>
      <c r="C613" s="1" t="n">
        <v>45472</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19705-2023</t>
        </is>
      </c>
      <c r="B614" s="1" t="n">
        <v>45051</v>
      </c>
      <c r="C614" s="1" t="n">
        <v>45472</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19877-2023</t>
        </is>
      </c>
      <c r="B615" s="1" t="n">
        <v>45054</v>
      </c>
      <c r="C615" s="1" t="n">
        <v>45472</v>
      </c>
      <c r="D615" t="inlineStr">
        <is>
          <t>JÄMTLANDS LÄN</t>
        </is>
      </c>
      <c r="E615" t="inlineStr">
        <is>
          <t>ÅRE</t>
        </is>
      </c>
      <c r="G615" t="n">
        <v>6.1</v>
      </c>
      <c r="H615" t="n">
        <v>0</v>
      </c>
      <c r="I615" t="n">
        <v>0</v>
      </c>
      <c r="J615" t="n">
        <v>0</v>
      </c>
      <c r="K615" t="n">
        <v>0</v>
      </c>
      <c r="L615" t="n">
        <v>0</v>
      </c>
      <c r="M615" t="n">
        <v>0</v>
      </c>
      <c r="N615" t="n">
        <v>0</v>
      </c>
      <c r="O615" t="n">
        <v>0</v>
      </c>
      <c r="P615" t="n">
        <v>0</v>
      </c>
      <c r="Q615" t="n">
        <v>0</v>
      </c>
      <c r="R615" s="2" t="inlineStr"/>
    </row>
    <row r="616" ht="15" customHeight="1">
      <c r="A616" t="inlineStr">
        <is>
          <t>A 20278-2023</t>
        </is>
      </c>
      <c r="B616" s="1" t="n">
        <v>45056</v>
      </c>
      <c r="C616" s="1" t="n">
        <v>45472</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23805-2023</t>
        </is>
      </c>
      <c r="B617" s="1" t="n">
        <v>45075</v>
      </c>
      <c r="C617" s="1" t="n">
        <v>45472</v>
      </c>
      <c r="D617" t="inlineStr">
        <is>
          <t>JÄMTLANDS LÄN</t>
        </is>
      </c>
      <c r="E617" t="inlineStr">
        <is>
          <t>ÅRE</t>
        </is>
      </c>
      <c r="G617" t="n">
        <v>0.9</v>
      </c>
      <c r="H617" t="n">
        <v>0</v>
      </c>
      <c r="I617" t="n">
        <v>0</v>
      </c>
      <c r="J617" t="n">
        <v>0</v>
      </c>
      <c r="K617" t="n">
        <v>0</v>
      </c>
      <c r="L617" t="n">
        <v>0</v>
      </c>
      <c r="M617" t="n">
        <v>0</v>
      </c>
      <c r="N617" t="n">
        <v>0</v>
      </c>
      <c r="O617" t="n">
        <v>0</v>
      </c>
      <c r="P617" t="n">
        <v>0</v>
      </c>
      <c r="Q617" t="n">
        <v>0</v>
      </c>
      <c r="R617" s="2" t="inlineStr"/>
    </row>
    <row r="618" ht="15" customHeight="1">
      <c r="A618" t="inlineStr">
        <is>
          <t>A 24655-2023</t>
        </is>
      </c>
      <c r="B618" s="1" t="n">
        <v>45084</v>
      </c>
      <c r="C618" s="1" t="n">
        <v>45472</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25040-2023</t>
        </is>
      </c>
      <c r="B619" s="1" t="n">
        <v>45086</v>
      </c>
      <c r="C619" s="1" t="n">
        <v>45472</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25926-2023</t>
        </is>
      </c>
      <c r="B620" s="1" t="n">
        <v>45085</v>
      </c>
      <c r="C620" s="1" t="n">
        <v>45472</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25302-2023</t>
        </is>
      </c>
      <c r="B621" s="1" t="n">
        <v>45086</v>
      </c>
      <c r="C621" s="1" t="n">
        <v>45472</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25303-2023</t>
        </is>
      </c>
      <c r="B622" s="1" t="n">
        <v>45086</v>
      </c>
      <c r="C622" s="1" t="n">
        <v>45472</v>
      </c>
      <c r="D622" t="inlineStr">
        <is>
          <t>JÄMTLANDS LÄN</t>
        </is>
      </c>
      <c r="E622" t="inlineStr">
        <is>
          <t>ÅRE</t>
        </is>
      </c>
      <c r="G622" t="n">
        <v>0.4</v>
      </c>
      <c r="H622" t="n">
        <v>0</v>
      </c>
      <c r="I622" t="n">
        <v>0</v>
      </c>
      <c r="J622" t="n">
        <v>0</v>
      </c>
      <c r="K622" t="n">
        <v>0</v>
      </c>
      <c r="L622" t="n">
        <v>0</v>
      </c>
      <c r="M622" t="n">
        <v>0</v>
      </c>
      <c r="N622" t="n">
        <v>0</v>
      </c>
      <c r="O622" t="n">
        <v>0</v>
      </c>
      <c r="P622" t="n">
        <v>0</v>
      </c>
      <c r="Q622" t="n">
        <v>0</v>
      </c>
      <c r="R622" s="2" t="inlineStr"/>
    </row>
    <row r="623" ht="15" customHeight="1">
      <c r="A623" t="inlineStr">
        <is>
          <t>A 26032-2023</t>
        </is>
      </c>
      <c r="B623" s="1" t="n">
        <v>45091</v>
      </c>
      <c r="C623" s="1" t="n">
        <v>45472</v>
      </c>
      <c r="D623" t="inlineStr">
        <is>
          <t>JÄMTLANDS LÄN</t>
        </is>
      </c>
      <c r="E623" t="inlineStr">
        <is>
          <t>ÅRE</t>
        </is>
      </c>
      <c r="G623" t="n">
        <v>0.5</v>
      </c>
      <c r="H623" t="n">
        <v>0</v>
      </c>
      <c r="I623" t="n">
        <v>0</v>
      </c>
      <c r="J623" t="n">
        <v>0</v>
      </c>
      <c r="K623" t="n">
        <v>0</v>
      </c>
      <c r="L623" t="n">
        <v>0</v>
      </c>
      <c r="M623" t="n">
        <v>0</v>
      </c>
      <c r="N623" t="n">
        <v>0</v>
      </c>
      <c r="O623" t="n">
        <v>0</v>
      </c>
      <c r="P623" t="n">
        <v>0</v>
      </c>
      <c r="Q623" t="n">
        <v>0</v>
      </c>
      <c r="R623" s="2" t="inlineStr"/>
    </row>
    <row r="624" ht="15" customHeight="1">
      <c r="A624" t="inlineStr">
        <is>
          <t>A 26033-2023</t>
        </is>
      </c>
      <c r="B624" s="1" t="n">
        <v>45091</v>
      </c>
      <c r="C624" s="1" t="n">
        <v>45472</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26960-2023</t>
        </is>
      </c>
      <c r="B625" s="1" t="n">
        <v>45091</v>
      </c>
      <c r="C625" s="1" t="n">
        <v>45472</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29293-2023</t>
        </is>
      </c>
      <c r="B626" s="1" t="n">
        <v>45098</v>
      </c>
      <c r="C626" s="1" t="n">
        <v>45472</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29295-2023</t>
        </is>
      </c>
      <c r="B627" s="1" t="n">
        <v>45098</v>
      </c>
      <c r="C627" s="1" t="n">
        <v>45472</v>
      </c>
      <c r="D627" t="inlineStr">
        <is>
          <t>JÄMTLANDS LÄN</t>
        </is>
      </c>
      <c r="E627" t="inlineStr">
        <is>
          <t>ÅRE</t>
        </is>
      </c>
      <c r="G627" t="n">
        <v>3.9</v>
      </c>
      <c r="H627" t="n">
        <v>0</v>
      </c>
      <c r="I627" t="n">
        <v>0</v>
      </c>
      <c r="J627" t="n">
        <v>0</v>
      </c>
      <c r="K627" t="n">
        <v>0</v>
      </c>
      <c r="L627" t="n">
        <v>0</v>
      </c>
      <c r="M627" t="n">
        <v>0</v>
      </c>
      <c r="N627" t="n">
        <v>0</v>
      </c>
      <c r="O627" t="n">
        <v>0</v>
      </c>
      <c r="P627" t="n">
        <v>0</v>
      </c>
      <c r="Q627" t="n">
        <v>0</v>
      </c>
      <c r="R627" s="2" t="inlineStr"/>
    </row>
    <row r="628" ht="15" customHeight="1">
      <c r="A628" t="inlineStr">
        <is>
          <t>A 29469-2023</t>
        </is>
      </c>
      <c r="B628" s="1" t="n">
        <v>45098</v>
      </c>
      <c r="C628" s="1" t="n">
        <v>45472</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29294-2023</t>
        </is>
      </c>
      <c r="B629" s="1" t="n">
        <v>45098</v>
      </c>
      <c r="C629" s="1" t="n">
        <v>45472</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29531-2023</t>
        </is>
      </c>
      <c r="B630" s="1" t="n">
        <v>45098</v>
      </c>
      <c r="C630" s="1" t="n">
        <v>45472</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30660-2023</t>
        </is>
      </c>
      <c r="B631" s="1" t="n">
        <v>45098</v>
      </c>
      <c r="C631" s="1" t="n">
        <v>45472</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30263-2023</t>
        </is>
      </c>
      <c r="B632" s="1" t="n">
        <v>45099</v>
      </c>
      <c r="C632" s="1" t="n">
        <v>45472</v>
      </c>
      <c r="D632" t="inlineStr">
        <is>
          <t>JÄMTLANDS LÄN</t>
        </is>
      </c>
      <c r="E632" t="inlineStr">
        <is>
          <t>ÅRE</t>
        </is>
      </c>
      <c r="G632" t="n">
        <v>15.9</v>
      </c>
      <c r="H632" t="n">
        <v>0</v>
      </c>
      <c r="I632" t="n">
        <v>0</v>
      </c>
      <c r="J632" t="n">
        <v>0</v>
      </c>
      <c r="K632" t="n">
        <v>0</v>
      </c>
      <c r="L632" t="n">
        <v>0</v>
      </c>
      <c r="M632" t="n">
        <v>0</v>
      </c>
      <c r="N632" t="n">
        <v>0</v>
      </c>
      <c r="O632" t="n">
        <v>0</v>
      </c>
      <c r="P632" t="n">
        <v>0</v>
      </c>
      <c r="Q632" t="n">
        <v>0</v>
      </c>
      <c r="R632" s="2" t="inlineStr"/>
    </row>
    <row r="633" ht="15" customHeight="1">
      <c r="A633" t="inlineStr">
        <is>
          <t>A 33774-2023</t>
        </is>
      </c>
      <c r="B633" s="1" t="n">
        <v>45120</v>
      </c>
      <c r="C633" s="1" t="n">
        <v>45472</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33117-2023</t>
        </is>
      </c>
      <c r="B634" s="1" t="n">
        <v>45126</v>
      </c>
      <c r="C634" s="1" t="n">
        <v>45472</v>
      </c>
      <c r="D634" t="inlineStr">
        <is>
          <t>JÄMTLANDS LÄN</t>
        </is>
      </c>
      <c r="E634" t="inlineStr">
        <is>
          <t>ÅRE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33123-2023</t>
        </is>
      </c>
      <c r="B635" s="1" t="n">
        <v>45126</v>
      </c>
      <c r="C635" s="1" t="n">
        <v>45472</v>
      </c>
      <c r="D635" t="inlineStr">
        <is>
          <t>JÄMTLANDS LÄN</t>
        </is>
      </c>
      <c r="E635" t="inlineStr">
        <is>
          <t>ÅRE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33121-2023</t>
        </is>
      </c>
      <c r="B636" s="1" t="n">
        <v>45126</v>
      </c>
      <c r="C636" s="1" t="n">
        <v>45472</v>
      </c>
      <c r="D636" t="inlineStr">
        <is>
          <t>JÄMTLANDS LÄN</t>
        </is>
      </c>
      <c r="E636" t="inlineStr">
        <is>
          <t>ÅRE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34231-2023</t>
        </is>
      </c>
      <c r="B637" s="1" t="n">
        <v>45127</v>
      </c>
      <c r="C637" s="1" t="n">
        <v>45472</v>
      </c>
      <c r="D637" t="inlineStr">
        <is>
          <t>JÄMTLANDS LÄN</t>
        </is>
      </c>
      <c r="E637" t="inlineStr">
        <is>
          <t>ÅRE</t>
        </is>
      </c>
      <c r="G637" t="n">
        <v>18.3</v>
      </c>
      <c r="H637" t="n">
        <v>0</v>
      </c>
      <c r="I637" t="n">
        <v>0</v>
      </c>
      <c r="J637" t="n">
        <v>0</v>
      </c>
      <c r="K637" t="n">
        <v>0</v>
      </c>
      <c r="L637" t="n">
        <v>0</v>
      </c>
      <c r="M637" t="n">
        <v>0</v>
      </c>
      <c r="N637" t="n">
        <v>0</v>
      </c>
      <c r="O637" t="n">
        <v>0</v>
      </c>
      <c r="P637" t="n">
        <v>0</v>
      </c>
      <c r="Q637" t="n">
        <v>0</v>
      </c>
      <c r="R637" s="2" t="inlineStr"/>
    </row>
    <row r="638" ht="15" customHeight="1">
      <c r="A638" t="inlineStr">
        <is>
          <t>A 34538-2023</t>
        </is>
      </c>
      <c r="B638" s="1" t="n">
        <v>45134</v>
      </c>
      <c r="C638" s="1" t="n">
        <v>45472</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36048-2023</t>
        </is>
      </c>
      <c r="B639" s="1" t="n">
        <v>45149</v>
      </c>
      <c r="C639" s="1" t="n">
        <v>45472</v>
      </c>
      <c r="D639" t="inlineStr">
        <is>
          <t>JÄMTLANDS LÄN</t>
        </is>
      </c>
      <c r="E639" t="inlineStr">
        <is>
          <t>ÅRE</t>
        </is>
      </c>
      <c r="G639" t="n">
        <v>11.4</v>
      </c>
      <c r="H639" t="n">
        <v>0</v>
      </c>
      <c r="I639" t="n">
        <v>0</v>
      </c>
      <c r="J639" t="n">
        <v>0</v>
      </c>
      <c r="K639" t="n">
        <v>0</v>
      </c>
      <c r="L639" t="n">
        <v>0</v>
      </c>
      <c r="M639" t="n">
        <v>0</v>
      </c>
      <c r="N639" t="n">
        <v>0</v>
      </c>
      <c r="O639" t="n">
        <v>0</v>
      </c>
      <c r="P639" t="n">
        <v>0</v>
      </c>
      <c r="Q639" t="n">
        <v>0</v>
      </c>
      <c r="R639" s="2" t="inlineStr"/>
    </row>
    <row r="640" ht="15" customHeight="1">
      <c r="A640" t="inlineStr">
        <is>
          <t>A 36234-2023</t>
        </is>
      </c>
      <c r="B640" s="1" t="n">
        <v>45150</v>
      </c>
      <c r="C640" s="1" t="n">
        <v>45472</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36235-2023</t>
        </is>
      </c>
      <c r="B641" s="1" t="n">
        <v>45150</v>
      </c>
      <c r="C641" s="1" t="n">
        <v>45472</v>
      </c>
      <c r="D641" t="inlineStr">
        <is>
          <t>JÄMTLANDS LÄN</t>
        </is>
      </c>
      <c r="E641" t="inlineStr">
        <is>
          <t>ÅRE</t>
        </is>
      </c>
      <c r="G641" t="n">
        <v>4.4</v>
      </c>
      <c r="H641" t="n">
        <v>0</v>
      </c>
      <c r="I641" t="n">
        <v>0</v>
      </c>
      <c r="J641" t="n">
        <v>0</v>
      </c>
      <c r="K641" t="n">
        <v>0</v>
      </c>
      <c r="L641" t="n">
        <v>0</v>
      </c>
      <c r="M641" t="n">
        <v>0</v>
      </c>
      <c r="N641" t="n">
        <v>0</v>
      </c>
      <c r="O641" t="n">
        <v>0</v>
      </c>
      <c r="P641" t="n">
        <v>0</v>
      </c>
      <c r="Q641" t="n">
        <v>0</v>
      </c>
      <c r="R641" s="2" t="inlineStr"/>
    </row>
    <row r="642" ht="15" customHeight="1">
      <c r="A642" t="inlineStr">
        <is>
          <t>A 37729-2023</t>
        </is>
      </c>
      <c r="B642" s="1" t="n">
        <v>45159</v>
      </c>
      <c r="C642" s="1" t="n">
        <v>45472</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37734-2023</t>
        </is>
      </c>
      <c r="B643" s="1" t="n">
        <v>45159</v>
      </c>
      <c r="C643" s="1" t="n">
        <v>45472</v>
      </c>
      <c r="D643" t="inlineStr">
        <is>
          <t>JÄMTLANDS LÄN</t>
        </is>
      </c>
      <c r="E643" t="inlineStr">
        <is>
          <t>ÅRE</t>
        </is>
      </c>
      <c r="G643" t="n">
        <v>3.4</v>
      </c>
      <c r="H643" t="n">
        <v>0</v>
      </c>
      <c r="I643" t="n">
        <v>0</v>
      </c>
      <c r="J643" t="n">
        <v>0</v>
      </c>
      <c r="K643" t="n">
        <v>0</v>
      </c>
      <c r="L643" t="n">
        <v>0</v>
      </c>
      <c r="M643" t="n">
        <v>0</v>
      </c>
      <c r="N643" t="n">
        <v>0</v>
      </c>
      <c r="O643" t="n">
        <v>0</v>
      </c>
      <c r="P643" t="n">
        <v>0</v>
      </c>
      <c r="Q643" t="n">
        <v>0</v>
      </c>
      <c r="R643" s="2" t="inlineStr"/>
    </row>
    <row r="644" ht="15" customHeight="1">
      <c r="A644" t="inlineStr">
        <is>
          <t>A 37739-2023</t>
        </is>
      </c>
      <c r="B644" s="1" t="n">
        <v>45159</v>
      </c>
      <c r="C644" s="1" t="n">
        <v>45472</v>
      </c>
      <c r="D644" t="inlineStr">
        <is>
          <t>JÄMTLANDS LÄN</t>
        </is>
      </c>
      <c r="E644" t="inlineStr">
        <is>
          <t>ÅRE</t>
        </is>
      </c>
      <c r="G644" t="n">
        <v>1.1</v>
      </c>
      <c r="H644" t="n">
        <v>0</v>
      </c>
      <c r="I644" t="n">
        <v>0</v>
      </c>
      <c r="J644" t="n">
        <v>0</v>
      </c>
      <c r="K644" t="n">
        <v>0</v>
      </c>
      <c r="L644" t="n">
        <v>0</v>
      </c>
      <c r="M644" t="n">
        <v>0</v>
      </c>
      <c r="N644" t="n">
        <v>0</v>
      </c>
      <c r="O644" t="n">
        <v>0</v>
      </c>
      <c r="P644" t="n">
        <v>0</v>
      </c>
      <c r="Q644" t="n">
        <v>0</v>
      </c>
      <c r="R644" s="2" t="inlineStr"/>
    </row>
    <row r="645" ht="15" customHeight="1">
      <c r="A645" t="inlineStr">
        <is>
          <t>A 37758-2023</t>
        </is>
      </c>
      <c r="B645" s="1" t="n">
        <v>45159</v>
      </c>
      <c r="C645" s="1" t="n">
        <v>45472</v>
      </c>
      <c r="D645" t="inlineStr">
        <is>
          <t>JÄMTLANDS LÄN</t>
        </is>
      </c>
      <c r="E645" t="inlineStr">
        <is>
          <t>ÅRE</t>
        </is>
      </c>
      <c r="G645" t="n">
        <v>20.1</v>
      </c>
      <c r="H645" t="n">
        <v>0</v>
      </c>
      <c r="I645" t="n">
        <v>0</v>
      </c>
      <c r="J645" t="n">
        <v>0</v>
      </c>
      <c r="K645" t="n">
        <v>0</v>
      </c>
      <c r="L645" t="n">
        <v>0</v>
      </c>
      <c r="M645" t="n">
        <v>0</v>
      </c>
      <c r="N645" t="n">
        <v>0</v>
      </c>
      <c r="O645" t="n">
        <v>0</v>
      </c>
      <c r="P645" t="n">
        <v>0</v>
      </c>
      <c r="Q645" t="n">
        <v>0</v>
      </c>
      <c r="R645" s="2" t="inlineStr"/>
    </row>
    <row r="646" ht="15" customHeight="1">
      <c r="A646" t="inlineStr">
        <is>
          <t>A 40143-2023</t>
        </is>
      </c>
      <c r="B646" s="1" t="n">
        <v>45169</v>
      </c>
      <c r="C646" s="1" t="n">
        <v>45472</v>
      </c>
      <c r="D646" t="inlineStr">
        <is>
          <t>JÄMTLANDS LÄN</t>
        </is>
      </c>
      <c r="E646" t="inlineStr">
        <is>
          <t>ÅRE</t>
        </is>
      </c>
      <c r="G646" t="n">
        <v>8</v>
      </c>
      <c r="H646" t="n">
        <v>0</v>
      </c>
      <c r="I646" t="n">
        <v>0</v>
      </c>
      <c r="J646" t="n">
        <v>0</v>
      </c>
      <c r="K646" t="n">
        <v>0</v>
      </c>
      <c r="L646" t="n">
        <v>0</v>
      </c>
      <c r="M646" t="n">
        <v>0</v>
      </c>
      <c r="N646" t="n">
        <v>0</v>
      </c>
      <c r="O646" t="n">
        <v>0</v>
      </c>
      <c r="P646" t="n">
        <v>0</v>
      </c>
      <c r="Q646" t="n">
        <v>0</v>
      </c>
      <c r="R646" s="2" t="inlineStr"/>
    </row>
    <row r="647" ht="15" customHeight="1">
      <c r="A647" t="inlineStr">
        <is>
          <t>A 40323-2023</t>
        </is>
      </c>
      <c r="B647" s="1" t="n">
        <v>45169</v>
      </c>
      <c r="C647" s="1" t="n">
        <v>45472</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42626-2023</t>
        </is>
      </c>
      <c r="B648" s="1" t="n">
        <v>45181</v>
      </c>
      <c r="C648" s="1" t="n">
        <v>45472</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43103-2023</t>
        </is>
      </c>
      <c r="B649" s="1" t="n">
        <v>45183</v>
      </c>
      <c r="C649" s="1" t="n">
        <v>45472</v>
      </c>
      <c r="D649" t="inlineStr">
        <is>
          <t>JÄMTLANDS LÄN</t>
        </is>
      </c>
      <c r="E649" t="inlineStr">
        <is>
          <t>ÅRE</t>
        </is>
      </c>
      <c r="G649" t="n">
        <v>7.2</v>
      </c>
      <c r="H649" t="n">
        <v>0</v>
      </c>
      <c r="I649" t="n">
        <v>0</v>
      </c>
      <c r="J649" t="n">
        <v>0</v>
      </c>
      <c r="K649" t="n">
        <v>0</v>
      </c>
      <c r="L649" t="n">
        <v>0</v>
      </c>
      <c r="M649" t="n">
        <v>0</v>
      </c>
      <c r="N649" t="n">
        <v>0</v>
      </c>
      <c r="O649" t="n">
        <v>0</v>
      </c>
      <c r="P649" t="n">
        <v>0</v>
      </c>
      <c r="Q649" t="n">
        <v>0</v>
      </c>
      <c r="R649" s="2" t="inlineStr"/>
    </row>
    <row r="650" ht="15" customHeight="1">
      <c r="A650" t="inlineStr">
        <is>
          <t>A 43446-2023</t>
        </is>
      </c>
      <c r="B650" s="1" t="n">
        <v>45184</v>
      </c>
      <c r="C650" s="1" t="n">
        <v>45472</v>
      </c>
      <c r="D650" t="inlineStr">
        <is>
          <t>JÄMTLANDS LÄN</t>
        </is>
      </c>
      <c r="E650" t="inlineStr">
        <is>
          <t>ÅRE</t>
        </is>
      </c>
      <c r="F650" t="inlineStr">
        <is>
          <t>Övriga Aktiebolag</t>
        </is>
      </c>
      <c r="G650" t="n">
        <v>6.4</v>
      </c>
      <c r="H650" t="n">
        <v>0</v>
      </c>
      <c r="I650" t="n">
        <v>0</v>
      </c>
      <c r="J650" t="n">
        <v>0</v>
      </c>
      <c r="K650" t="n">
        <v>0</v>
      </c>
      <c r="L650" t="n">
        <v>0</v>
      </c>
      <c r="M650" t="n">
        <v>0</v>
      </c>
      <c r="N650" t="n">
        <v>0</v>
      </c>
      <c r="O650" t="n">
        <v>0</v>
      </c>
      <c r="P650" t="n">
        <v>0</v>
      </c>
      <c r="Q650" t="n">
        <v>0</v>
      </c>
      <c r="R650" s="2" t="inlineStr"/>
    </row>
    <row r="651" ht="15" customHeight="1">
      <c r="A651" t="inlineStr">
        <is>
          <t>A 43449-2023</t>
        </is>
      </c>
      <c r="B651" s="1" t="n">
        <v>45184</v>
      </c>
      <c r="C651" s="1" t="n">
        <v>45472</v>
      </c>
      <c r="D651" t="inlineStr">
        <is>
          <t>JÄMTLANDS LÄN</t>
        </is>
      </c>
      <c r="E651" t="inlineStr">
        <is>
          <t>ÅRE</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43456-2023</t>
        </is>
      </c>
      <c r="B652" s="1" t="n">
        <v>45184</v>
      </c>
      <c r="C652" s="1" t="n">
        <v>45472</v>
      </c>
      <c r="D652" t="inlineStr">
        <is>
          <t>JÄMTLANDS LÄN</t>
        </is>
      </c>
      <c r="E652" t="inlineStr">
        <is>
          <t>ÅRE</t>
        </is>
      </c>
      <c r="F652" t="inlineStr">
        <is>
          <t>Övriga Aktiebolag</t>
        </is>
      </c>
      <c r="G652" t="n">
        <v>8.9</v>
      </c>
      <c r="H652" t="n">
        <v>0</v>
      </c>
      <c r="I652" t="n">
        <v>0</v>
      </c>
      <c r="J652" t="n">
        <v>0</v>
      </c>
      <c r="K652" t="n">
        <v>0</v>
      </c>
      <c r="L652" t="n">
        <v>0</v>
      </c>
      <c r="M652" t="n">
        <v>0</v>
      </c>
      <c r="N652" t="n">
        <v>0</v>
      </c>
      <c r="O652" t="n">
        <v>0</v>
      </c>
      <c r="P652" t="n">
        <v>0</v>
      </c>
      <c r="Q652" t="n">
        <v>0</v>
      </c>
      <c r="R652" s="2" t="inlineStr"/>
    </row>
    <row r="653" ht="15" customHeight="1">
      <c r="A653" t="inlineStr">
        <is>
          <t>A 44512-2023</t>
        </is>
      </c>
      <c r="B653" s="1" t="n">
        <v>45184</v>
      </c>
      <c r="C653" s="1" t="n">
        <v>45472</v>
      </c>
      <c r="D653" t="inlineStr">
        <is>
          <t>JÄMTLANDS LÄN</t>
        </is>
      </c>
      <c r="E653" t="inlineStr">
        <is>
          <t>ÅRE</t>
        </is>
      </c>
      <c r="G653" t="n">
        <v>12.5</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45472</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44889-2023</t>
        </is>
      </c>
      <c r="B655" s="1" t="n">
        <v>45190</v>
      </c>
      <c r="C655" s="1" t="n">
        <v>45472</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44898-2023</t>
        </is>
      </c>
      <c r="B656" s="1" t="n">
        <v>45190</v>
      </c>
      <c r="C656" s="1" t="n">
        <v>45472</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46510-2023</t>
        </is>
      </c>
      <c r="B657" s="1" t="n">
        <v>45197</v>
      </c>
      <c r="C657" s="1" t="n">
        <v>45472</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47698-2023</t>
        </is>
      </c>
      <c r="B658" s="1" t="n">
        <v>45203</v>
      </c>
      <c r="C658" s="1" t="n">
        <v>45472</v>
      </c>
      <c r="D658" t="inlineStr">
        <is>
          <t>JÄMTLANDS LÄN</t>
        </is>
      </c>
      <c r="E658" t="inlineStr">
        <is>
          <t>ÅRE</t>
        </is>
      </c>
      <c r="G658" t="n">
        <v>12</v>
      </c>
      <c r="H658" t="n">
        <v>0</v>
      </c>
      <c r="I658" t="n">
        <v>0</v>
      </c>
      <c r="J658" t="n">
        <v>0</v>
      </c>
      <c r="K658" t="n">
        <v>0</v>
      </c>
      <c r="L658" t="n">
        <v>0</v>
      </c>
      <c r="M658" t="n">
        <v>0</v>
      </c>
      <c r="N658" t="n">
        <v>0</v>
      </c>
      <c r="O658" t="n">
        <v>0</v>
      </c>
      <c r="P658" t="n">
        <v>0</v>
      </c>
      <c r="Q658" t="n">
        <v>0</v>
      </c>
      <c r="R658" s="2" t="inlineStr"/>
    </row>
    <row r="659" ht="15" customHeight="1">
      <c r="A659" t="inlineStr">
        <is>
          <t>A 48599-2023</t>
        </is>
      </c>
      <c r="B659" s="1" t="n">
        <v>45208</v>
      </c>
      <c r="C659" s="1" t="n">
        <v>45472</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52169-2023</t>
        </is>
      </c>
      <c r="B660" s="1" t="n">
        <v>45212</v>
      </c>
      <c r="C660" s="1" t="n">
        <v>45472</v>
      </c>
      <c r="D660" t="inlineStr">
        <is>
          <t>JÄMTLANDS LÄN</t>
        </is>
      </c>
      <c r="E660" t="inlineStr">
        <is>
          <t>ÅRE</t>
        </is>
      </c>
      <c r="F660" t="inlineStr">
        <is>
          <t>Övriga statliga verk och myndigheter</t>
        </is>
      </c>
      <c r="G660" t="n">
        <v>28.1</v>
      </c>
      <c r="H660" t="n">
        <v>0</v>
      </c>
      <c r="I660" t="n">
        <v>0</v>
      </c>
      <c r="J660" t="n">
        <v>0</v>
      </c>
      <c r="K660" t="n">
        <v>0</v>
      </c>
      <c r="L660" t="n">
        <v>0</v>
      </c>
      <c r="M660" t="n">
        <v>0</v>
      </c>
      <c r="N660" t="n">
        <v>0</v>
      </c>
      <c r="O660" t="n">
        <v>0</v>
      </c>
      <c r="P660" t="n">
        <v>0</v>
      </c>
      <c r="Q660" t="n">
        <v>0</v>
      </c>
      <c r="R660" s="2" t="inlineStr"/>
    </row>
    <row r="661" ht="15" customHeight="1">
      <c r="A661" t="inlineStr">
        <is>
          <t>A 50843-2023</t>
        </is>
      </c>
      <c r="B661" s="1" t="n">
        <v>45218</v>
      </c>
      <c r="C661" s="1" t="n">
        <v>45472</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50951-2023</t>
        </is>
      </c>
      <c r="B662" s="1" t="n">
        <v>45218</v>
      </c>
      <c r="C662" s="1" t="n">
        <v>45472</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51317-2023</t>
        </is>
      </c>
      <c r="B663" s="1" t="n">
        <v>45219</v>
      </c>
      <c r="C663" s="1" t="n">
        <v>45472</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51271-2023</t>
        </is>
      </c>
      <c r="B664" s="1" t="n">
        <v>45219</v>
      </c>
      <c r="C664" s="1" t="n">
        <v>45472</v>
      </c>
      <c r="D664" t="inlineStr">
        <is>
          <t>JÄMTLANDS LÄN</t>
        </is>
      </c>
      <c r="E664" t="inlineStr">
        <is>
          <t>ÅRE</t>
        </is>
      </c>
      <c r="G664" t="n">
        <v>4.8</v>
      </c>
      <c r="H664" t="n">
        <v>0</v>
      </c>
      <c r="I664" t="n">
        <v>0</v>
      </c>
      <c r="J664" t="n">
        <v>0</v>
      </c>
      <c r="K664" t="n">
        <v>0</v>
      </c>
      <c r="L664" t="n">
        <v>0</v>
      </c>
      <c r="M664" t="n">
        <v>0</v>
      </c>
      <c r="N664" t="n">
        <v>0</v>
      </c>
      <c r="O664" t="n">
        <v>0</v>
      </c>
      <c r="P664" t="n">
        <v>0</v>
      </c>
      <c r="Q664" t="n">
        <v>0</v>
      </c>
      <c r="R664" s="2" t="inlineStr"/>
    </row>
    <row r="665" ht="15" customHeight="1">
      <c r="A665" t="inlineStr">
        <is>
          <t>A 51311-2023</t>
        </is>
      </c>
      <c r="B665" s="1" t="n">
        <v>45219</v>
      </c>
      <c r="C665" s="1" t="n">
        <v>45472</v>
      </c>
      <c r="D665" t="inlineStr">
        <is>
          <t>JÄMTLANDS LÄN</t>
        </is>
      </c>
      <c r="E665" t="inlineStr">
        <is>
          <t>ÅRE</t>
        </is>
      </c>
      <c r="G665" t="n">
        <v>14.2</v>
      </c>
      <c r="H665" t="n">
        <v>0</v>
      </c>
      <c r="I665" t="n">
        <v>0</v>
      </c>
      <c r="J665" t="n">
        <v>0</v>
      </c>
      <c r="K665" t="n">
        <v>0</v>
      </c>
      <c r="L665" t="n">
        <v>0</v>
      </c>
      <c r="M665" t="n">
        <v>0</v>
      </c>
      <c r="N665" t="n">
        <v>0</v>
      </c>
      <c r="O665" t="n">
        <v>0</v>
      </c>
      <c r="P665" t="n">
        <v>0</v>
      </c>
      <c r="Q665" t="n">
        <v>0</v>
      </c>
      <c r="R665" s="2" t="inlineStr"/>
    </row>
    <row r="666" ht="15" customHeight="1">
      <c r="A666" t="inlineStr">
        <is>
          <t>A 51282-2023</t>
        </is>
      </c>
      <c r="B666" s="1" t="n">
        <v>45219</v>
      </c>
      <c r="C666" s="1" t="n">
        <v>45472</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51277-2023</t>
        </is>
      </c>
      <c r="B667" s="1" t="n">
        <v>45219</v>
      </c>
      <c r="C667" s="1" t="n">
        <v>45472</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51831-2023</t>
        </is>
      </c>
      <c r="B668" s="1" t="n">
        <v>45222</v>
      </c>
      <c r="C668" s="1" t="n">
        <v>45472</v>
      </c>
      <c r="D668" t="inlineStr">
        <is>
          <t>JÄMTLANDS LÄN</t>
        </is>
      </c>
      <c r="E668" t="inlineStr">
        <is>
          <t>ÅRE</t>
        </is>
      </c>
      <c r="G668" t="n">
        <v>2</v>
      </c>
      <c r="H668" t="n">
        <v>0</v>
      </c>
      <c r="I668" t="n">
        <v>0</v>
      </c>
      <c r="J668" t="n">
        <v>0</v>
      </c>
      <c r="K668" t="n">
        <v>0</v>
      </c>
      <c r="L668" t="n">
        <v>0</v>
      </c>
      <c r="M668" t="n">
        <v>0</v>
      </c>
      <c r="N668" t="n">
        <v>0</v>
      </c>
      <c r="O668" t="n">
        <v>0</v>
      </c>
      <c r="P668" t="n">
        <v>0</v>
      </c>
      <c r="Q668" t="n">
        <v>0</v>
      </c>
      <c r="R668" s="2" t="inlineStr"/>
    </row>
    <row r="669" ht="15" customHeight="1">
      <c r="A669" t="inlineStr">
        <is>
          <t>A 52676-2023</t>
        </is>
      </c>
      <c r="B669" s="1" t="n">
        <v>45225</v>
      </c>
      <c r="C669" s="1" t="n">
        <v>45472</v>
      </c>
      <c r="D669" t="inlineStr">
        <is>
          <t>JÄMTLANDS LÄN</t>
        </is>
      </c>
      <c r="E669" t="inlineStr">
        <is>
          <t>ÅRE</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54303-2023</t>
        </is>
      </c>
      <c r="B670" s="1" t="n">
        <v>45225</v>
      </c>
      <c r="C670" s="1" t="n">
        <v>45472</v>
      </c>
      <c r="D670" t="inlineStr">
        <is>
          <t>JÄMTLANDS LÄN</t>
        </is>
      </c>
      <c r="E670" t="inlineStr">
        <is>
          <t>ÅRE</t>
        </is>
      </c>
      <c r="G670" t="n">
        <v>8.9</v>
      </c>
      <c r="H670" t="n">
        <v>0</v>
      </c>
      <c r="I670" t="n">
        <v>0</v>
      </c>
      <c r="J670" t="n">
        <v>0</v>
      </c>
      <c r="K670" t="n">
        <v>0</v>
      </c>
      <c r="L670" t="n">
        <v>0</v>
      </c>
      <c r="M670" t="n">
        <v>0</v>
      </c>
      <c r="N670" t="n">
        <v>0</v>
      </c>
      <c r="O670" t="n">
        <v>0</v>
      </c>
      <c r="P670" t="n">
        <v>0</v>
      </c>
      <c r="Q670" t="n">
        <v>0</v>
      </c>
      <c r="R670" s="2" t="inlineStr"/>
    </row>
    <row r="671" ht="15" customHeight="1">
      <c r="A671" t="inlineStr">
        <is>
          <t>A 54324-2023</t>
        </is>
      </c>
      <c r="B671" s="1" t="n">
        <v>45225</v>
      </c>
      <c r="C671" s="1" t="n">
        <v>45472</v>
      </c>
      <c r="D671" t="inlineStr">
        <is>
          <t>JÄMTLANDS LÄN</t>
        </is>
      </c>
      <c r="E671" t="inlineStr">
        <is>
          <t>ÅRE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54847-2023</t>
        </is>
      </c>
      <c r="B672" s="1" t="n">
        <v>45229</v>
      </c>
      <c r="C672" s="1" t="n">
        <v>45472</v>
      </c>
      <c r="D672" t="inlineStr">
        <is>
          <t>JÄMTLANDS LÄN</t>
        </is>
      </c>
      <c r="E672" t="inlineStr">
        <is>
          <t>ÅRE</t>
        </is>
      </c>
      <c r="G672" t="n">
        <v>16.6</v>
      </c>
      <c r="H672" t="n">
        <v>0</v>
      </c>
      <c r="I672" t="n">
        <v>0</v>
      </c>
      <c r="J672" t="n">
        <v>0</v>
      </c>
      <c r="K672" t="n">
        <v>0</v>
      </c>
      <c r="L672" t="n">
        <v>0</v>
      </c>
      <c r="M672" t="n">
        <v>0</v>
      </c>
      <c r="N672" t="n">
        <v>0</v>
      </c>
      <c r="O672" t="n">
        <v>0</v>
      </c>
      <c r="P672" t="n">
        <v>0</v>
      </c>
      <c r="Q672" t="n">
        <v>0</v>
      </c>
      <c r="R672" s="2" t="inlineStr"/>
    </row>
    <row r="673" ht="15" customHeight="1">
      <c r="A673" t="inlineStr">
        <is>
          <t>A 55109-2023</t>
        </is>
      </c>
      <c r="B673" s="1" t="n">
        <v>45230</v>
      </c>
      <c r="C673" s="1" t="n">
        <v>45472</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53899-2023</t>
        </is>
      </c>
      <c r="B674" s="1" t="n">
        <v>45231</v>
      </c>
      <c r="C674" s="1" t="n">
        <v>45472</v>
      </c>
      <c r="D674" t="inlineStr">
        <is>
          <t>JÄMTLANDS LÄN</t>
        </is>
      </c>
      <c r="E674" t="inlineStr">
        <is>
          <t>ÅRE</t>
        </is>
      </c>
      <c r="G674" t="n">
        <v>20.4</v>
      </c>
      <c r="H674" t="n">
        <v>0</v>
      </c>
      <c r="I674" t="n">
        <v>0</v>
      </c>
      <c r="J674" t="n">
        <v>0</v>
      </c>
      <c r="K674" t="n">
        <v>0</v>
      </c>
      <c r="L674" t="n">
        <v>0</v>
      </c>
      <c r="M674" t="n">
        <v>0</v>
      </c>
      <c r="N674" t="n">
        <v>0</v>
      </c>
      <c r="O674" t="n">
        <v>0</v>
      </c>
      <c r="P674" t="n">
        <v>0</v>
      </c>
      <c r="Q674" t="n">
        <v>0</v>
      </c>
      <c r="R674" s="2" t="inlineStr"/>
    </row>
    <row r="675" ht="15" customHeight="1">
      <c r="A675" t="inlineStr">
        <is>
          <t>A 54164-2023</t>
        </is>
      </c>
      <c r="B675" s="1" t="n">
        <v>45232</v>
      </c>
      <c r="C675" s="1" t="n">
        <v>45472</v>
      </c>
      <c r="D675" t="inlineStr">
        <is>
          <t>JÄMTLANDS LÄN</t>
        </is>
      </c>
      <c r="E675" t="inlineStr">
        <is>
          <t>ÅRE</t>
        </is>
      </c>
      <c r="G675" t="n">
        <v>2.6</v>
      </c>
      <c r="H675" t="n">
        <v>0</v>
      </c>
      <c r="I675" t="n">
        <v>0</v>
      </c>
      <c r="J675" t="n">
        <v>0</v>
      </c>
      <c r="K675" t="n">
        <v>0</v>
      </c>
      <c r="L675" t="n">
        <v>0</v>
      </c>
      <c r="M675" t="n">
        <v>0</v>
      </c>
      <c r="N675" t="n">
        <v>0</v>
      </c>
      <c r="O675" t="n">
        <v>0</v>
      </c>
      <c r="P675" t="n">
        <v>0</v>
      </c>
      <c r="Q675" t="n">
        <v>0</v>
      </c>
      <c r="R675" s="2" t="inlineStr"/>
    </row>
    <row r="676" ht="15" customHeight="1">
      <c r="A676" t="inlineStr">
        <is>
          <t>A 54116-2023</t>
        </is>
      </c>
      <c r="B676" s="1" t="n">
        <v>45232</v>
      </c>
      <c r="C676" s="1" t="n">
        <v>45472</v>
      </c>
      <c r="D676" t="inlineStr">
        <is>
          <t>JÄMTLANDS LÄN</t>
        </is>
      </c>
      <c r="E676" t="inlineStr">
        <is>
          <t>ÅRE</t>
        </is>
      </c>
      <c r="G676" t="n">
        <v>3.8</v>
      </c>
      <c r="H676" t="n">
        <v>0</v>
      </c>
      <c r="I676" t="n">
        <v>0</v>
      </c>
      <c r="J676" t="n">
        <v>0</v>
      </c>
      <c r="K676" t="n">
        <v>0</v>
      </c>
      <c r="L676" t="n">
        <v>0</v>
      </c>
      <c r="M676" t="n">
        <v>0</v>
      </c>
      <c r="N676" t="n">
        <v>0</v>
      </c>
      <c r="O676" t="n">
        <v>0</v>
      </c>
      <c r="P676" t="n">
        <v>0</v>
      </c>
      <c r="Q676" t="n">
        <v>0</v>
      </c>
      <c r="R676" s="2" t="inlineStr"/>
    </row>
    <row r="677" ht="15" customHeight="1">
      <c r="A677" t="inlineStr">
        <is>
          <t>A 54175-2023</t>
        </is>
      </c>
      <c r="B677" s="1" t="n">
        <v>45232</v>
      </c>
      <c r="C677" s="1" t="n">
        <v>45472</v>
      </c>
      <c r="D677" t="inlineStr">
        <is>
          <t>JÄMTLANDS LÄN</t>
        </is>
      </c>
      <c r="E677" t="inlineStr">
        <is>
          <t>ÅRE</t>
        </is>
      </c>
      <c r="G677" t="n">
        <v>0.1</v>
      </c>
      <c r="H677" t="n">
        <v>0</v>
      </c>
      <c r="I677" t="n">
        <v>0</v>
      </c>
      <c r="J677" t="n">
        <v>0</v>
      </c>
      <c r="K677" t="n">
        <v>0</v>
      </c>
      <c r="L677" t="n">
        <v>0</v>
      </c>
      <c r="M677" t="n">
        <v>0</v>
      </c>
      <c r="N677" t="n">
        <v>0</v>
      </c>
      <c r="O677" t="n">
        <v>0</v>
      </c>
      <c r="P677" t="n">
        <v>0</v>
      </c>
      <c r="Q677" t="n">
        <v>0</v>
      </c>
      <c r="R677" s="2" t="inlineStr"/>
    </row>
    <row r="678" ht="15" customHeight="1">
      <c r="A678" t="inlineStr">
        <is>
          <t>A 56044-2023</t>
        </is>
      </c>
      <c r="B678" s="1" t="n">
        <v>45233</v>
      </c>
      <c r="C678" s="1" t="n">
        <v>45472</v>
      </c>
      <c r="D678" t="inlineStr">
        <is>
          <t>JÄMTLANDS LÄN</t>
        </is>
      </c>
      <c r="E678" t="inlineStr">
        <is>
          <t>ÅRE</t>
        </is>
      </c>
      <c r="G678" t="n">
        <v>5.3</v>
      </c>
      <c r="H678" t="n">
        <v>0</v>
      </c>
      <c r="I678" t="n">
        <v>0</v>
      </c>
      <c r="J678" t="n">
        <v>0</v>
      </c>
      <c r="K678" t="n">
        <v>0</v>
      </c>
      <c r="L678" t="n">
        <v>0</v>
      </c>
      <c r="M678" t="n">
        <v>0</v>
      </c>
      <c r="N678" t="n">
        <v>0</v>
      </c>
      <c r="O678" t="n">
        <v>0</v>
      </c>
      <c r="P678" t="n">
        <v>0</v>
      </c>
      <c r="Q678" t="n">
        <v>0</v>
      </c>
      <c r="R678" s="2" t="inlineStr"/>
    </row>
    <row r="679" ht="15" customHeight="1">
      <c r="A679" t="inlineStr">
        <is>
          <t>A 54385-2023</t>
        </is>
      </c>
      <c r="B679" s="1" t="n">
        <v>45233</v>
      </c>
      <c r="C679" s="1" t="n">
        <v>45472</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54377-2023</t>
        </is>
      </c>
      <c r="B680" s="1" t="n">
        <v>45233</v>
      </c>
      <c r="C680" s="1" t="n">
        <v>45472</v>
      </c>
      <c r="D680" t="inlineStr">
        <is>
          <t>JÄMTLANDS LÄN</t>
        </is>
      </c>
      <c r="E680" t="inlineStr">
        <is>
          <t>ÅRE</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54373-2023</t>
        </is>
      </c>
      <c r="B681" s="1" t="n">
        <v>45233</v>
      </c>
      <c r="C681" s="1" t="n">
        <v>45472</v>
      </c>
      <c r="D681" t="inlineStr">
        <is>
          <t>JÄMTLANDS LÄN</t>
        </is>
      </c>
      <c r="E681" t="inlineStr">
        <is>
          <t>ÅRE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54781-2023</t>
        </is>
      </c>
      <c r="B682" s="1" t="n">
        <v>45236</v>
      </c>
      <c r="C682" s="1" t="n">
        <v>45472</v>
      </c>
      <c r="D682" t="inlineStr">
        <is>
          <t>JÄMTLANDS LÄN</t>
        </is>
      </c>
      <c r="E682" t="inlineStr">
        <is>
          <t>ÅRE</t>
        </is>
      </c>
      <c r="G682" t="n">
        <v>3.5</v>
      </c>
      <c r="H682" t="n">
        <v>0</v>
      </c>
      <c r="I682" t="n">
        <v>0</v>
      </c>
      <c r="J682" t="n">
        <v>0</v>
      </c>
      <c r="K682" t="n">
        <v>0</v>
      </c>
      <c r="L682" t="n">
        <v>0</v>
      </c>
      <c r="M682" t="n">
        <v>0</v>
      </c>
      <c r="N682" t="n">
        <v>0</v>
      </c>
      <c r="O682" t="n">
        <v>0</v>
      </c>
      <c r="P682" t="n">
        <v>0</v>
      </c>
      <c r="Q682" t="n">
        <v>0</v>
      </c>
      <c r="R682" s="2" t="inlineStr"/>
    </row>
    <row r="683" ht="15" customHeight="1">
      <c r="A683" t="inlineStr">
        <is>
          <t>A 54796-2023</t>
        </is>
      </c>
      <c r="B683" s="1" t="n">
        <v>45236</v>
      </c>
      <c r="C683" s="1" t="n">
        <v>45472</v>
      </c>
      <c r="D683" t="inlineStr">
        <is>
          <t>JÄMTLANDS LÄN</t>
        </is>
      </c>
      <c r="E683" t="inlineStr">
        <is>
          <t>ÅRE</t>
        </is>
      </c>
      <c r="G683" t="n">
        <v>9.1</v>
      </c>
      <c r="H683" t="n">
        <v>0</v>
      </c>
      <c r="I683" t="n">
        <v>0</v>
      </c>
      <c r="J683" t="n">
        <v>0</v>
      </c>
      <c r="K683" t="n">
        <v>0</v>
      </c>
      <c r="L683" t="n">
        <v>0</v>
      </c>
      <c r="M683" t="n">
        <v>0</v>
      </c>
      <c r="N683" t="n">
        <v>0</v>
      </c>
      <c r="O683" t="n">
        <v>0</v>
      </c>
      <c r="P683" t="n">
        <v>0</v>
      </c>
      <c r="Q683" t="n">
        <v>0</v>
      </c>
      <c r="R683" s="2" t="inlineStr"/>
    </row>
    <row r="684" ht="15" customHeight="1">
      <c r="A684" t="inlineStr">
        <is>
          <t>A 54898-2023</t>
        </is>
      </c>
      <c r="B684" s="1" t="n">
        <v>45236</v>
      </c>
      <c r="C684" s="1" t="n">
        <v>45472</v>
      </c>
      <c r="D684" t="inlineStr">
        <is>
          <t>JÄMTLANDS LÄN</t>
        </is>
      </c>
      <c r="E684" t="inlineStr">
        <is>
          <t>ÅRE</t>
        </is>
      </c>
      <c r="G684" t="n">
        <v>2.7</v>
      </c>
      <c r="H684" t="n">
        <v>0</v>
      </c>
      <c r="I684" t="n">
        <v>0</v>
      </c>
      <c r="J684" t="n">
        <v>0</v>
      </c>
      <c r="K684" t="n">
        <v>0</v>
      </c>
      <c r="L684" t="n">
        <v>0</v>
      </c>
      <c r="M684" t="n">
        <v>0</v>
      </c>
      <c r="N684" t="n">
        <v>0</v>
      </c>
      <c r="O684" t="n">
        <v>0</v>
      </c>
      <c r="P684" t="n">
        <v>0</v>
      </c>
      <c r="Q684" t="n">
        <v>0</v>
      </c>
      <c r="R684" s="2" t="inlineStr"/>
    </row>
    <row r="685" ht="15" customHeight="1">
      <c r="A685" t="inlineStr">
        <is>
          <t>A 54907-2023</t>
        </is>
      </c>
      <c r="B685" s="1" t="n">
        <v>45236</v>
      </c>
      <c r="C685" s="1" t="n">
        <v>45472</v>
      </c>
      <c r="D685" t="inlineStr">
        <is>
          <t>JÄMTLANDS LÄN</t>
        </is>
      </c>
      <c r="E685" t="inlineStr">
        <is>
          <t>ÅRE</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55860-2023</t>
        </is>
      </c>
      <c r="B686" s="1" t="n">
        <v>45239</v>
      </c>
      <c r="C686" s="1" t="n">
        <v>45472</v>
      </c>
      <c r="D686" t="inlineStr">
        <is>
          <t>JÄMTLANDS LÄN</t>
        </is>
      </c>
      <c r="E686" t="inlineStr">
        <is>
          <t>ÅRE</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56609-2023</t>
        </is>
      </c>
      <c r="B687" s="1" t="n">
        <v>45243</v>
      </c>
      <c r="C687" s="1" t="n">
        <v>45472</v>
      </c>
      <c r="D687" t="inlineStr">
        <is>
          <t>JÄMTLANDS LÄN</t>
        </is>
      </c>
      <c r="E687" t="inlineStr">
        <is>
          <t>ÅRE</t>
        </is>
      </c>
      <c r="G687" t="n">
        <v>17.9</v>
      </c>
      <c r="H687" t="n">
        <v>0</v>
      </c>
      <c r="I687" t="n">
        <v>0</v>
      </c>
      <c r="J687" t="n">
        <v>0</v>
      </c>
      <c r="K687" t="n">
        <v>0</v>
      </c>
      <c r="L687" t="n">
        <v>0</v>
      </c>
      <c r="M687" t="n">
        <v>0</v>
      </c>
      <c r="N687" t="n">
        <v>0</v>
      </c>
      <c r="O687" t="n">
        <v>0</v>
      </c>
      <c r="P687" t="n">
        <v>0</v>
      </c>
      <c r="Q687" t="n">
        <v>0</v>
      </c>
      <c r="R687" s="2" t="inlineStr"/>
    </row>
    <row r="688" ht="15" customHeight="1">
      <c r="A688" t="inlineStr">
        <is>
          <t>A 56679-2023</t>
        </is>
      </c>
      <c r="B688" s="1" t="n">
        <v>45243</v>
      </c>
      <c r="C688" s="1" t="n">
        <v>45472</v>
      </c>
      <c r="D688" t="inlineStr">
        <is>
          <t>JÄMTLANDS LÄN</t>
        </is>
      </c>
      <c r="E688" t="inlineStr">
        <is>
          <t>ÅRE</t>
        </is>
      </c>
      <c r="G688" t="n">
        <v>4.3</v>
      </c>
      <c r="H688" t="n">
        <v>0</v>
      </c>
      <c r="I688" t="n">
        <v>0</v>
      </c>
      <c r="J688" t="n">
        <v>0</v>
      </c>
      <c r="K688" t="n">
        <v>0</v>
      </c>
      <c r="L688" t="n">
        <v>0</v>
      </c>
      <c r="M688" t="n">
        <v>0</v>
      </c>
      <c r="N688" t="n">
        <v>0</v>
      </c>
      <c r="O688" t="n">
        <v>0</v>
      </c>
      <c r="P688" t="n">
        <v>0</v>
      </c>
      <c r="Q688" t="n">
        <v>0</v>
      </c>
      <c r="R688" s="2" t="inlineStr"/>
    </row>
    <row r="689" ht="15" customHeight="1">
      <c r="A689" t="inlineStr">
        <is>
          <t>A 56736-2023</t>
        </is>
      </c>
      <c r="B689" s="1" t="n">
        <v>45244</v>
      </c>
      <c r="C689" s="1" t="n">
        <v>45472</v>
      </c>
      <c r="D689" t="inlineStr">
        <is>
          <t>JÄMTLANDS LÄN</t>
        </is>
      </c>
      <c r="E689" t="inlineStr">
        <is>
          <t>ÅRE</t>
        </is>
      </c>
      <c r="F689" t="inlineStr">
        <is>
          <t>Övriga Aktiebolag</t>
        </is>
      </c>
      <c r="G689" t="n">
        <v>10.7</v>
      </c>
      <c r="H689" t="n">
        <v>0</v>
      </c>
      <c r="I689" t="n">
        <v>0</v>
      </c>
      <c r="J689" t="n">
        <v>0</v>
      </c>
      <c r="K689" t="n">
        <v>0</v>
      </c>
      <c r="L689" t="n">
        <v>0</v>
      </c>
      <c r="M689" t="n">
        <v>0</v>
      </c>
      <c r="N689" t="n">
        <v>0</v>
      </c>
      <c r="O689" t="n">
        <v>0</v>
      </c>
      <c r="P689" t="n">
        <v>0</v>
      </c>
      <c r="Q689" t="n">
        <v>0</v>
      </c>
      <c r="R689" s="2" t="inlineStr"/>
    </row>
    <row r="690" ht="15" customHeight="1">
      <c r="A690" t="inlineStr">
        <is>
          <t>A 56976-2023</t>
        </is>
      </c>
      <c r="B690" s="1" t="n">
        <v>45244</v>
      </c>
      <c r="C690" s="1" t="n">
        <v>45472</v>
      </c>
      <c r="D690" t="inlineStr">
        <is>
          <t>JÄMTLANDS LÄN</t>
        </is>
      </c>
      <c r="E690" t="inlineStr">
        <is>
          <t>ÅRE</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57448-2023</t>
        </is>
      </c>
      <c r="B691" s="1" t="n">
        <v>45246</v>
      </c>
      <c r="C691" s="1" t="n">
        <v>45472</v>
      </c>
      <c r="D691" t="inlineStr">
        <is>
          <t>JÄMTLANDS LÄN</t>
        </is>
      </c>
      <c r="E691" t="inlineStr">
        <is>
          <t>ÅRE</t>
        </is>
      </c>
      <c r="G691" t="n">
        <v>11.9</v>
      </c>
      <c r="H691" t="n">
        <v>0</v>
      </c>
      <c r="I691" t="n">
        <v>0</v>
      </c>
      <c r="J691" t="n">
        <v>0</v>
      </c>
      <c r="K691" t="n">
        <v>0</v>
      </c>
      <c r="L691" t="n">
        <v>0</v>
      </c>
      <c r="M691" t="n">
        <v>0</v>
      </c>
      <c r="N691" t="n">
        <v>0</v>
      </c>
      <c r="O691" t="n">
        <v>0</v>
      </c>
      <c r="P691" t="n">
        <v>0</v>
      </c>
      <c r="Q691" t="n">
        <v>0</v>
      </c>
      <c r="R691" s="2" t="inlineStr"/>
    </row>
    <row r="692" ht="15" customHeight="1">
      <c r="A692" t="inlineStr">
        <is>
          <t>A 57772-2023</t>
        </is>
      </c>
      <c r="B692" s="1" t="n">
        <v>45246</v>
      </c>
      <c r="C692" s="1" t="n">
        <v>45472</v>
      </c>
      <c r="D692" t="inlineStr">
        <is>
          <t>JÄMTLANDS LÄN</t>
        </is>
      </c>
      <c r="E692" t="inlineStr">
        <is>
          <t>ÅRE</t>
        </is>
      </c>
      <c r="G692" t="n">
        <v>0.6</v>
      </c>
      <c r="H692" t="n">
        <v>0</v>
      </c>
      <c r="I692" t="n">
        <v>0</v>
      </c>
      <c r="J692" t="n">
        <v>0</v>
      </c>
      <c r="K692" t="n">
        <v>0</v>
      </c>
      <c r="L692" t="n">
        <v>0</v>
      </c>
      <c r="M692" t="n">
        <v>0</v>
      </c>
      <c r="N692" t="n">
        <v>0</v>
      </c>
      <c r="O692" t="n">
        <v>0</v>
      </c>
      <c r="P692" t="n">
        <v>0</v>
      </c>
      <c r="Q692" t="n">
        <v>0</v>
      </c>
      <c r="R692" s="2" t="inlineStr"/>
    </row>
    <row r="693" ht="15" customHeight="1">
      <c r="A693" t="inlineStr">
        <is>
          <t>A 57770-2023</t>
        </is>
      </c>
      <c r="B693" s="1" t="n">
        <v>45246</v>
      </c>
      <c r="C693" s="1" t="n">
        <v>45472</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58508-2023</t>
        </is>
      </c>
      <c r="B694" s="1" t="n">
        <v>45246</v>
      </c>
      <c r="C694" s="1" t="n">
        <v>45472</v>
      </c>
      <c r="D694" t="inlineStr">
        <is>
          <t>JÄMTLANDS LÄN</t>
        </is>
      </c>
      <c r="E694" t="inlineStr">
        <is>
          <t>ÅRE</t>
        </is>
      </c>
      <c r="G694" t="n">
        <v>21.8</v>
      </c>
      <c r="H694" t="n">
        <v>0</v>
      </c>
      <c r="I694" t="n">
        <v>0</v>
      </c>
      <c r="J694" t="n">
        <v>0</v>
      </c>
      <c r="K694" t="n">
        <v>0</v>
      </c>
      <c r="L694" t="n">
        <v>0</v>
      </c>
      <c r="M694" t="n">
        <v>0</v>
      </c>
      <c r="N694" t="n">
        <v>0</v>
      </c>
      <c r="O694" t="n">
        <v>0</v>
      </c>
      <c r="P694" t="n">
        <v>0</v>
      </c>
      <c r="Q694" t="n">
        <v>0</v>
      </c>
      <c r="R694" s="2" t="inlineStr"/>
    </row>
    <row r="695" ht="15" customHeight="1">
      <c r="A695" t="inlineStr">
        <is>
          <t>A 58178-2023</t>
        </is>
      </c>
      <c r="B695" s="1" t="n">
        <v>45250</v>
      </c>
      <c r="C695" s="1" t="n">
        <v>45472</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58196-2023</t>
        </is>
      </c>
      <c r="B696" s="1" t="n">
        <v>45250</v>
      </c>
      <c r="C696" s="1" t="n">
        <v>45472</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58302-2023</t>
        </is>
      </c>
      <c r="B697" s="1" t="n">
        <v>45250</v>
      </c>
      <c r="C697" s="1" t="n">
        <v>45472</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58296-2023</t>
        </is>
      </c>
      <c r="B698" s="1" t="n">
        <v>45250</v>
      </c>
      <c r="C698" s="1" t="n">
        <v>45472</v>
      </c>
      <c r="D698" t="inlineStr">
        <is>
          <t>JÄMTLANDS LÄN</t>
        </is>
      </c>
      <c r="E698" t="inlineStr">
        <is>
          <t>ÅRE</t>
        </is>
      </c>
      <c r="G698" t="n">
        <v>6.3</v>
      </c>
      <c r="H698" t="n">
        <v>0</v>
      </c>
      <c r="I698" t="n">
        <v>0</v>
      </c>
      <c r="J698" t="n">
        <v>0</v>
      </c>
      <c r="K698" t="n">
        <v>0</v>
      </c>
      <c r="L698" t="n">
        <v>0</v>
      </c>
      <c r="M698" t="n">
        <v>0</v>
      </c>
      <c r="N698" t="n">
        <v>0</v>
      </c>
      <c r="O698" t="n">
        <v>0</v>
      </c>
      <c r="P698" t="n">
        <v>0</v>
      </c>
      <c r="Q698" t="n">
        <v>0</v>
      </c>
      <c r="R698" s="2" t="inlineStr"/>
    </row>
    <row r="699" ht="15" customHeight="1">
      <c r="A699" t="inlineStr">
        <is>
          <t>A 58299-2023</t>
        </is>
      </c>
      <c r="B699" s="1" t="n">
        <v>45250</v>
      </c>
      <c r="C699" s="1" t="n">
        <v>45472</v>
      </c>
      <c r="D699" t="inlineStr">
        <is>
          <t>JÄMTLANDS LÄN</t>
        </is>
      </c>
      <c r="E699" t="inlineStr">
        <is>
          <t>ÅRE</t>
        </is>
      </c>
      <c r="G699" t="n">
        <v>0.7</v>
      </c>
      <c r="H699" t="n">
        <v>0</v>
      </c>
      <c r="I699" t="n">
        <v>0</v>
      </c>
      <c r="J699" t="n">
        <v>0</v>
      </c>
      <c r="K699" t="n">
        <v>0</v>
      </c>
      <c r="L699" t="n">
        <v>0</v>
      </c>
      <c r="M699" t="n">
        <v>0</v>
      </c>
      <c r="N699" t="n">
        <v>0</v>
      </c>
      <c r="O699" t="n">
        <v>0</v>
      </c>
      <c r="P699" t="n">
        <v>0</v>
      </c>
      <c r="Q699" t="n">
        <v>0</v>
      </c>
      <c r="R699" s="2" t="inlineStr"/>
    </row>
    <row r="700" ht="15" customHeight="1">
      <c r="A700" t="inlineStr">
        <is>
          <t>A 58907-2023</t>
        </is>
      </c>
      <c r="B700" s="1" t="n">
        <v>45252</v>
      </c>
      <c r="C700" s="1" t="n">
        <v>45472</v>
      </c>
      <c r="D700" t="inlineStr">
        <is>
          <t>JÄMTLANDS LÄN</t>
        </is>
      </c>
      <c r="E700" t="inlineStr">
        <is>
          <t>ÅRE</t>
        </is>
      </c>
      <c r="G700" t="n">
        <v>5.3</v>
      </c>
      <c r="H700" t="n">
        <v>0</v>
      </c>
      <c r="I700" t="n">
        <v>0</v>
      </c>
      <c r="J700" t="n">
        <v>0</v>
      </c>
      <c r="K700" t="n">
        <v>0</v>
      </c>
      <c r="L700" t="n">
        <v>0</v>
      </c>
      <c r="M700" t="n">
        <v>0</v>
      </c>
      <c r="N700" t="n">
        <v>0</v>
      </c>
      <c r="O700" t="n">
        <v>0</v>
      </c>
      <c r="P700" t="n">
        <v>0</v>
      </c>
      <c r="Q700" t="n">
        <v>0</v>
      </c>
      <c r="R700" s="2" t="inlineStr"/>
    </row>
    <row r="701" ht="15" customHeight="1">
      <c r="A701" t="inlineStr">
        <is>
          <t>A 59267-2023</t>
        </is>
      </c>
      <c r="B701" s="1" t="n">
        <v>45253</v>
      </c>
      <c r="C701" s="1" t="n">
        <v>45472</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59274-2023</t>
        </is>
      </c>
      <c r="B702" s="1" t="n">
        <v>45253</v>
      </c>
      <c r="C702" s="1" t="n">
        <v>45472</v>
      </c>
      <c r="D702" t="inlineStr">
        <is>
          <t>JÄMTLANDS LÄN</t>
        </is>
      </c>
      <c r="E702" t="inlineStr">
        <is>
          <t>ÅRE</t>
        </is>
      </c>
      <c r="G702" t="n">
        <v>1.5</v>
      </c>
      <c r="H702" t="n">
        <v>0</v>
      </c>
      <c r="I702" t="n">
        <v>0</v>
      </c>
      <c r="J702" t="n">
        <v>0</v>
      </c>
      <c r="K702" t="n">
        <v>0</v>
      </c>
      <c r="L702" t="n">
        <v>0</v>
      </c>
      <c r="M702" t="n">
        <v>0</v>
      </c>
      <c r="N702" t="n">
        <v>0</v>
      </c>
      <c r="O702" t="n">
        <v>0</v>
      </c>
      <c r="P702" t="n">
        <v>0</v>
      </c>
      <c r="Q702" t="n">
        <v>0</v>
      </c>
      <c r="R702" s="2" t="inlineStr"/>
    </row>
    <row r="703" ht="15" customHeight="1">
      <c r="A703" t="inlineStr">
        <is>
          <t>A 59400-2023</t>
        </is>
      </c>
      <c r="B703" s="1" t="n">
        <v>45253</v>
      </c>
      <c r="C703" s="1" t="n">
        <v>45472</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59398-2023</t>
        </is>
      </c>
      <c r="B704" s="1" t="n">
        <v>45253</v>
      </c>
      <c r="C704" s="1" t="n">
        <v>45472</v>
      </c>
      <c r="D704" t="inlineStr">
        <is>
          <t>JÄMTLANDS LÄN</t>
        </is>
      </c>
      <c r="E704" t="inlineStr">
        <is>
          <t>ÅRE</t>
        </is>
      </c>
      <c r="G704" t="n">
        <v>2.3</v>
      </c>
      <c r="H704" t="n">
        <v>0</v>
      </c>
      <c r="I704" t="n">
        <v>0</v>
      </c>
      <c r="J704" t="n">
        <v>0</v>
      </c>
      <c r="K704" t="n">
        <v>0</v>
      </c>
      <c r="L704" t="n">
        <v>0</v>
      </c>
      <c r="M704" t="n">
        <v>0</v>
      </c>
      <c r="N704" t="n">
        <v>0</v>
      </c>
      <c r="O704" t="n">
        <v>0</v>
      </c>
      <c r="P704" t="n">
        <v>0</v>
      </c>
      <c r="Q704" t="n">
        <v>0</v>
      </c>
      <c r="R704" s="2" t="inlineStr"/>
    </row>
    <row r="705" ht="15" customHeight="1">
      <c r="A705" t="inlineStr">
        <is>
          <t>A 59414-2023</t>
        </is>
      </c>
      <c r="B705" s="1" t="n">
        <v>45254</v>
      </c>
      <c r="C705" s="1" t="n">
        <v>45472</v>
      </c>
      <c r="D705" t="inlineStr">
        <is>
          <t>JÄMTLANDS LÄN</t>
        </is>
      </c>
      <c r="E705" t="inlineStr">
        <is>
          <t>ÅRE</t>
        </is>
      </c>
      <c r="G705" t="n">
        <v>3.6</v>
      </c>
      <c r="H705" t="n">
        <v>0</v>
      </c>
      <c r="I705" t="n">
        <v>0</v>
      </c>
      <c r="J705" t="n">
        <v>0</v>
      </c>
      <c r="K705" t="n">
        <v>0</v>
      </c>
      <c r="L705" t="n">
        <v>0</v>
      </c>
      <c r="M705" t="n">
        <v>0</v>
      </c>
      <c r="N705" t="n">
        <v>0</v>
      </c>
      <c r="O705" t="n">
        <v>0</v>
      </c>
      <c r="P705" t="n">
        <v>0</v>
      </c>
      <c r="Q705" t="n">
        <v>0</v>
      </c>
      <c r="R705" s="2" t="inlineStr"/>
    </row>
    <row r="706" ht="15" customHeight="1">
      <c r="A706" t="inlineStr">
        <is>
          <t>A 59413-2023</t>
        </is>
      </c>
      <c r="B706" s="1" t="n">
        <v>45254</v>
      </c>
      <c r="C706" s="1" t="n">
        <v>45472</v>
      </c>
      <c r="D706" t="inlineStr">
        <is>
          <t>JÄMTLANDS LÄN</t>
        </is>
      </c>
      <c r="E706" t="inlineStr">
        <is>
          <t>ÅRE</t>
        </is>
      </c>
      <c r="G706" t="n">
        <v>4</v>
      </c>
      <c r="H706" t="n">
        <v>0</v>
      </c>
      <c r="I706" t="n">
        <v>0</v>
      </c>
      <c r="J706" t="n">
        <v>0</v>
      </c>
      <c r="K706" t="n">
        <v>0</v>
      </c>
      <c r="L706" t="n">
        <v>0</v>
      </c>
      <c r="M706" t="n">
        <v>0</v>
      </c>
      <c r="N706" t="n">
        <v>0</v>
      </c>
      <c r="O706" t="n">
        <v>0</v>
      </c>
      <c r="P706" t="n">
        <v>0</v>
      </c>
      <c r="Q706" t="n">
        <v>0</v>
      </c>
      <c r="R706" s="2" t="inlineStr"/>
    </row>
    <row r="707" ht="15" customHeight="1">
      <c r="A707" t="inlineStr">
        <is>
          <t>A 59666-2023</t>
        </is>
      </c>
      <c r="B707" s="1" t="n">
        <v>45255</v>
      </c>
      <c r="C707" s="1" t="n">
        <v>45472</v>
      </c>
      <c r="D707" t="inlineStr">
        <is>
          <t>JÄMTLANDS LÄN</t>
        </is>
      </c>
      <c r="E707" t="inlineStr">
        <is>
          <t>ÅRE</t>
        </is>
      </c>
      <c r="G707" t="n">
        <v>6.6</v>
      </c>
      <c r="H707" t="n">
        <v>0</v>
      </c>
      <c r="I707" t="n">
        <v>0</v>
      </c>
      <c r="J707" t="n">
        <v>0</v>
      </c>
      <c r="K707" t="n">
        <v>0</v>
      </c>
      <c r="L707" t="n">
        <v>0</v>
      </c>
      <c r="M707" t="n">
        <v>0</v>
      </c>
      <c r="N707" t="n">
        <v>0</v>
      </c>
      <c r="O707" t="n">
        <v>0</v>
      </c>
      <c r="P707" t="n">
        <v>0</v>
      </c>
      <c r="Q707" t="n">
        <v>0</v>
      </c>
      <c r="R707" s="2" t="inlineStr"/>
    </row>
    <row r="708" ht="15" customHeight="1">
      <c r="A708" t="inlineStr">
        <is>
          <t>A 59753-2023</t>
        </is>
      </c>
      <c r="B708" s="1" t="n">
        <v>45254</v>
      </c>
      <c r="C708" s="1" t="n">
        <v>45472</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59968-2023</t>
        </is>
      </c>
      <c r="B709" s="1" t="n">
        <v>45254</v>
      </c>
      <c r="C709" s="1" t="n">
        <v>45472</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59916-2023</t>
        </is>
      </c>
      <c r="B710" s="1" t="n">
        <v>45257</v>
      </c>
      <c r="C710" s="1" t="n">
        <v>45472</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59864-2023</t>
        </is>
      </c>
      <c r="B711" s="1" t="n">
        <v>45257</v>
      </c>
      <c r="C711" s="1" t="n">
        <v>45472</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59878-2023</t>
        </is>
      </c>
      <c r="B712" s="1" t="n">
        <v>45257</v>
      </c>
      <c r="C712" s="1" t="n">
        <v>45472</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59892-2023</t>
        </is>
      </c>
      <c r="B713" s="1" t="n">
        <v>45257</v>
      </c>
      <c r="C713" s="1" t="n">
        <v>45472</v>
      </c>
      <c r="D713" t="inlineStr">
        <is>
          <t>JÄMTLANDS LÄN</t>
        </is>
      </c>
      <c r="E713" t="inlineStr">
        <is>
          <t>ÅRE</t>
        </is>
      </c>
      <c r="G713" t="n">
        <v>1.8</v>
      </c>
      <c r="H713" t="n">
        <v>0</v>
      </c>
      <c r="I713" t="n">
        <v>0</v>
      </c>
      <c r="J713" t="n">
        <v>0</v>
      </c>
      <c r="K713" t="n">
        <v>0</v>
      </c>
      <c r="L713" t="n">
        <v>0</v>
      </c>
      <c r="M713" t="n">
        <v>0</v>
      </c>
      <c r="N713" t="n">
        <v>0</v>
      </c>
      <c r="O713" t="n">
        <v>0</v>
      </c>
      <c r="P713" t="n">
        <v>0</v>
      </c>
      <c r="Q713" t="n">
        <v>0</v>
      </c>
      <c r="R713" s="2" t="inlineStr"/>
    </row>
    <row r="714" ht="15" customHeight="1">
      <c r="A714" t="inlineStr">
        <is>
          <t>A 60332-2023</t>
        </is>
      </c>
      <c r="B714" s="1" t="n">
        <v>45258</v>
      </c>
      <c r="C714" s="1" t="n">
        <v>45472</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60808-2023</t>
        </is>
      </c>
      <c r="B715" s="1" t="n">
        <v>45260</v>
      </c>
      <c r="C715" s="1" t="n">
        <v>45472</v>
      </c>
      <c r="D715" t="inlineStr">
        <is>
          <t>JÄMTLANDS LÄN</t>
        </is>
      </c>
      <c r="E715" t="inlineStr">
        <is>
          <t>ÅRE</t>
        </is>
      </c>
      <c r="G715" t="n">
        <v>10.4</v>
      </c>
      <c r="H715" t="n">
        <v>0</v>
      </c>
      <c r="I715" t="n">
        <v>0</v>
      </c>
      <c r="J715" t="n">
        <v>0</v>
      </c>
      <c r="K715" t="n">
        <v>0</v>
      </c>
      <c r="L715" t="n">
        <v>0</v>
      </c>
      <c r="M715" t="n">
        <v>0</v>
      </c>
      <c r="N715" t="n">
        <v>0</v>
      </c>
      <c r="O715" t="n">
        <v>0</v>
      </c>
      <c r="P715" t="n">
        <v>0</v>
      </c>
      <c r="Q715" t="n">
        <v>0</v>
      </c>
      <c r="R715" s="2" t="inlineStr"/>
    </row>
    <row r="716" ht="15" customHeight="1">
      <c r="A716" t="inlineStr">
        <is>
          <t>A 60973-2023</t>
        </is>
      </c>
      <c r="B716" s="1" t="n">
        <v>45261</v>
      </c>
      <c r="C716" s="1" t="n">
        <v>45472</v>
      </c>
      <c r="D716" t="inlineStr">
        <is>
          <t>JÄMTLANDS LÄN</t>
        </is>
      </c>
      <c r="E716" t="inlineStr">
        <is>
          <t>ÅRE</t>
        </is>
      </c>
      <c r="G716" t="n">
        <v>3.1</v>
      </c>
      <c r="H716" t="n">
        <v>0</v>
      </c>
      <c r="I716" t="n">
        <v>0</v>
      </c>
      <c r="J716" t="n">
        <v>0</v>
      </c>
      <c r="K716" t="n">
        <v>0</v>
      </c>
      <c r="L716" t="n">
        <v>0</v>
      </c>
      <c r="M716" t="n">
        <v>0</v>
      </c>
      <c r="N716" t="n">
        <v>0</v>
      </c>
      <c r="O716" t="n">
        <v>0</v>
      </c>
      <c r="P716" t="n">
        <v>0</v>
      </c>
      <c r="Q716" t="n">
        <v>0</v>
      </c>
      <c r="R716" s="2" t="inlineStr"/>
    </row>
    <row r="717" ht="15" customHeight="1">
      <c r="A717" t="inlineStr">
        <is>
          <t>A 60962-2023</t>
        </is>
      </c>
      <c r="B717" s="1" t="n">
        <v>45261</v>
      </c>
      <c r="C717" s="1" t="n">
        <v>45472</v>
      </c>
      <c r="D717" t="inlineStr">
        <is>
          <t>JÄMTLANDS LÄN</t>
        </is>
      </c>
      <c r="E717" t="inlineStr">
        <is>
          <t>ÅRE</t>
        </is>
      </c>
      <c r="G717" t="n">
        <v>3.2</v>
      </c>
      <c r="H717" t="n">
        <v>0</v>
      </c>
      <c r="I717" t="n">
        <v>0</v>
      </c>
      <c r="J717" t="n">
        <v>0</v>
      </c>
      <c r="K717" t="n">
        <v>0</v>
      </c>
      <c r="L717" t="n">
        <v>0</v>
      </c>
      <c r="M717" t="n">
        <v>0</v>
      </c>
      <c r="N717" t="n">
        <v>0</v>
      </c>
      <c r="O717" t="n">
        <v>0</v>
      </c>
      <c r="P717" t="n">
        <v>0</v>
      </c>
      <c r="Q717" t="n">
        <v>0</v>
      </c>
      <c r="R717" s="2" t="inlineStr"/>
    </row>
    <row r="718" ht="15" customHeight="1">
      <c r="A718" t="inlineStr">
        <is>
          <t>A 61622-2023</t>
        </is>
      </c>
      <c r="B718" s="1" t="n">
        <v>45261</v>
      </c>
      <c r="C718" s="1" t="n">
        <v>45472</v>
      </c>
      <c r="D718" t="inlineStr">
        <is>
          <t>JÄMTLANDS LÄN</t>
        </is>
      </c>
      <c r="E718" t="inlineStr">
        <is>
          <t>ÅRE</t>
        </is>
      </c>
      <c r="G718" t="n">
        <v>1.6</v>
      </c>
      <c r="H718" t="n">
        <v>0</v>
      </c>
      <c r="I718" t="n">
        <v>0</v>
      </c>
      <c r="J718" t="n">
        <v>0</v>
      </c>
      <c r="K718" t="n">
        <v>0</v>
      </c>
      <c r="L718" t="n">
        <v>0</v>
      </c>
      <c r="M718" t="n">
        <v>0</v>
      </c>
      <c r="N718" t="n">
        <v>0</v>
      </c>
      <c r="O718" t="n">
        <v>0</v>
      </c>
      <c r="P718" t="n">
        <v>0</v>
      </c>
      <c r="Q718" t="n">
        <v>0</v>
      </c>
      <c r="R718" s="2" t="inlineStr"/>
    </row>
    <row r="719" ht="15" customHeight="1">
      <c r="A719" t="inlineStr">
        <is>
          <t>A 61183-2023</t>
        </is>
      </c>
      <c r="B719" s="1" t="n">
        <v>45263</v>
      </c>
      <c r="C719" s="1" t="n">
        <v>45472</v>
      </c>
      <c r="D719" t="inlineStr">
        <is>
          <t>JÄMTLANDS LÄN</t>
        </is>
      </c>
      <c r="E719" t="inlineStr">
        <is>
          <t>ÅRE</t>
        </is>
      </c>
      <c r="G719" t="n">
        <v>8.4</v>
      </c>
      <c r="H719" t="n">
        <v>0</v>
      </c>
      <c r="I719" t="n">
        <v>0</v>
      </c>
      <c r="J719" t="n">
        <v>0</v>
      </c>
      <c r="K719" t="n">
        <v>0</v>
      </c>
      <c r="L719" t="n">
        <v>0</v>
      </c>
      <c r="M719" t="n">
        <v>0</v>
      </c>
      <c r="N719" t="n">
        <v>0</v>
      </c>
      <c r="O719" t="n">
        <v>0</v>
      </c>
      <c r="P719" t="n">
        <v>0</v>
      </c>
      <c r="Q719" t="n">
        <v>0</v>
      </c>
      <c r="R719" s="2" t="inlineStr"/>
    </row>
    <row r="720" ht="15" customHeight="1">
      <c r="A720" t="inlineStr">
        <is>
          <t>A 61295-2023</t>
        </is>
      </c>
      <c r="B720" s="1" t="n">
        <v>45264</v>
      </c>
      <c r="C720" s="1" t="n">
        <v>45472</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61477-2023</t>
        </is>
      </c>
      <c r="B721" s="1" t="n">
        <v>45264</v>
      </c>
      <c r="C721" s="1" t="n">
        <v>45472</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61479-2023</t>
        </is>
      </c>
      <c r="B722" s="1" t="n">
        <v>45264</v>
      </c>
      <c r="C722" s="1" t="n">
        <v>45472</v>
      </c>
      <c r="D722" t="inlineStr">
        <is>
          <t>JÄMTLANDS LÄN</t>
        </is>
      </c>
      <c r="E722" t="inlineStr">
        <is>
          <t>ÅRE</t>
        </is>
      </c>
      <c r="G722" t="n">
        <v>2.5</v>
      </c>
      <c r="H722" t="n">
        <v>0</v>
      </c>
      <c r="I722" t="n">
        <v>0</v>
      </c>
      <c r="J722" t="n">
        <v>0</v>
      </c>
      <c r="K722" t="n">
        <v>0</v>
      </c>
      <c r="L722" t="n">
        <v>0</v>
      </c>
      <c r="M722" t="n">
        <v>0</v>
      </c>
      <c r="N722" t="n">
        <v>0</v>
      </c>
      <c r="O722" t="n">
        <v>0</v>
      </c>
      <c r="P722" t="n">
        <v>0</v>
      </c>
      <c r="Q722" t="n">
        <v>0</v>
      </c>
      <c r="R722" s="2" t="inlineStr"/>
    </row>
    <row r="723" ht="15" customHeight="1">
      <c r="A723" t="inlineStr">
        <is>
          <t>A 61482-2023</t>
        </is>
      </c>
      <c r="B723" s="1" t="n">
        <v>45264</v>
      </c>
      <c r="C723" s="1" t="n">
        <v>45472</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61480-2023</t>
        </is>
      </c>
      <c r="B724" s="1" t="n">
        <v>45264</v>
      </c>
      <c r="C724" s="1" t="n">
        <v>45472</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61978-2023</t>
        </is>
      </c>
      <c r="B725" s="1" t="n">
        <v>45266</v>
      </c>
      <c r="C725" s="1" t="n">
        <v>45472</v>
      </c>
      <c r="D725" t="inlineStr">
        <is>
          <t>JÄMTLANDS LÄN</t>
        </is>
      </c>
      <c r="E725" t="inlineStr">
        <is>
          <t>ÅRE</t>
        </is>
      </c>
      <c r="G725" t="n">
        <v>5.5</v>
      </c>
      <c r="H725" t="n">
        <v>0</v>
      </c>
      <c r="I725" t="n">
        <v>0</v>
      </c>
      <c r="J725" t="n">
        <v>0</v>
      </c>
      <c r="K725" t="n">
        <v>0</v>
      </c>
      <c r="L725" t="n">
        <v>0</v>
      </c>
      <c r="M725" t="n">
        <v>0</v>
      </c>
      <c r="N725" t="n">
        <v>0</v>
      </c>
      <c r="O725" t="n">
        <v>0</v>
      </c>
      <c r="P725" t="n">
        <v>0</v>
      </c>
      <c r="Q725" t="n">
        <v>0</v>
      </c>
      <c r="R725" s="2" t="inlineStr"/>
    </row>
    <row r="726" ht="15" customHeight="1">
      <c r="A726" t="inlineStr">
        <is>
          <t>A 63906-2023</t>
        </is>
      </c>
      <c r="B726" s="1" t="n">
        <v>45278</v>
      </c>
      <c r="C726" s="1" t="n">
        <v>45472</v>
      </c>
      <c r="D726" t="inlineStr">
        <is>
          <t>JÄMTLANDS LÄN</t>
        </is>
      </c>
      <c r="E726" t="inlineStr">
        <is>
          <t>ÅRE</t>
        </is>
      </c>
      <c r="G726" t="n">
        <v>12</v>
      </c>
      <c r="H726" t="n">
        <v>0</v>
      </c>
      <c r="I726" t="n">
        <v>0</v>
      </c>
      <c r="J726" t="n">
        <v>0</v>
      </c>
      <c r="K726" t="n">
        <v>0</v>
      </c>
      <c r="L726" t="n">
        <v>0</v>
      </c>
      <c r="M726" t="n">
        <v>0</v>
      </c>
      <c r="N726" t="n">
        <v>0</v>
      </c>
      <c r="O726" t="n">
        <v>0</v>
      </c>
      <c r="P726" t="n">
        <v>0</v>
      </c>
      <c r="Q726" t="n">
        <v>0</v>
      </c>
      <c r="R726" s="2" t="inlineStr"/>
    </row>
    <row r="727" ht="15" customHeight="1">
      <c r="A727" t="inlineStr">
        <is>
          <t>A 64312-2023</t>
        </is>
      </c>
      <c r="B727" s="1" t="n">
        <v>45279</v>
      </c>
      <c r="C727" s="1" t="n">
        <v>45472</v>
      </c>
      <c r="D727" t="inlineStr">
        <is>
          <t>JÄMTLANDS LÄN</t>
        </is>
      </c>
      <c r="E727" t="inlineStr">
        <is>
          <t>ÅRE</t>
        </is>
      </c>
      <c r="G727" t="n">
        <v>13.4</v>
      </c>
      <c r="H727" t="n">
        <v>0</v>
      </c>
      <c r="I727" t="n">
        <v>0</v>
      </c>
      <c r="J727" t="n">
        <v>0</v>
      </c>
      <c r="K727" t="n">
        <v>0</v>
      </c>
      <c r="L727" t="n">
        <v>0</v>
      </c>
      <c r="M727" t="n">
        <v>0</v>
      </c>
      <c r="N727" t="n">
        <v>0</v>
      </c>
      <c r="O727" t="n">
        <v>0</v>
      </c>
      <c r="P727" t="n">
        <v>0</v>
      </c>
      <c r="Q727" t="n">
        <v>0</v>
      </c>
      <c r="R727" s="2" t="inlineStr"/>
    </row>
    <row r="728" ht="15" customHeight="1">
      <c r="A728" t="inlineStr">
        <is>
          <t>A 64758-2023</t>
        </is>
      </c>
      <c r="B728" s="1" t="n">
        <v>45281</v>
      </c>
      <c r="C728" s="1" t="n">
        <v>45472</v>
      </c>
      <c r="D728" t="inlineStr">
        <is>
          <t>JÄMTLANDS LÄN</t>
        </is>
      </c>
      <c r="E728" t="inlineStr">
        <is>
          <t>ÅRE</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65029-2023</t>
        </is>
      </c>
      <c r="B729" s="1" t="n">
        <v>45287</v>
      </c>
      <c r="C729" s="1" t="n">
        <v>45472</v>
      </c>
      <c r="D729" t="inlineStr">
        <is>
          <t>JÄMTLANDS LÄN</t>
        </is>
      </c>
      <c r="E729" t="inlineStr">
        <is>
          <t>ÅRE</t>
        </is>
      </c>
      <c r="G729" t="n">
        <v>18.2</v>
      </c>
      <c r="H729" t="n">
        <v>0</v>
      </c>
      <c r="I729" t="n">
        <v>0</v>
      </c>
      <c r="J729" t="n">
        <v>0</v>
      </c>
      <c r="K729" t="n">
        <v>0</v>
      </c>
      <c r="L729" t="n">
        <v>0</v>
      </c>
      <c r="M729" t="n">
        <v>0</v>
      </c>
      <c r="N729" t="n">
        <v>0</v>
      </c>
      <c r="O729" t="n">
        <v>0</v>
      </c>
      <c r="P729" t="n">
        <v>0</v>
      </c>
      <c r="Q729" t="n">
        <v>0</v>
      </c>
      <c r="R729" s="2" t="inlineStr"/>
    </row>
    <row r="730" ht="15" customHeight="1">
      <c r="A730" t="inlineStr">
        <is>
          <t>A 65079-2023</t>
        </is>
      </c>
      <c r="B730" s="1" t="n">
        <v>45288</v>
      </c>
      <c r="C730" s="1" t="n">
        <v>45472</v>
      </c>
      <c r="D730" t="inlineStr">
        <is>
          <t>JÄMTLANDS LÄN</t>
        </is>
      </c>
      <c r="E730" t="inlineStr">
        <is>
          <t>ÅRE</t>
        </is>
      </c>
      <c r="G730" t="n">
        <v>6</v>
      </c>
      <c r="H730" t="n">
        <v>0</v>
      </c>
      <c r="I730" t="n">
        <v>0</v>
      </c>
      <c r="J730" t="n">
        <v>0</v>
      </c>
      <c r="K730" t="n">
        <v>0</v>
      </c>
      <c r="L730" t="n">
        <v>0</v>
      </c>
      <c r="M730" t="n">
        <v>0</v>
      </c>
      <c r="N730" t="n">
        <v>0</v>
      </c>
      <c r="O730" t="n">
        <v>0</v>
      </c>
      <c r="P730" t="n">
        <v>0</v>
      </c>
      <c r="Q730" t="n">
        <v>0</v>
      </c>
      <c r="R730" s="2" t="inlineStr"/>
    </row>
    <row r="731" ht="15" customHeight="1">
      <c r="A731" t="inlineStr">
        <is>
          <t>A 65078-2023</t>
        </is>
      </c>
      <c r="B731" s="1" t="n">
        <v>45288</v>
      </c>
      <c r="C731" s="1" t="n">
        <v>45472</v>
      </c>
      <c r="D731" t="inlineStr">
        <is>
          <t>JÄMTLANDS LÄN</t>
        </is>
      </c>
      <c r="E731" t="inlineStr">
        <is>
          <t>ÅRE</t>
        </is>
      </c>
      <c r="G731" t="n">
        <v>2.2</v>
      </c>
      <c r="H731" t="n">
        <v>0</v>
      </c>
      <c r="I731" t="n">
        <v>0</v>
      </c>
      <c r="J731" t="n">
        <v>0</v>
      </c>
      <c r="K731" t="n">
        <v>0</v>
      </c>
      <c r="L731" t="n">
        <v>0</v>
      </c>
      <c r="M731" t="n">
        <v>0</v>
      </c>
      <c r="N731" t="n">
        <v>0</v>
      </c>
      <c r="O731" t="n">
        <v>0</v>
      </c>
      <c r="P731" t="n">
        <v>0</v>
      </c>
      <c r="Q731" t="n">
        <v>0</v>
      </c>
      <c r="R731" s="2" t="inlineStr"/>
    </row>
    <row r="732" ht="15" customHeight="1">
      <c r="A732" t="inlineStr">
        <is>
          <t>A 65033-2023</t>
        </is>
      </c>
      <c r="B732" s="1" t="n">
        <v>45287</v>
      </c>
      <c r="C732" s="1" t="n">
        <v>45472</v>
      </c>
      <c r="D732" t="inlineStr">
        <is>
          <t>JÄMTLANDS LÄN</t>
        </is>
      </c>
      <c r="E732" t="inlineStr">
        <is>
          <t>ÅRE</t>
        </is>
      </c>
      <c r="G732" t="n">
        <v>2.8</v>
      </c>
      <c r="H732" t="n">
        <v>0</v>
      </c>
      <c r="I732" t="n">
        <v>0</v>
      </c>
      <c r="J732" t="n">
        <v>0</v>
      </c>
      <c r="K732" t="n">
        <v>0</v>
      </c>
      <c r="L732" t="n">
        <v>0</v>
      </c>
      <c r="M732" t="n">
        <v>0</v>
      </c>
      <c r="N732" t="n">
        <v>0</v>
      </c>
      <c r="O732" t="n">
        <v>0</v>
      </c>
      <c r="P732" t="n">
        <v>0</v>
      </c>
      <c r="Q732" t="n">
        <v>0</v>
      </c>
      <c r="R732" s="2" t="inlineStr"/>
    </row>
    <row r="733" ht="15" customHeight="1">
      <c r="A733" t="inlineStr">
        <is>
          <t>A 376-2024</t>
        </is>
      </c>
      <c r="B733" s="1" t="n">
        <v>45296</v>
      </c>
      <c r="C733" s="1" t="n">
        <v>45472</v>
      </c>
      <c r="D733" t="inlineStr">
        <is>
          <t>JÄMTLANDS LÄN</t>
        </is>
      </c>
      <c r="E733" t="inlineStr">
        <is>
          <t>ÅRE</t>
        </is>
      </c>
      <c r="F733" t="inlineStr">
        <is>
          <t>Kyrkan</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393-2024</t>
        </is>
      </c>
      <c r="B734" s="1" t="n">
        <v>45296</v>
      </c>
      <c r="C734" s="1" t="n">
        <v>45472</v>
      </c>
      <c r="D734" t="inlineStr">
        <is>
          <t>JÄMTLANDS LÄN</t>
        </is>
      </c>
      <c r="E734" t="inlineStr">
        <is>
          <t>ÅRE</t>
        </is>
      </c>
      <c r="G734" t="n">
        <v>6.5</v>
      </c>
      <c r="H734" t="n">
        <v>0</v>
      </c>
      <c r="I734" t="n">
        <v>0</v>
      </c>
      <c r="J734" t="n">
        <v>0</v>
      </c>
      <c r="K734" t="n">
        <v>0</v>
      </c>
      <c r="L734" t="n">
        <v>0</v>
      </c>
      <c r="M734" t="n">
        <v>0</v>
      </c>
      <c r="N734" t="n">
        <v>0</v>
      </c>
      <c r="O734" t="n">
        <v>0</v>
      </c>
      <c r="P734" t="n">
        <v>0</v>
      </c>
      <c r="Q734" t="n">
        <v>0</v>
      </c>
      <c r="R734" s="2" t="inlineStr"/>
    </row>
    <row r="735" ht="15" customHeight="1">
      <c r="A735" t="inlineStr">
        <is>
          <t>A 747-2024</t>
        </is>
      </c>
      <c r="B735" s="1" t="n">
        <v>45300</v>
      </c>
      <c r="C735" s="1" t="n">
        <v>45472</v>
      </c>
      <c r="D735" t="inlineStr">
        <is>
          <t>JÄMTLANDS LÄN</t>
        </is>
      </c>
      <c r="E735" t="inlineStr">
        <is>
          <t>ÅRE</t>
        </is>
      </c>
      <c r="G735" t="n">
        <v>4.8</v>
      </c>
      <c r="H735" t="n">
        <v>0</v>
      </c>
      <c r="I735" t="n">
        <v>0</v>
      </c>
      <c r="J735" t="n">
        <v>0</v>
      </c>
      <c r="K735" t="n">
        <v>0</v>
      </c>
      <c r="L735" t="n">
        <v>0</v>
      </c>
      <c r="M735" t="n">
        <v>0</v>
      </c>
      <c r="N735" t="n">
        <v>0</v>
      </c>
      <c r="O735" t="n">
        <v>0</v>
      </c>
      <c r="P735" t="n">
        <v>0</v>
      </c>
      <c r="Q735" t="n">
        <v>0</v>
      </c>
      <c r="R735" s="2" t="inlineStr"/>
    </row>
    <row r="736" ht="15" customHeight="1">
      <c r="A736" t="inlineStr">
        <is>
          <t>A 1050-2024</t>
        </is>
      </c>
      <c r="B736" s="1" t="n">
        <v>45301</v>
      </c>
      <c r="C736" s="1" t="n">
        <v>45472</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1378-2024</t>
        </is>
      </c>
      <c r="B737" s="1" t="n">
        <v>45303</v>
      </c>
      <c r="C737" s="1" t="n">
        <v>45472</v>
      </c>
      <c r="D737" t="inlineStr">
        <is>
          <t>JÄMTLANDS LÄN</t>
        </is>
      </c>
      <c r="E737" t="inlineStr">
        <is>
          <t>ÅRE</t>
        </is>
      </c>
      <c r="G737" t="n">
        <v>1.2</v>
      </c>
      <c r="H737" t="n">
        <v>0</v>
      </c>
      <c r="I737" t="n">
        <v>0</v>
      </c>
      <c r="J737" t="n">
        <v>0</v>
      </c>
      <c r="K737" t="n">
        <v>0</v>
      </c>
      <c r="L737" t="n">
        <v>0</v>
      </c>
      <c r="M737" t="n">
        <v>0</v>
      </c>
      <c r="N737" t="n">
        <v>0</v>
      </c>
      <c r="O737" t="n">
        <v>0</v>
      </c>
      <c r="P737" t="n">
        <v>0</v>
      </c>
      <c r="Q737" t="n">
        <v>0</v>
      </c>
      <c r="R737" s="2" t="inlineStr"/>
    </row>
    <row r="738" ht="15" customHeight="1">
      <c r="A738" t="inlineStr">
        <is>
          <t>A 1460-2024</t>
        </is>
      </c>
      <c r="B738" s="1" t="n">
        <v>45303</v>
      </c>
      <c r="C738" s="1" t="n">
        <v>45472</v>
      </c>
      <c r="D738" t="inlineStr">
        <is>
          <t>JÄMTLANDS LÄN</t>
        </is>
      </c>
      <c r="E738" t="inlineStr">
        <is>
          <t>ÅRE</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1491-2024</t>
        </is>
      </c>
      <c r="B739" s="1" t="n">
        <v>45305</v>
      </c>
      <c r="C739" s="1" t="n">
        <v>45472</v>
      </c>
      <c r="D739" t="inlineStr">
        <is>
          <t>JÄMTLANDS LÄN</t>
        </is>
      </c>
      <c r="E739" t="inlineStr">
        <is>
          <t>ÅRE</t>
        </is>
      </c>
      <c r="G739" t="n">
        <v>31.4</v>
      </c>
      <c r="H739" t="n">
        <v>0</v>
      </c>
      <c r="I739" t="n">
        <v>0</v>
      </c>
      <c r="J739" t="n">
        <v>0</v>
      </c>
      <c r="K739" t="n">
        <v>0</v>
      </c>
      <c r="L739" t="n">
        <v>0</v>
      </c>
      <c r="M739" t="n">
        <v>0</v>
      </c>
      <c r="N739" t="n">
        <v>0</v>
      </c>
      <c r="O739" t="n">
        <v>0</v>
      </c>
      <c r="P739" t="n">
        <v>0</v>
      </c>
      <c r="Q739" t="n">
        <v>0</v>
      </c>
      <c r="R739" s="2" t="inlineStr"/>
    </row>
    <row r="740" ht="15" customHeight="1">
      <c r="A740" t="inlineStr">
        <is>
          <t>A 6825-2024</t>
        </is>
      </c>
      <c r="B740" s="1" t="n">
        <v>45342</v>
      </c>
      <c r="C740" s="1" t="n">
        <v>45472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7334-2024</t>
        </is>
      </c>
      <c r="B741" s="1" t="n">
        <v>45345</v>
      </c>
      <c r="C741" s="1" t="n">
        <v>45472</v>
      </c>
      <c r="D741" t="inlineStr">
        <is>
          <t>JÄMTLANDS LÄN</t>
        </is>
      </c>
      <c r="E741" t="inlineStr">
        <is>
          <t>ÅRE</t>
        </is>
      </c>
      <c r="G741" t="n">
        <v>12.7</v>
      </c>
      <c r="H741" t="n">
        <v>0</v>
      </c>
      <c r="I741" t="n">
        <v>0</v>
      </c>
      <c r="J741" t="n">
        <v>0</v>
      </c>
      <c r="K741" t="n">
        <v>0</v>
      </c>
      <c r="L741" t="n">
        <v>0</v>
      </c>
      <c r="M741" t="n">
        <v>0</v>
      </c>
      <c r="N741" t="n">
        <v>0</v>
      </c>
      <c r="O741" t="n">
        <v>0</v>
      </c>
      <c r="P741" t="n">
        <v>0</v>
      </c>
      <c r="Q741" t="n">
        <v>0</v>
      </c>
      <c r="R741" s="2" t="inlineStr"/>
    </row>
    <row r="742" ht="15" customHeight="1">
      <c r="A742" t="inlineStr">
        <is>
          <t>A 7323-2024</t>
        </is>
      </c>
      <c r="B742" s="1" t="n">
        <v>45345</v>
      </c>
      <c r="C742" s="1" t="n">
        <v>45472</v>
      </c>
      <c r="D742" t="inlineStr">
        <is>
          <t>JÄMTLANDS LÄN</t>
        </is>
      </c>
      <c r="E742" t="inlineStr">
        <is>
          <t>ÅRE</t>
        </is>
      </c>
      <c r="G742" t="n">
        <v>3.7</v>
      </c>
      <c r="H742" t="n">
        <v>0</v>
      </c>
      <c r="I742" t="n">
        <v>0</v>
      </c>
      <c r="J742" t="n">
        <v>0</v>
      </c>
      <c r="K742" t="n">
        <v>0</v>
      </c>
      <c r="L742" t="n">
        <v>0</v>
      </c>
      <c r="M742" t="n">
        <v>0</v>
      </c>
      <c r="N742" t="n">
        <v>0</v>
      </c>
      <c r="O742" t="n">
        <v>0</v>
      </c>
      <c r="P742" t="n">
        <v>0</v>
      </c>
      <c r="Q742" t="n">
        <v>0</v>
      </c>
      <c r="R742" s="2" t="inlineStr"/>
    </row>
    <row r="743" ht="15" customHeight="1">
      <c r="A743" t="inlineStr">
        <is>
          <t>A 8131-2024</t>
        </is>
      </c>
      <c r="B743" s="1" t="n">
        <v>45351</v>
      </c>
      <c r="C743" s="1" t="n">
        <v>45472</v>
      </c>
      <c r="D743" t="inlineStr">
        <is>
          <t>JÄMTLANDS LÄN</t>
        </is>
      </c>
      <c r="E743" t="inlineStr">
        <is>
          <t>ÅRE</t>
        </is>
      </c>
      <c r="F743" t="inlineStr">
        <is>
          <t>Övriga Aktiebolag</t>
        </is>
      </c>
      <c r="G743" t="n">
        <v>3.1</v>
      </c>
      <c r="H743" t="n">
        <v>0</v>
      </c>
      <c r="I743" t="n">
        <v>0</v>
      </c>
      <c r="J743" t="n">
        <v>0</v>
      </c>
      <c r="K743" t="n">
        <v>0</v>
      </c>
      <c r="L743" t="n">
        <v>0</v>
      </c>
      <c r="M743" t="n">
        <v>0</v>
      </c>
      <c r="N743" t="n">
        <v>0</v>
      </c>
      <c r="O743" t="n">
        <v>0</v>
      </c>
      <c r="P743" t="n">
        <v>0</v>
      </c>
      <c r="Q743" t="n">
        <v>0</v>
      </c>
      <c r="R743" s="2" t="inlineStr"/>
    </row>
    <row r="744" ht="15" customHeight="1">
      <c r="A744" t="inlineStr">
        <is>
          <t>A 8576-2024</t>
        </is>
      </c>
      <c r="B744" s="1" t="n">
        <v>45355</v>
      </c>
      <c r="C744" s="1" t="n">
        <v>45472</v>
      </c>
      <c r="D744" t="inlineStr">
        <is>
          <t>JÄMTLANDS LÄN</t>
        </is>
      </c>
      <c r="E744" t="inlineStr">
        <is>
          <t>ÅRE</t>
        </is>
      </c>
      <c r="G744" t="n">
        <v>21.7</v>
      </c>
      <c r="H744" t="n">
        <v>0</v>
      </c>
      <c r="I744" t="n">
        <v>0</v>
      </c>
      <c r="J744" t="n">
        <v>0</v>
      </c>
      <c r="K744" t="n">
        <v>0</v>
      </c>
      <c r="L744" t="n">
        <v>0</v>
      </c>
      <c r="M744" t="n">
        <v>0</v>
      </c>
      <c r="N744" t="n">
        <v>0</v>
      </c>
      <c r="O744" t="n">
        <v>0</v>
      </c>
      <c r="P744" t="n">
        <v>0</v>
      </c>
      <c r="Q744" t="n">
        <v>0</v>
      </c>
      <c r="R744" s="2" t="inlineStr"/>
    </row>
    <row r="745" ht="15" customHeight="1">
      <c r="A745" t="inlineStr">
        <is>
          <t>A 9926-2024</t>
        </is>
      </c>
      <c r="B745" s="1" t="n">
        <v>45363</v>
      </c>
      <c r="C745" s="1" t="n">
        <v>45472</v>
      </c>
      <c r="D745" t="inlineStr">
        <is>
          <t>JÄMTLANDS LÄN</t>
        </is>
      </c>
      <c r="E745" t="inlineStr">
        <is>
          <t>ÅRE</t>
        </is>
      </c>
      <c r="G745" t="n">
        <v>3.4</v>
      </c>
      <c r="H745" t="n">
        <v>0</v>
      </c>
      <c r="I745" t="n">
        <v>0</v>
      </c>
      <c r="J745" t="n">
        <v>0</v>
      </c>
      <c r="K745" t="n">
        <v>0</v>
      </c>
      <c r="L745" t="n">
        <v>0</v>
      </c>
      <c r="M745" t="n">
        <v>0</v>
      </c>
      <c r="N745" t="n">
        <v>0</v>
      </c>
      <c r="O745" t="n">
        <v>0</v>
      </c>
      <c r="P745" t="n">
        <v>0</v>
      </c>
      <c r="Q745" t="n">
        <v>0</v>
      </c>
      <c r="R745" s="2" t="inlineStr"/>
    </row>
    <row r="746" ht="15" customHeight="1">
      <c r="A746" t="inlineStr">
        <is>
          <t>A 9936-2024</t>
        </is>
      </c>
      <c r="B746" s="1" t="n">
        <v>45363</v>
      </c>
      <c r="C746" s="1" t="n">
        <v>45472</v>
      </c>
      <c r="D746" t="inlineStr">
        <is>
          <t>JÄMTLANDS LÄN</t>
        </is>
      </c>
      <c r="E746" t="inlineStr">
        <is>
          <t>ÅRE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11291-2024</t>
        </is>
      </c>
      <c r="B747" s="1" t="n">
        <v>45371</v>
      </c>
      <c r="C747" s="1" t="n">
        <v>45472</v>
      </c>
      <c r="D747" t="inlineStr">
        <is>
          <t>JÄMTLANDS LÄN</t>
        </is>
      </c>
      <c r="E747" t="inlineStr">
        <is>
          <t>ÅRE</t>
        </is>
      </c>
      <c r="G747" t="n">
        <v>4.4</v>
      </c>
      <c r="H747" t="n">
        <v>0</v>
      </c>
      <c r="I747" t="n">
        <v>0</v>
      </c>
      <c r="J747" t="n">
        <v>0</v>
      </c>
      <c r="K747" t="n">
        <v>0</v>
      </c>
      <c r="L747" t="n">
        <v>0</v>
      </c>
      <c r="M747" t="n">
        <v>0</v>
      </c>
      <c r="N747" t="n">
        <v>0</v>
      </c>
      <c r="O747" t="n">
        <v>0</v>
      </c>
      <c r="P747" t="n">
        <v>0</v>
      </c>
      <c r="Q747" t="n">
        <v>0</v>
      </c>
      <c r="R747" s="2" t="inlineStr"/>
    </row>
    <row r="748" ht="15" customHeight="1">
      <c r="A748" t="inlineStr">
        <is>
          <t>A 11292-2024</t>
        </is>
      </c>
      <c r="B748" s="1" t="n">
        <v>45371</v>
      </c>
      <c r="C748" s="1" t="n">
        <v>45472</v>
      </c>
      <c r="D748" t="inlineStr">
        <is>
          <t>JÄMTLANDS LÄN</t>
        </is>
      </c>
      <c r="E748" t="inlineStr">
        <is>
          <t>ÅRE</t>
        </is>
      </c>
      <c r="G748" t="n">
        <v>1.1</v>
      </c>
      <c r="H748" t="n">
        <v>0</v>
      </c>
      <c r="I748" t="n">
        <v>0</v>
      </c>
      <c r="J748" t="n">
        <v>0</v>
      </c>
      <c r="K748" t="n">
        <v>0</v>
      </c>
      <c r="L748" t="n">
        <v>0</v>
      </c>
      <c r="M748" t="n">
        <v>0</v>
      </c>
      <c r="N748" t="n">
        <v>0</v>
      </c>
      <c r="O748" t="n">
        <v>0</v>
      </c>
      <c r="P748" t="n">
        <v>0</v>
      </c>
      <c r="Q748" t="n">
        <v>0</v>
      </c>
      <c r="R748" s="2" t="inlineStr"/>
    </row>
    <row r="749" ht="15" customHeight="1">
      <c r="A749" t="inlineStr">
        <is>
          <t>A 11914-2024</t>
        </is>
      </c>
      <c r="B749" s="1" t="n">
        <v>45376</v>
      </c>
      <c r="C749" s="1" t="n">
        <v>45472</v>
      </c>
      <c r="D749" t="inlineStr">
        <is>
          <t>JÄMTLANDS LÄN</t>
        </is>
      </c>
      <c r="E749" t="inlineStr">
        <is>
          <t>ÅRE</t>
        </is>
      </c>
      <c r="G749" t="n">
        <v>2.5</v>
      </c>
      <c r="H749" t="n">
        <v>0</v>
      </c>
      <c r="I749" t="n">
        <v>0</v>
      </c>
      <c r="J749" t="n">
        <v>0</v>
      </c>
      <c r="K749" t="n">
        <v>0</v>
      </c>
      <c r="L749" t="n">
        <v>0</v>
      </c>
      <c r="M749" t="n">
        <v>0</v>
      </c>
      <c r="N749" t="n">
        <v>0</v>
      </c>
      <c r="O749" t="n">
        <v>0</v>
      </c>
      <c r="P749" t="n">
        <v>0</v>
      </c>
      <c r="Q749" t="n">
        <v>0</v>
      </c>
      <c r="R749" s="2" t="inlineStr"/>
    </row>
    <row r="750" ht="15" customHeight="1">
      <c r="A750" t="inlineStr">
        <is>
          <t>A 11820-2024</t>
        </is>
      </c>
      <c r="B750" s="1" t="n">
        <v>45376</v>
      </c>
      <c r="C750" s="1" t="n">
        <v>45472</v>
      </c>
      <c r="D750" t="inlineStr">
        <is>
          <t>JÄMTLANDS LÄN</t>
        </is>
      </c>
      <c r="E750" t="inlineStr">
        <is>
          <t>ÅRE</t>
        </is>
      </c>
      <c r="G750" t="n">
        <v>9.9</v>
      </c>
      <c r="H750" t="n">
        <v>0</v>
      </c>
      <c r="I750" t="n">
        <v>0</v>
      </c>
      <c r="J750" t="n">
        <v>0</v>
      </c>
      <c r="K750" t="n">
        <v>0</v>
      </c>
      <c r="L750" t="n">
        <v>0</v>
      </c>
      <c r="M750" t="n">
        <v>0</v>
      </c>
      <c r="N750" t="n">
        <v>0</v>
      </c>
      <c r="O750" t="n">
        <v>0</v>
      </c>
      <c r="P750" t="n">
        <v>0</v>
      </c>
      <c r="Q750" t="n">
        <v>0</v>
      </c>
      <c r="R750" s="2" t="inlineStr"/>
    </row>
    <row r="751" ht="15" customHeight="1">
      <c r="A751" t="inlineStr">
        <is>
          <t>A 12427-2024</t>
        </is>
      </c>
      <c r="B751" s="1" t="n">
        <v>45379</v>
      </c>
      <c r="C751" s="1" t="n">
        <v>45472</v>
      </c>
      <c r="D751" t="inlineStr">
        <is>
          <t>JÄMTLANDS LÄN</t>
        </is>
      </c>
      <c r="E751" t="inlineStr">
        <is>
          <t>ÅRE</t>
        </is>
      </c>
      <c r="G751" t="n">
        <v>8.4</v>
      </c>
      <c r="H751" t="n">
        <v>0</v>
      </c>
      <c r="I751" t="n">
        <v>0</v>
      </c>
      <c r="J751" t="n">
        <v>0</v>
      </c>
      <c r="K751" t="n">
        <v>0</v>
      </c>
      <c r="L751" t="n">
        <v>0</v>
      </c>
      <c r="M751" t="n">
        <v>0</v>
      </c>
      <c r="N751" t="n">
        <v>0</v>
      </c>
      <c r="O751" t="n">
        <v>0</v>
      </c>
      <c r="P751" t="n">
        <v>0</v>
      </c>
      <c r="Q751" t="n">
        <v>0</v>
      </c>
      <c r="R751" s="2" t="inlineStr"/>
    </row>
    <row r="752" ht="15" customHeight="1">
      <c r="A752" t="inlineStr">
        <is>
          <t>A 12895-2024</t>
        </is>
      </c>
      <c r="B752" s="1" t="n">
        <v>45385</v>
      </c>
      <c r="C752" s="1" t="n">
        <v>45472</v>
      </c>
      <c r="D752" t="inlineStr">
        <is>
          <t>JÄMTLANDS LÄN</t>
        </is>
      </c>
      <c r="E752" t="inlineStr">
        <is>
          <t>ÅRE</t>
        </is>
      </c>
      <c r="G752" t="n">
        <v>7.1</v>
      </c>
      <c r="H752" t="n">
        <v>0</v>
      </c>
      <c r="I752" t="n">
        <v>0</v>
      </c>
      <c r="J752" t="n">
        <v>0</v>
      </c>
      <c r="K752" t="n">
        <v>0</v>
      </c>
      <c r="L752" t="n">
        <v>0</v>
      </c>
      <c r="M752" t="n">
        <v>0</v>
      </c>
      <c r="N752" t="n">
        <v>0</v>
      </c>
      <c r="O752" t="n">
        <v>0</v>
      </c>
      <c r="P752" t="n">
        <v>0</v>
      </c>
      <c r="Q752" t="n">
        <v>0</v>
      </c>
      <c r="R752" s="2" t="inlineStr"/>
    </row>
    <row r="753" ht="15" customHeight="1">
      <c r="A753" t="inlineStr">
        <is>
          <t>A 12933-2024</t>
        </is>
      </c>
      <c r="B753" s="1" t="n">
        <v>45385</v>
      </c>
      <c r="C753" s="1" t="n">
        <v>45472</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12948-2024</t>
        </is>
      </c>
      <c r="B754" s="1" t="n">
        <v>45385</v>
      </c>
      <c r="C754" s="1" t="n">
        <v>45472</v>
      </c>
      <c r="D754" t="inlineStr">
        <is>
          <t>JÄMTLANDS LÄN</t>
        </is>
      </c>
      <c r="E754" t="inlineStr">
        <is>
          <t>ÅRE</t>
        </is>
      </c>
      <c r="G754" t="n">
        <v>1.4</v>
      </c>
      <c r="H754" t="n">
        <v>0</v>
      </c>
      <c r="I754" t="n">
        <v>0</v>
      </c>
      <c r="J754" t="n">
        <v>0</v>
      </c>
      <c r="K754" t="n">
        <v>0</v>
      </c>
      <c r="L754" t="n">
        <v>0</v>
      </c>
      <c r="M754" t="n">
        <v>0</v>
      </c>
      <c r="N754" t="n">
        <v>0</v>
      </c>
      <c r="O754" t="n">
        <v>0</v>
      </c>
      <c r="P754" t="n">
        <v>0</v>
      </c>
      <c r="Q754" t="n">
        <v>0</v>
      </c>
      <c r="R754" s="2" t="inlineStr"/>
    </row>
    <row r="755" ht="15" customHeight="1">
      <c r="A755" t="inlineStr">
        <is>
          <t>A 13039-2024</t>
        </is>
      </c>
      <c r="B755" s="1" t="n">
        <v>45385</v>
      </c>
      <c r="C755" s="1" t="n">
        <v>45472</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13033-2024</t>
        </is>
      </c>
      <c r="B756" s="1" t="n">
        <v>45385</v>
      </c>
      <c r="C756" s="1" t="n">
        <v>45472</v>
      </c>
      <c r="D756" t="inlineStr">
        <is>
          <t>JÄMTLANDS LÄN</t>
        </is>
      </c>
      <c r="E756" t="inlineStr">
        <is>
          <t>ÅRE</t>
        </is>
      </c>
      <c r="G756" t="n">
        <v>7.3</v>
      </c>
      <c r="H756" t="n">
        <v>0</v>
      </c>
      <c r="I756" t="n">
        <v>0</v>
      </c>
      <c r="J756" t="n">
        <v>0</v>
      </c>
      <c r="K756" t="n">
        <v>0</v>
      </c>
      <c r="L756" t="n">
        <v>0</v>
      </c>
      <c r="M756" t="n">
        <v>0</v>
      </c>
      <c r="N756" t="n">
        <v>0</v>
      </c>
      <c r="O756" t="n">
        <v>0</v>
      </c>
      <c r="P756" t="n">
        <v>0</v>
      </c>
      <c r="Q756" t="n">
        <v>0</v>
      </c>
      <c r="R756" s="2" t="inlineStr"/>
    </row>
    <row r="757" ht="15" customHeight="1">
      <c r="A757" t="inlineStr">
        <is>
          <t>A 13062-2024</t>
        </is>
      </c>
      <c r="B757" s="1" t="n">
        <v>45385</v>
      </c>
      <c r="C757" s="1" t="n">
        <v>45472</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12930-2024</t>
        </is>
      </c>
      <c r="B758" s="1" t="n">
        <v>45385</v>
      </c>
      <c r="C758" s="1" t="n">
        <v>45472</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12951-2024</t>
        </is>
      </c>
      <c r="B759" s="1" t="n">
        <v>45385</v>
      </c>
      <c r="C759" s="1" t="n">
        <v>45472</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13022-2024</t>
        </is>
      </c>
      <c r="B760" s="1" t="n">
        <v>45385</v>
      </c>
      <c r="C760" s="1" t="n">
        <v>45472</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12936-2024</t>
        </is>
      </c>
      <c r="B761" s="1" t="n">
        <v>45385</v>
      </c>
      <c r="C761" s="1" t="n">
        <v>45472</v>
      </c>
      <c r="D761" t="inlineStr">
        <is>
          <t>JÄMTLANDS LÄN</t>
        </is>
      </c>
      <c r="E761" t="inlineStr">
        <is>
          <t>ÅRE</t>
        </is>
      </c>
      <c r="G761" t="n">
        <v>4.9</v>
      </c>
      <c r="H761" t="n">
        <v>0</v>
      </c>
      <c r="I761" t="n">
        <v>0</v>
      </c>
      <c r="J761" t="n">
        <v>0</v>
      </c>
      <c r="K761" t="n">
        <v>0</v>
      </c>
      <c r="L761" t="n">
        <v>0</v>
      </c>
      <c r="M761" t="n">
        <v>0</v>
      </c>
      <c r="N761" t="n">
        <v>0</v>
      </c>
      <c r="O761" t="n">
        <v>0</v>
      </c>
      <c r="P761" t="n">
        <v>0</v>
      </c>
      <c r="Q761" t="n">
        <v>0</v>
      </c>
      <c r="R761" s="2" t="inlineStr"/>
    </row>
    <row r="762" ht="15" customHeight="1">
      <c r="A762" t="inlineStr">
        <is>
          <t>A 12940-2024</t>
        </is>
      </c>
      <c r="B762" s="1" t="n">
        <v>45385</v>
      </c>
      <c r="C762" s="1" t="n">
        <v>45472</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13097-2024</t>
        </is>
      </c>
      <c r="B763" s="1" t="n">
        <v>45385</v>
      </c>
      <c r="C763" s="1" t="n">
        <v>45472</v>
      </c>
      <c r="D763" t="inlineStr">
        <is>
          <t>JÄMTLANDS LÄN</t>
        </is>
      </c>
      <c r="E763" t="inlineStr">
        <is>
          <t>ÅRE</t>
        </is>
      </c>
      <c r="G763" t="n">
        <v>31.4</v>
      </c>
      <c r="H763" t="n">
        <v>0</v>
      </c>
      <c r="I763" t="n">
        <v>0</v>
      </c>
      <c r="J763" t="n">
        <v>0</v>
      </c>
      <c r="K763" t="n">
        <v>0</v>
      </c>
      <c r="L763" t="n">
        <v>0</v>
      </c>
      <c r="M763" t="n">
        <v>0</v>
      </c>
      <c r="N763" t="n">
        <v>0</v>
      </c>
      <c r="O763" t="n">
        <v>0</v>
      </c>
      <c r="P763" t="n">
        <v>0</v>
      </c>
      <c r="Q763" t="n">
        <v>0</v>
      </c>
      <c r="R763" s="2" t="inlineStr"/>
    </row>
    <row r="764" ht="15" customHeight="1">
      <c r="A764" t="inlineStr">
        <is>
          <t>A 13301-2024</t>
        </is>
      </c>
      <c r="B764" s="1" t="n">
        <v>45386</v>
      </c>
      <c r="C764" s="1" t="n">
        <v>45472</v>
      </c>
      <c r="D764" t="inlineStr">
        <is>
          <t>JÄMTLANDS LÄN</t>
        </is>
      </c>
      <c r="E764" t="inlineStr">
        <is>
          <t>ÅRE</t>
        </is>
      </c>
      <c r="G764" t="n">
        <v>9</v>
      </c>
      <c r="H764" t="n">
        <v>0</v>
      </c>
      <c r="I764" t="n">
        <v>0</v>
      </c>
      <c r="J764" t="n">
        <v>0</v>
      </c>
      <c r="K764" t="n">
        <v>0</v>
      </c>
      <c r="L764" t="n">
        <v>0</v>
      </c>
      <c r="M764" t="n">
        <v>0</v>
      </c>
      <c r="N764" t="n">
        <v>0</v>
      </c>
      <c r="O764" t="n">
        <v>0</v>
      </c>
      <c r="P764" t="n">
        <v>0</v>
      </c>
      <c r="Q764" t="n">
        <v>0</v>
      </c>
      <c r="R764" s="2" t="inlineStr"/>
    </row>
    <row r="765" ht="15" customHeight="1">
      <c r="A765" t="inlineStr">
        <is>
          <t>A 13370-2024</t>
        </is>
      </c>
      <c r="B765" s="1" t="n">
        <v>45387</v>
      </c>
      <c r="C765" s="1" t="n">
        <v>45472</v>
      </c>
      <c r="D765" t="inlineStr">
        <is>
          <t>JÄMTLANDS LÄN</t>
        </is>
      </c>
      <c r="E765" t="inlineStr">
        <is>
          <t>ÅRE</t>
        </is>
      </c>
      <c r="G765" t="n">
        <v>8.5</v>
      </c>
      <c r="H765" t="n">
        <v>0</v>
      </c>
      <c r="I765" t="n">
        <v>0</v>
      </c>
      <c r="J765" t="n">
        <v>0</v>
      </c>
      <c r="K765" t="n">
        <v>0</v>
      </c>
      <c r="L765" t="n">
        <v>0</v>
      </c>
      <c r="M765" t="n">
        <v>0</v>
      </c>
      <c r="N765" t="n">
        <v>0</v>
      </c>
      <c r="O765" t="n">
        <v>0</v>
      </c>
      <c r="P765" t="n">
        <v>0</v>
      </c>
      <c r="Q765" t="n">
        <v>0</v>
      </c>
      <c r="R765" s="2" t="inlineStr"/>
    </row>
    <row r="766" ht="15" customHeight="1">
      <c r="A766" t="inlineStr">
        <is>
          <t>A 14497-2024</t>
        </is>
      </c>
      <c r="B766" s="1" t="n">
        <v>45394</v>
      </c>
      <c r="C766" s="1" t="n">
        <v>45472</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14898-2024</t>
        </is>
      </c>
      <c r="B767" s="1" t="n">
        <v>45398</v>
      </c>
      <c r="C767" s="1" t="n">
        <v>45472</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15517-2024</t>
        </is>
      </c>
      <c r="B768" s="1" t="n">
        <v>45401</v>
      </c>
      <c r="C768" s="1" t="n">
        <v>45472</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15481-2024</t>
        </is>
      </c>
      <c r="B769" s="1" t="n">
        <v>45401</v>
      </c>
      <c r="C769" s="1" t="n">
        <v>45472</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15482-2024</t>
        </is>
      </c>
      <c r="B770" s="1" t="n">
        <v>45401</v>
      </c>
      <c r="C770" s="1" t="n">
        <v>45472</v>
      </c>
      <c r="D770" t="inlineStr">
        <is>
          <t>JÄMTLANDS LÄN</t>
        </is>
      </c>
      <c r="E770" t="inlineStr">
        <is>
          <t>ÅRE</t>
        </is>
      </c>
      <c r="G770" t="n">
        <v>1</v>
      </c>
      <c r="H770" t="n">
        <v>0</v>
      </c>
      <c r="I770" t="n">
        <v>0</v>
      </c>
      <c r="J770" t="n">
        <v>0</v>
      </c>
      <c r="K770" t="n">
        <v>0</v>
      </c>
      <c r="L770" t="n">
        <v>0</v>
      </c>
      <c r="M770" t="n">
        <v>0</v>
      </c>
      <c r="N770" t="n">
        <v>0</v>
      </c>
      <c r="O770" t="n">
        <v>0</v>
      </c>
      <c r="P770" t="n">
        <v>0</v>
      </c>
      <c r="Q770" t="n">
        <v>0</v>
      </c>
      <c r="R770" s="2" t="inlineStr"/>
    </row>
    <row r="771" ht="15" customHeight="1">
      <c r="A771" t="inlineStr">
        <is>
          <t>A 15480-2024</t>
        </is>
      </c>
      <c r="B771" s="1" t="n">
        <v>45401</v>
      </c>
      <c r="C771" s="1" t="n">
        <v>45472</v>
      </c>
      <c r="D771" t="inlineStr">
        <is>
          <t>JÄMTLANDS LÄN</t>
        </is>
      </c>
      <c r="E771" t="inlineStr">
        <is>
          <t>ÅRE</t>
        </is>
      </c>
      <c r="G771" t="n">
        <v>11.8</v>
      </c>
      <c r="H771" t="n">
        <v>0</v>
      </c>
      <c r="I771" t="n">
        <v>0</v>
      </c>
      <c r="J771" t="n">
        <v>0</v>
      </c>
      <c r="K771" t="n">
        <v>0</v>
      </c>
      <c r="L771" t="n">
        <v>0</v>
      </c>
      <c r="M771" t="n">
        <v>0</v>
      </c>
      <c r="N771" t="n">
        <v>0</v>
      </c>
      <c r="O771" t="n">
        <v>0</v>
      </c>
      <c r="P771" t="n">
        <v>0</v>
      </c>
      <c r="Q771" t="n">
        <v>0</v>
      </c>
      <c r="R771" s="2" t="inlineStr"/>
    </row>
    <row r="772" ht="15" customHeight="1">
      <c r="A772" t="inlineStr">
        <is>
          <t>A 15521-2024</t>
        </is>
      </c>
      <c r="B772" s="1" t="n">
        <v>45401</v>
      </c>
      <c r="C772" s="1" t="n">
        <v>45472</v>
      </c>
      <c r="D772" t="inlineStr">
        <is>
          <t>JÄMTLANDS LÄN</t>
        </is>
      </c>
      <c r="E772" t="inlineStr">
        <is>
          <t>ÅRE</t>
        </is>
      </c>
      <c r="G772" t="n">
        <v>6.3</v>
      </c>
      <c r="H772" t="n">
        <v>0</v>
      </c>
      <c r="I772" t="n">
        <v>0</v>
      </c>
      <c r="J772" t="n">
        <v>0</v>
      </c>
      <c r="K772" t="n">
        <v>0</v>
      </c>
      <c r="L772" t="n">
        <v>0</v>
      </c>
      <c r="M772" t="n">
        <v>0</v>
      </c>
      <c r="N772" t="n">
        <v>0</v>
      </c>
      <c r="O772" t="n">
        <v>0</v>
      </c>
      <c r="P772" t="n">
        <v>0</v>
      </c>
      <c r="Q772" t="n">
        <v>0</v>
      </c>
      <c r="R772" s="2" t="inlineStr"/>
    </row>
    <row r="773" ht="15" customHeight="1">
      <c r="A773" t="inlineStr">
        <is>
          <t>A 15519-2024</t>
        </is>
      </c>
      <c r="B773" s="1" t="n">
        <v>45401</v>
      </c>
      <c r="C773" s="1" t="n">
        <v>45472</v>
      </c>
      <c r="D773" t="inlineStr">
        <is>
          <t>JÄMTLANDS LÄN</t>
        </is>
      </c>
      <c r="E773" t="inlineStr">
        <is>
          <t>ÅRE</t>
        </is>
      </c>
      <c r="G773" t="n">
        <v>0.8</v>
      </c>
      <c r="H773" t="n">
        <v>0</v>
      </c>
      <c r="I773" t="n">
        <v>0</v>
      </c>
      <c r="J773" t="n">
        <v>0</v>
      </c>
      <c r="K773" t="n">
        <v>0</v>
      </c>
      <c r="L773" t="n">
        <v>0</v>
      </c>
      <c r="M773" t="n">
        <v>0</v>
      </c>
      <c r="N773" t="n">
        <v>0</v>
      </c>
      <c r="O773" t="n">
        <v>0</v>
      </c>
      <c r="P773" t="n">
        <v>0</v>
      </c>
      <c r="Q773" t="n">
        <v>0</v>
      </c>
      <c r="R773" s="2" t="inlineStr"/>
    </row>
    <row r="774" ht="15" customHeight="1">
      <c r="A774" t="inlineStr">
        <is>
          <t>A 16348-2024</t>
        </is>
      </c>
      <c r="B774" s="1" t="n">
        <v>45407</v>
      </c>
      <c r="C774" s="1" t="n">
        <v>45472</v>
      </c>
      <c r="D774" t="inlineStr">
        <is>
          <t>JÄMTLANDS LÄN</t>
        </is>
      </c>
      <c r="E774" t="inlineStr">
        <is>
          <t>ÅRE</t>
        </is>
      </c>
      <c r="G774" t="n">
        <v>4.6</v>
      </c>
      <c r="H774" t="n">
        <v>0</v>
      </c>
      <c r="I774" t="n">
        <v>0</v>
      </c>
      <c r="J774" t="n">
        <v>0</v>
      </c>
      <c r="K774" t="n">
        <v>0</v>
      </c>
      <c r="L774" t="n">
        <v>0</v>
      </c>
      <c r="M774" t="n">
        <v>0</v>
      </c>
      <c r="N774" t="n">
        <v>0</v>
      </c>
      <c r="O774" t="n">
        <v>0</v>
      </c>
      <c r="P774" t="n">
        <v>0</v>
      </c>
      <c r="Q774" t="n">
        <v>0</v>
      </c>
      <c r="R774" s="2" t="inlineStr"/>
    </row>
    <row r="775" ht="15" customHeight="1">
      <c r="A775" t="inlineStr">
        <is>
          <t>A 16885-2024</t>
        </is>
      </c>
      <c r="B775" s="1" t="n">
        <v>45411</v>
      </c>
      <c r="C775" s="1" t="n">
        <v>45472</v>
      </c>
      <c r="D775" t="inlineStr">
        <is>
          <t>JÄMTLANDS LÄN</t>
        </is>
      </c>
      <c r="E775" t="inlineStr">
        <is>
          <t>ÅRE</t>
        </is>
      </c>
      <c r="G775" t="n">
        <v>13.7</v>
      </c>
      <c r="H775" t="n">
        <v>0</v>
      </c>
      <c r="I775" t="n">
        <v>0</v>
      </c>
      <c r="J775" t="n">
        <v>0</v>
      </c>
      <c r="K775" t="n">
        <v>0</v>
      </c>
      <c r="L775" t="n">
        <v>0</v>
      </c>
      <c r="M775" t="n">
        <v>0</v>
      </c>
      <c r="N775" t="n">
        <v>0</v>
      </c>
      <c r="O775" t="n">
        <v>0</v>
      </c>
      <c r="P775" t="n">
        <v>0</v>
      </c>
      <c r="Q775" t="n">
        <v>0</v>
      </c>
      <c r="R775" s="2" t="inlineStr"/>
    </row>
    <row r="776" ht="15" customHeight="1">
      <c r="A776" t="inlineStr">
        <is>
          <t>A 17576-2024</t>
        </is>
      </c>
      <c r="B776" s="1" t="n">
        <v>45415</v>
      </c>
      <c r="C776" s="1" t="n">
        <v>45472</v>
      </c>
      <c r="D776" t="inlineStr">
        <is>
          <t>JÄMTLANDS LÄN</t>
        </is>
      </c>
      <c r="E776" t="inlineStr">
        <is>
          <t>ÅRE</t>
        </is>
      </c>
      <c r="G776" t="n">
        <v>0.1</v>
      </c>
      <c r="H776" t="n">
        <v>0</v>
      </c>
      <c r="I776" t="n">
        <v>0</v>
      </c>
      <c r="J776" t="n">
        <v>0</v>
      </c>
      <c r="K776" t="n">
        <v>0</v>
      </c>
      <c r="L776" t="n">
        <v>0</v>
      </c>
      <c r="M776" t="n">
        <v>0</v>
      </c>
      <c r="N776" t="n">
        <v>0</v>
      </c>
      <c r="O776" t="n">
        <v>0</v>
      </c>
      <c r="P776" t="n">
        <v>0</v>
      </c>
      <c r="Q776" t="n">
        <v>0</v>
      </c>
      <c r="R776" s="2" t="inlineStr"/>
    </row>
    <row r="777" ht="15" customHeight="1">
      <c r="A777" t="inlineStr">
        <is>
          <t>A 17777-2024</t>
        </is>
      </c>
      <c r="B777" s="1" t="n">
        <v>45418</v>
      </c>
      <c r="C777" s="1" t="n">
        <v>45472</v>
      </c>
      <c r="D777" t="inlineStr">
        <is>
          <t>JÄMTLANDS LÄN</t>
        </is>
      </c>
      <c r="E777" t="inlineStr">
        <is>
          <t>ÅRE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17630-2024</t>
        </is>
      </c>
      <c r="B778" s="1" t="n">
        <v>45418</v>
      </c>
      <c r="C778" s="1" t="n">
        <v>45472</v>
      </c>
      <c r="D778" t="inlineStr">
        <is>
          <t>JÄMTLANDS LÄN</t>
        </is>
      </c>
      <c r="E778" t="inlineStr">
        <is>
          <t>ÅRE</t>
        </is>
      </c>
      <c r="F778" t="inlineStr">
        <is>
          <t>Övriga Aktiebolag</t>
        </is>
      </c>
      <c r="G778" t="n">
        <v>29.2</v>
      </c>
      <c r="H778" t="n">
        <v>0</v>
      </c>
      <c r="I778" t="n">
        <v>0</v>
      </c>
      <c r="J778" t="n">
        <v>0</v>
      </c>
      <c r="K778" t="n">
        <v>0</v>
      </c>
      <c r="L778" t="n">
        <v>0</v>
      </c>
      <c r="M778" t="n">
        <v>0</v>
      </c>
      <c r="N778" t="n">
        <v>0</v>
      </c>
      <c r="O778" t="n">
        <v>0</v>
      </c>
      <c r="P778" t="n">
        <v>0</v>
      </c>
      <c r="Q778" t="n">
        <v>0</v>
      </c>
      <c r="R778" s="2" t="inlineStr"/>
    </row>
    <row r="779" ht="15" customHeight="1">
      <c r="A779" t="inlineStr">
        <is>
          <t>A 18072-2024</t>
        </is>
      </c>
      <c r="B779" s="1" t="n">
        <v>45420</v>
      </c>
      <c r="C779" s="1" t="n">
        <v>45472</v>
      </c>
      <c r="D779" t="inlineStr">
        <is>
          <t>JÄMTLANDS LÄN</t>
        </is>
      </c>
      <c r="E779" t="inlineStr">
        <is>
          <t>ÅRE</t>
        </is>
      </c>
      <c r="G779" t="n">
        <v>1.1</v>
      </c>
      <c r="H779" t="n">
        <v>0</v>
      </c>
      <c r="I779" t="n">
        <v>0</v>
      </c>
      <c r="J779" t="n">
        <v>0</v>
      </c>
      <c r="K779" t="n">
        <v>0</v>
      </c>
      <c r="L779" t="n">
        <v>0</v>
      </c>
      <c r="M779" t="n">
        <v>0</v>
      </c>
      <c r="N779" t="n">
        <v>0</v>
      </c>
      <c r="O779" t="n">
        <v>0</v>
      </c>
      <c r="P779" t="n">
        <v>0</v>
      </c>
      <c r="Q779" t="n">
        <v>0</v>
      </c>
      <c r="R779" s="2" t="inlineStr"/>
    </row>
    <row r="780" ht="15" customHeight="1">
      <c r="A780" t="inlineStr">
        <is>
          <t>A 18928-2024</t>
        </is>
      </c>
      <c r="B780" s="1" t="n">
        <v>45427</v>
      </c>
      <c r="C780" s="1" t="n">
        <v>45472</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20202-2024</t>
        </is>
      </c>
      <c r="B781" s="1" t="n">
        <v>45434</v>
      </c>
      <c r="C781" s="1" t="n">
        <v>45472</v>
      </c>
      <c r="D781" t="inlineStr">
        <is>
          <t>JÄMTLANDS LÄN</t>
        </is>
      </c>
      <c r="E781" t="inlineStr">
        <is>
          <t>ÅRE</t>
        </is>
      </c>
      <c r="G781" t="n">
        <v>6.7</v>
      </c>
      <c r="H781" t="n">
        <v>0</v>
      </c>
      <c r="I781" t="n">
        <v>0</v>
      </c>
      <c r="J781" t="n">
        <v>0</v>
      </c>
      <c r="K781" t="n">
        <v>0</v>
      </c>
      <c r="L781" t="n">
        <v>0</v>
      </c>
      <c r="M781" t="n">
        <v>0</v>
      </c>
      <c r="N781" t="n">
        <v>0</v>
      </c>
      <c r="O781" t="n">
        <v>0</v>
      </c>
      <c r="P781" t="n">
        <v>0</v>
      </c>
      <c r="Q781" t="n">
        <v>0</v>
      </c>
      <c r="R781" s="2" t="inlineStr"/>
    </row>
    <row r="782" ht="15" customHeight="1">
      <c r="A782" t="inlineStr">
        <is>
          <t>A 20485-2024</t>
        </is>
      </c>
      <c r="B782" s="1" t="n">
        <v>45435</v>
      </c>
      <c r="C782" s="1" t="n">
        <v>45472</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20480-2024</t>
        </is>
      </c>
      <c r="B783" s="1" t="n">
        <v>45435</v>
      </c>
      <c r="C783" s="1" t="n">
        <v>45472</v>
      </c>
      <c r="D783" t="inlineStr">
        <is>
          <t>JÄMTLANDS LÄN</t>
        </is>
      </c>
      <c r="E783" t="inlineStr">
        <is>
          <t>ÅRE</t>
        </is>
      </c>
      <c r="G783" t="n">
        <v>2.7</v>
      </c>
      <c r="H783" t="n">
        <v>0</v>
      </c>
      <c r="I783" t="n">
        <v>0</v>
      </c>
      <c r="J783" t="n">
        <v>0</v>
      </c>
      <c r="K783" t="n">
        <v>0</v>
      </c>
      <c r="L783" t="n">
        <v>0</v>
      </c>
      <c r="M783" t="n">
        <v>0</v>
      </c>
      <c r="N783" t="n">
        <v>0</v>
      </c>
      <c r="O783" t="n">
        <v>0</v>
      </c>
      <c r="P783" t="n">
        <v>0</v>
      </c>
      <c r="Q783" t="n">
        <v>0</v>
      </c>
      <c r="R783" s="2" t="inlineStr"/>
    </row>
    <row r="784" ht="15" customHeight="1">
      <c r="A784" t="inlineStr">
        <is>
          <t>A 20804-2024</t>
        </is>
      </c>
      <c r="B784" s="1" t="n">
        <v>45439</v>
      </c>
      <c r="C784" s="1" t="n">
        <v>45472</v>
      </c>
      <c r="D784" t="inlineStr">
        <is>
          <t>JÄMTLANDS LÄN</t>
        </is>
      </c>
      <c r="E784" t="inlineStr">
        <is>
          <t>ÅRE</t>
        </is>
      </c>
      <c r="G784" t="n">
        <v>6.4</v>
      </c>
      <c r="H784" t="n">
        <v>0</v>
      </c>
      <c r="I784" t="n">
        <v>0</v>
      </c>
      <c r="J784" t="n">
        <v>0</v>
      </c>
      <c r="K784" t="n">
        <v>0</v>
      </c>
      <c r="L784" t="n">
        <v>0</v>
      </c>
      <c r="M784" t="n">
        <v>0</v>
      </c>
      <c r="N784" t="n">
        <v>0</v>
      </c>
      <c r="O784" t="n">
        <v>0</v>
      </c>
      <c r="P784" t="n">
        <v>0</v>
      </c>
      <c r="Q784" t="n">
        <v>0</v>
      </c>
      <c r="R784" s="2" t="inlineStr"/>
    </row>
    <row r="785" ht="15" customHeight="1">
      <c r="A785" t="inlineStr">
        <is>
          <t>A 20999-2024</t>
        </is>
      </c>
      <c r="B785" s="1" t="n">
        <v>45439</v>
      </c>
      <c r="C785" s="1" t="n">
        <v>45472</v>
      </c>
      <c r="D785" t="inlineStr">
        <is>
          <t>JÄMTLANDS LÄN</t>
        </is>
      </c>
      <c r="E785" t="inlineStr">
        <is>
          <t>ÅRE</t>
        </is>
      </c>
      <c r="G785" t="n">
        <v>5.7</v>
      </c>
      <c r="H785" t="n">
        <v>0</v>
      </c>
      <c r="I785" t="n">
        <v>0</v>
      </c>
      <c r="J785" t="n">
        <v>0</v>
      </c>
      <c r="K785" t="n">
        <v>0</v>
      </c>
      <c r="L785" t="n">
        <v>0</v>
      </c>
      <c r="M785" t="n">
        <v>0</v>
      </c>
      <c r="N785" t="n">
        <v>0</v>
      </c>
      <c r="O785" t="n">
        <v>0</v>
      </c>
      <c r="P785" t="n">
        <v>0</v>
      </c>
      <c r="Q785" t="n">
        <v>0</v>
      </c>
      <c r="R785" s="2" t="inlineStr"/>
    </row>
    <row r="786" ht="15" customHeight="1">
      <c r="A786" t="inlineStr">
        <is>
          <t>A 21640-2024</t>
        </is>
      </c>
      <c r="B786" s="1" t="n">
        <v>45442</v>
      </c>
      <c r="C786" s="1" t="n">
        <v>45472</v>
      </c>
      <c r="D786" t="inlineStr">
        <is>
          <t>JÄMTLANDS LÄN</t>
        </is>
      </c>
      <c r="E786" t="inlineStr">
        <is>
          <t>ÅRE</t>
        </is>
      </c>
      <c r="G786" t="n">
        <v>16.4</v>
      </c>
      <c r="H786" t="n">
        <v>0</v>
      </c>
      <c r="I786" t="n">
        <v>0</v>
      </c>
      <c r="J786" t="n">
        <v>0</v>
      </c>
      <c r="K786" t="n">
        <v>0</v>
      </c>
      <c r="L786" t="n">
        <v>0</v>
      </c>
      <c r="M786" t="n">
        <v>0</v>
      </c>
      <c r="N786" t="n">
        <v>0</v>
      </c>
      <c r="O786" t="n">
        <v>0</v>
      </c>
      <c r="P786" t="n">
        <v>0</v>
      </c>
      <c r="Q786" t="n">
        <v>0</v>
      </c>
      <c r="R786" s="2" t="inlineStr"/>
    </row>
    <row r="787" ht="15" customHeight="1">
      <c r="A787" t="inlineStr">
        <is>
          <t>A 22600-2024</t>
        </is>
      </c>
      <c r="B787" s="1" t="n">
        <v>45447</v>
      </c>
      <c r="C787" s="1" t="n">
        <v>45472</v>
      </c>
      <c r="D787" t="inlineStr">
        <is>
          <t>JÄMTLANDS LÄN</t>
        </is>
      </c>
      <c r="E787" t="inlineStr">
        <is>
          <t>ÅRE</t>
        </is>
      </c>
      <c r="G787" t="n">
        <v>22.5</v>
      </c>
      <c r="H787" t="n">
        <v>0</v>
      </c>
      <c r="I787" t="n">
        <v>0</v>
      </c>
      <c r="J787" t="n">
        <v>0</v>
      </c>
      <c r="K787" t="n">
        <v>0</v>
      </c>
      <c r="L787" t="n">
        <v>0</v>
      </c>
      <c r="M787" t="n">
        <v>0</v>
      </c>
      <c r="N787" t="n">
        <v>0</v>
      </c>
      <c r="O787" t="n">
        <v>0</v>
      </c>
      <c r="P787" t="n">
        <v>0</v>
      </c>
      <c r="Q787" t="n">
        <v>0</v>
      </c>
      <c r="R787" s="2" t="inlineStr"/>
    </row>
    <row r="788" ht="15" customHeight="1">
      <c r="A788" t="inlineStr">
        <is>
          <t>A 22687-2024</t>
        </is>
      </c>
      <c r="B788" s="1" t="n">
        <v>45448</v>
      </c>
      <c r="C788" s="1" t="n">
        <v>45472</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23159-2024</t>
        </is>
      </c>
      <c r="B789" s="1" t="n">
        <v>45450</v>
      </c>
      <c r="C789" s="1" t="n">
        <v>45472</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23822-2024</t>
        </is>
      </c>
      <c r="B790" s="1" t="n">
        <v>45455</v>
      </c>
      <c r="C790" s="1" t="n">
        <v>45472</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23805-2024</t>
        </is>
      </c>
      <c r="B791" s="1" t="n">
        <v>45455</v>
      </c>
      <c r="C791" s="1" t="n">
        <v>45472</v>
      </c>
      <c r="D791" t="inlineStr">
        <is>
          <t>JÄMTLANDS LÄN</t>
        </is>
      </c>
      <c r="E791" t="inlineStr">
        <is>
          <t>ÅRE</t>
        </is>
      </c>
      <c r="G791" t="n">
        <v>1.5</v>
      </c>
      <c r="H791" t="n">
        <v>0</v>
      </c>
      <c r="I791" t="n">
        <v>0</v>
      </c>
      <c r="J791" t="n">
        <v>0</v>
      </c>
      <c r="K791" t="n">
        <v>0</v>
      </c>
      <c r="L791" t="n">
        <v>0</v>
      </c>
      <c r="M791" t="n">
        <v>0</v>
      </c>
      <c r="N791" t="n">
        <v>0</v>
      </c>
      <c r="O791" t="n">
        <v>0</v>
      </c>
      <c r="P791" t="n">
        <v>0</v>
      </c>
      <c r="Q791" t="n">
        <v>0</v>
      </c>
      <c r="R791" s="2" t="inlineStr"/>
    </row>
    <row r="792" ht="15" customHeight="1">
      <c r="A792" t="inlineStr">
        <is>
          <t>A 24344-2024</t>
        </is>
      </c>
      <c r="B792" s="1" t="n">
        <v>45457</v>
      </c>
      <c r="C792" s="1" t="n">
        <v>45472</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25517-2024</t>
        </is>
      </c>
      <c r="B793" s="1" t="n">
        <v>45463</v>
      </c>
      <c r="C793" s="1" t="n">
        <v>45472</v>
      </c>
      <c r="D793" t="inlineStr">
        <is>
          <t>JÄMTLANDS LÄN</t>
        </is>
      </c>
      <c r="E793" t="inlineStr">
        <is>
          <t>ÅRE</t>
        </is>
      </c>
      <c r="G793" t="n">
        <v>5.3</v>
      </c>
      <c r="H793" t="n">
        <v>0</v>
      </c>
      <c r="I793" t="n">
        <v>0</v>
      </c>
      <c r="J793" t="n">
        <v>0</v>
      </c>
      <c r="K793" t="n">
        <v>0</v>
      </c>
      <c r="L793" t="n">
        <v>0</v>
      </c>
      <c r="M793" t="n">
        <v>0</v>
      </c>
      <c r="N793" t="n">
        <v>0</v>
      </c>
      <c r="O793" t="n">
        <v>0</v>
      </c>
      <c r="P793" t="n">
        <v>0</v>
      </c>
      <c r="Q793" t="n">
        <v>0</v>
      </c>
      <c r="R793" s="2" t="inlineStr"/>
    </row>
    <row r="794">
      <c r="A794" t="inlineStr">
        <is>
          <t>A 26312-2024</t>
        </is>
      </c>
      <c r="B794" s="1" t="n">
        <v>45468</v>
      </c>
      <c r="C794" s="1" t="n">
        <v>45472</v>
      </c>
      <c r="D794" t="inlineStr">
        <is>
          <t>JÄMTLANDS LÄN</t>
        </is>
      </c>
      <c r="E794" t="inlineStr">
        <is>
          <t>ÅRE</t>
        </is>
      </c>
      <c r="G794" t="n">
        <v>4.5</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2024-06-29T13:57:03Z</dcterms:created>
  <dcterms:modified xmlns:dcterms="http://purl.org/dc/terms/" xmlns:xsi="http://www.w3.org/2001/XMLSchema-instance" xsi:type="dcterms:W3CDTF">2024-06-29T13:57:04Z</dcterms:modified>
</cp:coreProperties>
</file>