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46092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46092</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46092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46092</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46092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46092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46092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46092</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46092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46092</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46092</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46092</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46092</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46092</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46092</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46092</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13097-2024</t>
        </is>
      </c>
      <c r="B18" s="1" t="n">
        <v>45385</v>
      </c>
      <c r="C18" s="1" t="n">
        <v>46092</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46092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46092</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46092</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46092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15905-2025</t>
        </is>
      </c>
      <c r="B23" s="1" t="n">
        <v>45749</v>
      </c>
      <c r="C23" s="1" t="n">
        <v>46092</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4945-2025</t>
        </is>
      </c>
      <c r="B24" s="1" t="n">
        <v>45688</v>
      </c>
      <c r="C24" s="1" t="n">
        <v>46092</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46092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46092</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36974-2025</t>
        </is>
      </c>
      <c r="B27" s="1" t="n">
        <v>45874.63766203704</v>
      </c>
      <c r="C27" s="1" t="n">
        <v>46092</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46092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46092</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46092</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46092</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46092</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46092</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17107-2025</t>
        </is>
      </c>
      <c r="B34" s="1" t="n">
        <v>45755</v>
      </c>
      <c r="C34" s="1" t="n">
        <v>46092</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46092</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40788-2023</t>
        </is>
      </c>
      <c r="B36" s="1" t="n">
        <v>45170</v>
      </c>
      <c r="C36" s="1" t="n">
        <v>46092</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42592-2024</t>
        </is>
      </c>
      <c r="B37" s="1" t="n">
        <v>45565</v>
      </c>
      <c r="C37" s="1" t="n">
        <v>46092</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17095-2025</t>
        </is>
      </c>
      <c r="B38" s="1" t="n">
        <v>45755</v>
      </c>
      <c r="C38" s="1" t="n">
        <v>46092</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45111-2022</t>
        </is>
      </c>
      <c r="B39" s="1" t="n">
        <v>44843.82278935185</v>
      </c>
      <c r="C39" s="1" t="n">
        <v>46092</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46092</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63463-2025</t>
        </is>
      </c>
      <c r="B41" s="1" t="n">
        <v>46013.42751157407</v>
      </c>
      <c r="C41" s="1" t="n">
        <v>46092</v>
      </c>
      <c r="D41" t="inlineStr">
        <is>
          <t>JÄMTLANDS LÄN</t>
        </is>
      </c>
      <c r="E41" t="inlineStr">
        <is>
          <t>ÅRE</t>
        </is>
      </c>
      <c r="G41" t="n">
        <v>17.5</v>
      </c>
      <c r="H41" t="n">
        <v>2</v>
      </c>
      <c r="I41" t="n">
        <v>1</v>
      </c>
      <c r="J41" t="n">
        <v>7</v>
      </c>
      <c r="K41" t="n">
        <v>1</v>
      </c>
      <c r="L41" t="n">
        <v>0</v>
      </c>
      <c r="M41" t="n">
        <v>0</v>
      </c>
      <c r="N41" t="n">
        <v>0</v>
      </c>
      <c r="O41" t="n">
        <v>8</v>
      </c>
      <c r="P41" t="n">
        <v>1</v>
      </c>
      <c r="Q41" t="n">
        <v>9</v>
      </c>
      <c r="R41" s="2" t="inlineStr">
        <is>
          <t>Norsk näverlav
Garnlav
Granticka
Lunglav
Skrovellav
Talltita
Tretåig hackspett
Ullticka
Trådticka</t>
        </is>
      </c>
      <c r="S41">
        <f>HYPERLINK("https://klasma.github.io/Logging_2321/artfynd/A 63463-2025 artfynd.xlsx", "A 63463-2025")</f>
        <v/>
      </c>
      <c r="T41">
        <f>HYPERLINK("https://klasma.github.io/Logging_2321/kartor/A 63463-2025 karta.png", "A 63463-2025")</f>
        <v/>
      </c>
      <c r="V41">
        <f>HYPERLINK("https://klasma.github.io/Logging_2321/klagomål/A 63463-2025 FSC-klagomål.docx", "A 63463-2025")</f>
        <v/>
      </c>
      <c r="W41">
        <f>HYPERLINK("https://klasma.github.io/Logging_2321/klagomålsmail/A 63463-2025 FSC-klagomål mail.docx", "A 63463-2025")</f>
        <v/>
      </c>
      <c r="X41">
        <f>HYPERLINK("https://klasma.github.io/Logging_2321/tillsyn/A 63463-2025 tillsynsbegäran.docx", "A 63463-2025")</f>
        <v/>
      </c>
      <c r="Y41">
        <f>HYPERLINK("https://klasma.github.io/Logging_2321/tillsynsmail/A 63463-2025 tillsynsbegäran mail.docx", "A 63463-2025")</f>
        <v/>
      </c>
      <c r="Z41">
        <f>HYPERLINK("https://klasma.github.io/Logging_2321/fåglar/A 63463-2025 prioriterade fågelarter.docx", "A 63463-2025")</f>
        <v/>
      </c>
    </row>
    <row r="42" ht="15" customHeight="1">
      <c r="A42" t="inlineStr">
        <is>
          <t>A 27634-2025</t>
        </is>
      </c>
      <c r="B42" s="1" t="n">
        <v>45813</v>
      </c>
      <c r="C42" s="1" t="n">
        <v>46092</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27805-2022</t>
        </is>
      </c>
      <c r="B43" s="1" t="n">
        <v>44743</v>
      </c>
      <c r="C43" s="1" t="n">
        <v>46092</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46092</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63179-2025</t>
        </is>
      </c>
      <c r="B45" s="1" t="n">
        <v>46010.42215277778</v>
      </c>
      <c r="C45" s="1" t="n">
        <v>46092</v>
      </c>
      <c r="D45" t="inlineStr">
        <is>
          <t>JÄMTLANDS LÄN</t>
        </is>
      </c>
      <c r="E45" t="inlineStr">
        <is>
          <t>ÅRE</t>
        </is>
      </c>
      <c r="G45" t="n">
        <v>6</v>
      </c>
      <c r="H45" t="n">
        <v>1</v>
      </c>
      <c r="I45" t="n">
        <v>0</v>
      </c>
      <c r="J45" t="n">
        <v>7</v>
      </c>
      <c r="K45" t="n">
        <v>1</v>
      </c>
      <c r="L45" t="n">
        <v>0</v>
      </c>
      <c r="M45" t="n">
        <v>0</v>
      </c>
      <c r="N45" t="n">
        <v>0</v>
      </c>
      <c r="O45" t="n">
        <v>8</v>
      </c>
      <c r="P45" t="n">
        <v>1</v>
      </c>
      <c r="Q45" t="n">
        <v>8</v>
      </c>
      <c r="R45" s="2" t="inlineStr">
        <is>
          <t>Norsk näverlav
Gammelgransskål
Garnlav
Granticka
Kavernularia
Liten svartspik
Tretåig hackspett
Vitgrynig nållav</t>
        </is>
      </c>
      <c r="S45">
        <f>HYPERLINK("https://klasma.github.io/Logging_2321/artfynd/A 63179-2025 artfynd.xlsx", "A 63179-2025")</f>
        <v/>
      </c>
      <c r="T45">
        <f>HYPERLINK("https://klasma.github.io/Logging_2321/kartor/A 63179-2025 karta.png", "A 63179-2025")</f>
        <v/>
      </c>
      <c r="V45">
        <f>HYPERLINK("https://klasma.github.io/Logging_2321/klagomål/A 63179-2025 FSC-klagomål.docx", "A 63179-2025")</f>
        <v/>
      </c>
      <c r="W45">
        <f>HYPERLINK("https://klasma.github.io/Logging_2321/klagomålsmail/A 63179-2025 FSC-klagomål mail.docx", "A 63179-2025")</f>
        <v/>
      </c>
      <c r="X45">
        <f>HYPERLINK("https://klasma.github.io/Logging_2321/tillsyn/A 63179-2025 tillsynsbegäran.docx", "A 63179-2025")</f>
        <v/>
      </c>
      <c r="Y45">
        <f>HYPERLINK("https://klasma.github.io/Logging_2321/tillsynsmail/A 63179-2025 tillsynsbegäran mail.docx", "A 63179-2025")</f>
        <v/>
      </c>
      <c r="Z45">
        <f>HYPERLINK("https://klasma.github.io/Logging_2321/fåglar/A 63179-2025 prioriterade fågelarter.docx", "A 63179-2025")</f>
        <v/>
      </c>
    </row>
    <row r="46" ht="15" customHeight="1">
      <c r="A46" t="inlineStr">
        <is>
          <t>A 64239-2021</t>
        </is>
      </c>
      <c r="B46" s="1" t="n">
        <v>44510</v>
      </c>
      <c r="C46" s="1" t="n">
        <v>46092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7034-2026</t>
        </is>
      </c>
      <c r="B47" s="1" t="n">
        <v>46057</v>
      </c>
      <c r="C47" s="1" t="n">
        <v>46092</v>
      </c>
      <c r="D47" t="inlineStr">
        <is>
          <t>JÄMTLANDS LÄN</t>
        </is>
      </c>
      <c r="E47" t="inlineStr">
        <is>
          <t>ÅRE</t>
        </is>
      </c>
      <c r="G47" t="n">
        <v>12.9</v>
      </c>
      <c r="H47" t="n">
        <v>0</v>
      </c>
      <c r="I47" t="n">
        <v>3</v>
      </c>
      <c r="J47" t="n">
        <v>4</v>
      </c>
      <c r="K47" t="n">
        <v>1</v>
      </c>
      <c r="L47" t="n">
        <v>0</v>
      </c>
      <c r="M47" t="n">
        <v>0</v>
      </c>
      <c r="N47" t="n">
        <v>0</v>
      </c>
      <c r="O47" t="n">
        <v>5</v>
      </c>
      <c r="P47" t="n">
        <v>1</v>
      </c>
      <c r="Q47" t="n">
        <v>8</v>
      </c>
      <c r="R47" s="2" t="inlineStr">
        <is>
          <t>Borgsjömusseron
Garnlav
Granticka
Liten svartspik
Vitgrynig nållav
Diskvaxskivling
Svavelriska
Trådticka</t>
        </is>
      </c>
      <c r="S47">
        <f>HYPERLINK("https://klasma.github.io/Logging_2321/artfynd/A 7034-2026 artfynd.xlsx", "A 7034-2026")</f>
        <v/>
      </c>
      <c r="T47">
        <f>HYPERLINK("https://klasma.github.io/Logging_2321/kartor/A 7034-2026 karta.png", "A 7034-2026")</f>
        <v/>
      </c>
      <c r="V47">
        <f>HYPERLINK("https://klasma.github.io/Logging_2321/klagomål/A 7034-2026 FSC-klagomål.docx", "A 7034-2026")</f>
        <v/>
      </c>
      <c r="W47">
        <f>HYPERLINK("https://klasma.github.io/Logging_2321/klagomålsmail/A 7034-2026 FSC-klagomål mail.docx", "A 7034-2026")</f>
        <v/>
      </c>
      <c r="X47">
        <f>HYPERLINK("https://klasma.github.io/Logging_2321/tillsyn/A 7034-2026 tillsynsbegäran.docx", "A 7034-2026")</f>
        <v/>
      </c>
      <c r="Y47">
        <f>HYPERLINK("https://klasma.github.io/Logging_2321/tillsynsmail/A 7034-2026 tillsynsbegäran mail.docx", "A 7034-2026")</f>
        <v/>
      </c>
    </row>
    <row r="48" ht="15" customHeight="1">
      <c r="A48" t="inlineStr">
        <is>
          <t>A 20644-2021</t>
        </is>
      </c>
      <c r="B48" s="1" t="n">
        <v>44316</v>
      </c>
      <c r="C48" s="1" t="n">
        <v>46092</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43910-2024</t>
        </is>
      </c>
      <c r="B49" s="1" t="n">
        <v>45572</v>
      </c>
      <c r="C49" s="1" t="n">
        <v>46092</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46092</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46092</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53500-2024</t>
        </is>
      </c>
      <c r="B52" s="1" t="n">
        <v>45614</v>
      </c>
      <c r="C52" s="1" t="n">
        <v>46092</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53500-2024 artfynd.xlsx", "A 53500-2024")</f>
        <v/>
      </c>
      <c r="T52">
        <f>HYPERLINK("https://klasma.github.io/Logging_2321/kartor/A 53500-2024 karta.png", "A 53500-2024")</f>
        <v/>
      </c>
      <c r="V52">
        <f>HYPERLINK("https://klasma.github.io/Logging_2321/klagomål/A 53500-2024 FSC-klagomål.docx", "A 53500-2024")</f>
        <v/>
      </c>
      <c r="W52">
        <f>HYPERLINK("https://klasma.github.io/Logging_2321/klagomålsmail/A 53500-2024 FSC-klagomål mail.docx", "A 53500-2024")</f>
        <v/>
      </c>
      <c r="X52">
        <f>HYPERLINK("https://klasma.github.io/Logging_2321/tillsyn/A 53500-2024 tillsynsbegäran.docx", "A 53500-2024")</f>
        <v/>
      </c>
      <c r="Y52">
        <f>HYPERLINK("https://klasma.github.io/Logging_2321/tillsynsmail/A 53500-2024 tillsynsbegäran mail.docx", "A 53500-2024")</f>
        <v/>
      </c>
      <c r="Z52">
        <f>HYPERLINK("https://klasma.github.io/Logging_2321/fåglar/A 53500-2024 prioriterade fågelarter.docx", "A 53500-2024")</f>
        <v/>
      </c>
    </row>
    <row r="53" ht="15" customHeight="1">
      <c r="A53" t="inlineStr">
        <is>
          <t>A 46976-2024</t>
        </is>
      </c>
      <c r="B53" s="1" t="n">
        <v>45586</v>
      </c>
      <c r="C53" s="1" t="n">
        <v>46092</v>
      </c>
      <c r="D53" t="inlineStr">
        <is>
          <t>JÄMTLANDS LÄN</t>
        </is>
      </c>
      <c r="E53" t="inlineStr">
        <is>
          <t>ÅRE</t>
        </is>
      </c>
      <c r="G53" t="n">
        <v>9.199999999999999</v>
      </c>
      <c r="H53" t="n">
        <v>5</v>
      </c>
      <c r="I53" t="n">
        <v>0</v>
      </c>
      <c r="J53" t="n">
        <v>5</v>
      </c>
      <c r="K53" t="n">
        <v>0</v>
      </c>
      <c r="L53" t="n">
        <v>0</v>
      </c>
      <c r="M53" t="n">
        <v>0</v>
      </c>
      <c r="N53" t="n">
        <v>0</v>
      </c>
      <c r="O53" t="n">
        <v>5</v>
      </c>
      <c r="P53" t="n">
        <v>0</v>
      </c>
      <c r="Q53" t="n">
        <v>8</v>
      </c>
      <c r="R53" s="2" t="inlineStr">
        <is>
          <t>Garnlav
Granticka
Harticka
Talltita
Tretåig hackspett
Lavskrika
Pärluggla
Tjäder</t>
        </is>
      </c>
      <c r="S53">
        <f>HYPERLINK("https://klasma.github.io/Logging_2321/artfynd/A 46976-2024 artfynd.xlsx", "A 46976-2024")</f>
        <v/>
      </c>
      <c r="T53">
        <f>HYPERLINK("https://klasma.github.io/Logging_2321/kartor/A 46976-2024 karta.png", "A 46976-2024")</f>
        <v/>
      </c>
      <c r="V53">
        <f>HYPERLINK("https://klasma.github.io/Logging_2321/klagomål/A 46976-2024 FSC-klagomål.docx", "A 46976-2024")</f>
        <v/>
      </c>
      <c r="W53">
        <f>HYPERLINK("https://klasma.github.io/Logging_2321/klagomålsmail/A 46976-2024 FSC-klagomål mail.docx", "A 46976-2024")</f>
        <v/>
      </c>
      <c r="X53">
        <f>HYPERLINK("https://klasma.github.io/Logging_2321/tillsyn/A 46976-2024 tillsynsbegäran.docx", "A 46976-2024")</f>
        <v/>
      </c>
      <c r="Y53">
        <f>HYPERLINK("https://klasma.github.io/Logging_2321/tillsynsmail/A 46976-2024 tillsynsbegäran mail.docx", "A 46976-2024")</f>
        <v/>
      </c>
      <c r="Z53">
        <f>HYPERLINK("https://klasma.github.io/Logging_2321/fåglar/A 46976-2024 prioriterade fågelarter.docx", "A 46976-2024")</f>
        <v/>
      </c>
    </row>
    <row r="54" ht="15" customHeight="1">
      <c r="A54" t="inlineStr">
        <is>
          <t>A 10605-2026</t>
        </is>
      </c>
      <c r="B54" s="1" t="n">
        <v>46077.77418981482</v>
      </c>
      <c r="C54" s="1" t="n">
        <v>46092</v>
      </c>
      <c r="D54" t="inlineStr">
        <is>
          <t>JÄMTLANDS LÄN</t>
        </is>
      </c>
      <c r="E54" t="inlineStr">
        <is>
          <t>ÅRE</t>
        </is>
      </c>
      <c r="G54" t="n">
        <v>29.9</v>
      </c>
      <c r="H54" t="n">
        <v>1</v>
      </c>
      <c r="I54" t="n">
        <v>3</v>
      </c>
      <c r="J54" t="n">
        <v>5</v>
      </c>
      <c r="K54" t="n">
        <v>0</v>
      </c>
      <c r="L54" t="n">
        <v>0</v>
      </c>
      <c r="M54" t="n">
        <v>0</v>
      </c>
      <c r="N54" t="n">
        <v>0</v>
      </c>
      <c r="O54" t="n">
        <v>5</v>
      </c>
      <c r="P54" t="n">
        <v>0</v>
      </c>
      <c r="Q54" t="n">
        <v>8</v>
      </c>
      <c r="R54" s="2" t="inlineStr">
        <is>
          <t>Garnlav
Granticka
Skrovellav
Ullticka
Violmussling
Luddlav
Spindelblomster
Trådticka</t>
        </is>
      </c>
      <c r="S54">
        <f>HYPERLINK("https://klasma.github.io/Logging_2321/artfynd/A 10605-2026 artfynd.xlsx", "A 10605-2026")</f>
        <v/>
      </c>
      <c r="T54">
        <f>HYPERLINK("https://klasma.github.io/Logging_2321/kartor/A 10605-2026 karta.png", "A 10605-2026")</f>
        <v/>
      </c>
      <c r="V54">
        <f>HYPERLINK("https://klasma.github.io/Logging_2321/klagomål/A 10605-2026 FSC-klagomål.docx", "A 10605-2026")</f>
        <v/>
      </c>
      <c r="W54">
        <f>HYPERLINK("https://klasma.github.io/Logging_2321/klagomålsmail/A 10605-2026 FSC-klagomål mail.docx", "A 10605-2026")</f>
        <v/>
      </c>
      <c r="X54">
        <f>HYPERLINK("https://klasma.github.io/Logging_2321/tillsyn/A 10605-2026 tillsynsbegäran.docx", "A 10605-2026")</f>
        <v/>
      </c>
      <c r="Y54">
        <f>HYPERLINK("https://klasma.github.io/Logging_2321/tillsynsmail/A 10605-2026 tillsynsbegäran mail.docx", "A 10605-2026")</f>
        <v/>
      </c>
    </row>
    <row r="55" ht="15" customHeight="1">
      <c r="A55" t="inlineStr">
        <is>
          <t>A 23822-2024</t>
        </is>
      </c>
      <c r="B55" s="1" t="n">
        <v>45455.46412037037</v>
      </c>
      <c r="C55" s="1" t="n">
        <v>46092</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10619-2023</t>
        </is>
      </c>
      <c r="B56" s="1" t="n">
        <v>44984</v>
      </c>
      <c r="C56" s="1" t="n">
        <v>46092</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46092</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46092</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46092</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46092</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46092</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46092</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46092</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46092</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46092</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57417-2025</t>
        </is>
      </c>
      <c r="B66" s="1" t="n">
        <v>45980.45195601852</v>
      </c>
      <c r="C66" s="1" t="n">
        <v>46092</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14205-2021</t>
        </is>
      </c>
      <c r="B67" s="1" t="n">
        <v>44278</v>
      </c>
      <c r="C67" s="1" t="n">
        <v>46092</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Kötticka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4938-2025</t>
        </is>
      </c>
      <c r="B68" s="1" t="n">
        <v>45688</v>
      </c>
      <c r="C68" s="1" t="n">
        <v>46092</v>
      </c>
      <c r="D68" t="inlineStr">
        <is>
          <t>JÄMTLANDS LÄN</t>
        </is>
      </c>
      <c r="E68" t="inlineStr">
        <is>
          <t>ÅRE</t>
        </is>
      </c>
      <c r="G68" t="n">
        <v>0.9</v>
      </c>
      <c r="H68" t="n">
        <v>0</v>
      </c>
      <c r="I68" t="n">
        <v>2</v>
      </c>
      <c r="J68" t="n">
        <v>2</v>
      </c>
      <c r="K68" t="n">
        <v>2</v>
      </c>
      <c r="L68" t="n">
        <v>0</v>
      </c>
      <c r="M68" t="n">
        <v>0</v>
      </c>
      <c r="N68" t="n">
        <v>0</v>
      </c>
      <c r="O68" t="n">
        <v>4</v>
      </c>
      <c r="P68" t="n">
        <v>2</v>
      </c>
      <c r="Q68" t="n">
        <v>6</v>
      </c>
      <c r="R68" s="2" t="inlineStr">
        <is>
          <t>Citronfingersvamp
Kejsarskivling
Garnlav
Skrovellav
Papegojvaxing
Svavelriska</t>
        </is>
      </c>
      <c r="S68">
        <f>HYPERLINK("https://klasma.github.io/Logging_2321/artfynd/A 4938-2025 artfynd.xlsx", "A 4938-2025")</f>
        <v/>
      </c>
      <c r="T68">
        <f>HYPERLINK("https://klasma.github.io/Logging_2321/kartor/A 4938-2025 karta.png", "A 4938-2025")</f>
        <v/>
      </c>
      <c r="V68">
        <f>HYPERLINK("https://klasma.github.io/Logging_2321/klagomål/A 4938-2025 FSC-klagomål.docx", "A 4938-2025")</f>
        <v/>
      </c>
      <c r="W68">
        <f>HYPERLINK("https://klasma.github.io/Logging_2321/klagomålsmail/A 4938-2025 FSC-klagomål mail.docx", "A 4938-2025")</f>
        <v/>
      </c>
      <c r="X68">
        <f>HYPERLINK("https://klasma.github.io/Logging_2321/tillsyn/A 4938-2025 tillsynsbegäran.docx", "A 4938-2025")</f>
        <v/>
      </c>
      <c r="Y68">
        <f>HYPERLINK("https://klasma.github.io/Logging_2321/tillsynsmail/A 4938-2025 tillsynsbegäran mail.docx", "A 4938-2025")</f>
        <v/>
      </c>
    </row>
    <row r="69" ht="15" customHeight="1">
      <c r="A69" t="inlineStr">
        <is>
          <t>A 46259-2024</t>
        </is>
      </c>
      <c r="B69" s="1" t="n">
        <v>45581</v>
      </c>
      <c r="C69" s="1" t="n">
        <v>46092</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43942-2024</t>
        </is>
      </c>
      <c r="B70" s="1" t="n">
        <v>45572</v>
      </c>
      <c r="C70" s="1" t="n">
        <v>46092</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30035-2024</t>
        </is>
      </c>
      <c r="B71" s="1" t="n">
        <v>45485</v>
      </c>
      <c r="C71" s="1" t="n">
        <v>46092</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Kötticka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37891-2025</t>
        </is>
      </c>
      <c r="B72" s="1" t="n">
        <v>45881.54024305556</v>
      </c>
      <c r="C72" s="1" t="n">
        <v>46092</v>
      </c>
      <c r="D72" t="inlineStr">
        <is>
          <t>JÄMTLANDS LÄN</t>
        </is>
      </c>
      <c r="E72" t="inlineStr">
        <is>
          <t>ÅRE</t>
        </is>
      </c>
      <c r="G72" t="n">
        <v>8.300000000000001</v>
      </c>
      <c r="H72" t="n">
        <v>3</v>
      </c>
      <c r="I72" t="n">
        <v>1</v>
      </c>
      <c r="J72" t="n">
        <v>3</v>
      </c>
      <c r="K72" t="n">
        <v>0</v>
      </c>
      <c r="L72" t="n">
        <v>0</v>
      </c>
      <c r="M72" t="n">
        <v>0</v>
      </c>
      <c r="N72" t="n">
        <v>0</v>
      </c>
      <c r="O72" t="n">
        <v>3</v>
      </c>
      <c r="P72" t="n">
        <v>0</v>
      </c>
      <c r="Q72" t="n">
        <v>6</v>
      </c>
      <c r="R72" s="2" t="inlineStr">
        <is>
          <t>Grå blåbärsfältmätare
Skogshare
Svartvit flugsnappare
Maskfingersvamp
Trana
Vanlig groda</t>
        </is>
      </c>
      <c r="S72">
        <f>HYPERLINK("https://klasma.github.io/Logging_2321/artfynd/A 37891-2025 artfynd.xlsx", "A 37891-2025")</f>
        <v/>
      </c>
      <c r="T72">
        <f>HYPERLINK("https://klasma.github.io/Logging_2321/kartor/A 37891-2025 karta.png", "A 37891-2025")</f>
        <v/>
      </c>
      <c r="V72">
        <f>HYPERLINK("https://klasma.github.io/Logging_2321/klagomål/A 37891-2025 FSC-klagomål.docx", "A 37891-2025")</f>
        <v/>
      </c>
      <c r="W72">
        <f>HYPERLINK("https://klasma.github.io/Logging_2321/klagomålsmail/A 37891-2025 FSC-klagomål mail.docx", "A 37891-2025")</f>
        <v/>
      </c>
      <c r="X72">
        <f>HYPERLINK("https://klasma.github.io/Logging_2321/tillsyn/A 37891-2025 tillsynsbegäran.docx", "A 37891-2025")</f>
        <v/>
      </c>
      <c r="Y72">
        <f>HYPERLINK("https://klasma.github.io/Logging_2321/tillsynsmail/A 37891-2025 tillsynsbegäran mail.docx", "A 37891-2025")</f>
        <v/>
      </c>
      <c r="Z72">
        <f>HYPERLINK("https://klasma.github.io/Logging_2321/fåglar/A 37891-2025 prioriterade fågelarter.docx", "A 37891-2025")</f>
        <v/>
      </c>
    </row>
    <row r="73" ht="15" customHeight="1">
      <c r="A73" t="inlineStr">
        <is>
          <t>A 58238-2021</t>
        </is>
      </c>
      <c r="B73" s="1" t="n">
        <v>44487</v>
      </c>
      <c r="C73" s="1" t="n">
        <v>46092</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46092</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46092</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48189-2025</t>
        </is>
      </c>
      <c r="B76" s="1" t="n">
        <v>45931</v>
      </c>
      <c r="C76" s="1" t="n">
        <v>46092</v>
      </c>
      <c r="D76" t="inlineStr">
        <is>
          <t>JÄMTLANDS LÄN</t>
        </is>
      </c>
      <c r="E76" t="inlineStr">
        <is>
          <t>ÅRE</t>
        </is>
      </c>
      <c r="G76" t="n">
        <v>2.9</v>
      </c>
      <c r="H76" t="n">
        <v>1</v>
      </c>
      <c r="I76" t="n">
        <v>0</v>
      </c>
      <c r="J76" t="n">
        <v>4</v>
      </c>
      <c r="K76" t="n">
        <v>0</v>
      </c>
      <c r="L76" t="n">
        <v>0</v>
      </c>
      <c r="M76" t="n">
        <v>0</v>
      </c>
      <c r="N76" t="n">
        <v>0</v>
      </c>
      <c r="O76" t="n">
        <v>4</v>
      </c>
      <c r="P76" t="n">
        <v>0</v>
      </c>
      <c r="Q76" t="n">
        <v>5</v>
      </c>
      <c r="R76" s="2" t="inlineStr">
        <is>
          <t>Garnlav
Granticka
Gränsticka
Ullticka
Orre</t>
        </is>
      </c>
      <c r="S76">
        <f>HYPERLINK("https://klasma.github.io/Logging_2321/artfynd/A 48189-2025 artfynd.xlsx", "A 48189-2025")</f>
        <v/>
      </c>
      <c r="T76">
        <f>HYPERLINK("https://klasma.github.io/Logging_2321/kartor/A 48189-2025 karta.png", "A 48189-2025")</f>
        <v/>
      </c>
      <c r="V76">
        <f>HYPERLINK("https://klasma.github.io/Logging_2321/klagomål/A 48189-2025 FSC-klagomål.docx", "A 48189-2025")</f>
        <v/>
      </c>
      <c r="W76">
        <f>HYPERLINK("https://klasma.github.io/Logging_2321/klagomålsmail/A 48189-2025 FSC-klagomål mail.docx", "A 48189-2025")</f>
        <v/>
      </c>
      <c r="X76">
        <f>HYPERLINK("https://klasma.github.io/Logging_2321/tillsyn/A 48189-2025 tillsynsbegäran.docx", "A 48189-2025")</f>
        <v/>
      </c>
      <c r="Y76">
        <f>HYPERLINK("https://klasma.github.io/Logging_2321/tillsynsmail/A 48189-2025 tillsynsbegäran mail.docx", "A 48189-2025")</f>
        <v/>
      </c>
      <c r="Z76">
        <f>HYPERLINK("https://klasma.github.io/Logging_2321/fåglar/A 48189-2025 prioriterade fågelarter.docx", "A 48189-2025")</f>
        <v/>
      </c>
    </row>
    <row r="77" ht="15" customHeight="1">
      <c r="A77" t="inlineStr">
        <is>
          <t>A 62545-2025</t>
        </is>
      </c>
      <c r="B77" s="1" t="n">
        <v>46007.65723379629</v>
      </c>
      <c r="C77" s="1" t="n">
        <v>46092</v>
      </c>
      <c r="D77" t="inlineStr">
        <is>
          <t>JÄMTLANDS LÄN</t>
        </is>
      </c>
      <c r="E77" t="inlineStr">
        <is>
          <t>ÅRE</t>
        </is>
      </c>
      <c r="F77" t="inlineStr">
        <is>
          <t>Övriga Aktiebolag</t>
        </is>
      </c>
      <c r="G77" t="n">
        <v>4.3</v>
      </c>
      <c r="H77" t="n">
        <v>3</v>
      </c>
      <c r="I77" t="n">
        <v>0</v>
      </c>
      <c r="J77" t="n">
        <v>4</v>
      </c>
      <c r="K77" t="n">
        <v>1</v>
      </c>
      <c r="L77" t="n">
        <v>0</v>
      </c>
      <c r="M77" t="n">
        <v>0</v>
      </c>
      <c r="N77" t="n">
        <v>0</v>
      </c>
      <c r="O77" t="n">
        <v>5</v>
      </c>
      <c r="P77" t="n">
        <v>1</v>
      </c>
      <c r="Q77" t="n">
        <v>5</v>
      </c>
      <c r="R77" s="2" t="inlineStr">
        <is>
          <t>Tallbit
Granticka
Spillkråka
Tretåig hackspett
Ullticka</t>
        </is>
      </c>
      <c r="S77">
        <f>HYPERLINK("https://klasma.github.io/Logging_2321/artfynd/A 62545-2025 artfynd.xlsx", "A 62545-2025")</f>
        <v/>
      </c>
      <c r="T77">
        <f>HYPERLINK("https://klasma.github.io/Logging_2321/kartor/A 62545-2025 karta.png", "A 62545-2025")</f>
        <v/>
      </c>
      <c r="V77">
        <f>HYPERLINK("https://klasma.github.io/Logging_2321/klagomål/A 62545-2025 FSC-klagomål.docx", "A 62545-2025")</f>
        <v/>
      </c>
      <c r="W77">
        <f>HYPERLINK("https://klasma.github.io/Logging_2321/klagomålsmail/A 62545-2025 FSC-klagomål mail.docx", "A 62545-2025")</f>
        <v/>
      </c>
      <c r="X77">
        <f>HYPERLINK("https://klasma.github.io/Logging_2321/tillsyn/A 62545-2025 tillsynsbegäran.docx", "A 62545-2025")</f>
        <v/>
      </c>
      <c r="Y77">
        <f>HYPERLINK("https://klasma.github.io/Logging_2321/tillsynsmail/A 62545-2025 tillsynsbegäran mail.docx", "A 62545-2025")</f>
        <v/>
      </c>
      <c r="Z77">
        <f>HYPERLINK("https://klasma.github.io/Logging_2321/fåglar/A 62545-2025 prioriterade fågelarter.docx", "A 62545-2025")</f>
        <v/>
      </c>
    </row>
    <row r="78" ht="15" customHeight="1">
      <c r="A78" t="inlineStr">
        <is>
          <t>A 63363-2025</t>
        </is>
      </c>
      <c r="B78" s="1" t="n">
        <v>46010.68505787037</v>
      </c>
      <c r="C78" s="1" t="n">
        <v>46092</v>
      </c>
      <c r="D78" t="inlineStr">
        <is>
          <t>JÄMTLANDS LÄN</t>
        </is>
      </c>
      <c r="E78" t="inlineStr">
        <is>
          <t>ÅRE</t>
        </is>
      </c>
      <c r="F78" t="inlineStr">
        <is>
          <t>Övriga Aktiebolag</t>
        </is>
      </c>
      <c r="G78" t="n">
        <v>28.4</v>
      </c>
      <c r="H78" t="n">
        <v>1</v>
      </c>
      <c r="I78" t="n">
        <v>0</v>
      </c>
      <c r="J78" t="n">
        <v>4</v>
      </c>
      <c r="K78" t="n">
        <v>1</v>
      </c>
      <c r="L78" t="n">
        <v>0</v>
      </c>
      <c r="M78" t="n">
        <v>0</v>
      </c>
      <c r="N78" t="n">
        <v>0</v>
      </c>
      <c r="O78" t="n">
        <v>5</v>
      </c>
      <c r="P78" t="n">
        <v>1</v>
      </c>
      <c r="Q78" t="n">
        <v>5</v>
      </c>
      <c r="R78" s="2" t="inlineStr">
        <is>
          <t>Tallbit
Garnlav
Granticka
Lunglav
Mjölig dropplav</t>
        </is>
      </c>
      <c r="S78">
        <f>HYPERLINK("https://klasma.github.io/Logging_2321/artfynd/A 63363-2025 artfynd.xlsx", "A 63363-2025")</f>
        <v/>
      </c>
      <c r="T78">
        <f>HYPERLINK("https://klasma.github.io/Logging_2321/kartor/A 63363-2025 karta.png", "A 63363-2025")</f>
        <v/>
      </c>
      <c r="V78">
        <f>HYPERLINK("https://klasma.github.io/Logging_2321/klagomål/A 63363-2025 FSC-klagomål.docx", "A 63363-2025")</f>
        <v/>
      </c>
      <c r="W78">
        <f>HYPERLINK("https://klasma.github.io/Logging_2321/klagomålsmail/A 63363-2025 FSC-klagomål mail.docx", "A 63363-2025")</f>
        <v/>
      </c>
      <c r="X78">
        <f>HYPERLINK("https://klasma.github.io/Logging_2321/tillsyn/A 63363-2025 tillsynsbegäran.docx", "A 63363-2025")</f>
        <v/>
      </c>
      <c r="Y78">
        <f>HYPERLINK("https://klasma.github.io/Logging_2321/tillsynsmail/A 63363-2025 tillsynsbegäran mail.docx", "A 63363-2025")</f>
        <v/>
      </c>
      <c r="Z78">
        <f>HYPERLINK("https://klasma.github.io/Logging_2321/fåglar/A 63363-2025 prioriterade fågelarter.docx", "A 63363-2025")</f>
        <v/>
      </c>
    </row>
    <row r="79" ht="15" customHeight="1">
      <c r="A79" t="inlineStr">
        <is>
          <t>A 53436-2025</t>
        </is>
      </c>
      <c r="B79" s="1" t="n">
        <v>45959</v>
      </c>
      <c r="C79" s="1" t="n">
        <v>46092</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54374-2025</t>
        </is>
      </c>
      <c r="B80" s="1" t="n">
        <v>45965</v>
      </c>
      <c r="C80" s="1" t="n">
        <v>46092</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4775-2025</t>
        </is>
      </c>
      <c r="B81" s="1" t="n">
        <v>45688</v>
      </c>
      <c r="C81" s="1" t="n">
        <v>46092</v>
      </c>
      <c r="D81" t="inlineStr">
        <is>
          <t>JÄMTLANDS LÄN</t>
        </is>
      </c>
      <c r="E81" t="inlineStr">
        <is>
          <t>ÅRE</t>
        </is>
      </c>
      <c r="G81" t="n">
        <v>0.7</v>
      </c>
      <c r="H81" t="n">
        <v>1</v>
      </c>
      <c r="I81" t="n">
        <v>2</v>
      </c>
      <c r="J81" t="n">
        <v>3</v>
      </c>
      <c r="K81" t="n">
        <v>0</v>
      </c>
      <c r="L81" t="n">
        <v>0</v>
      </c>
      <c r="M81" t="n">
        <v>0</v>
      </c>
      <c r="N81" t="n">
        <v>0</v>
      </c>
      <c r="O81" t="n">
        <v>3</v>
      </c>
      <c r="P81" t="n">
        <v>0</v>
      </c>
      <c r="Q81" t="n">
        <v>5</v>
      </c>
      <c r="R81" s="2" t="inlineStr">
        <is>
          <t>Garnlav
Tretåig hackspett
Vitgrynig nållav
Diskvaxskivling
Trådticka</t>
        </is>
      </c>
      <c r="S81">
        <f>HYPERLINK("https://klasma.github.io/Logging_2321/artfynd/A 4775-2025 artfynd.xlsx", "A 4775-2025")</f>
        <v/>
      </c>
      <c r="T81">
        <f>HYPERLINK("https://klasma.github.io/Logging_2321/kartor/A 4775-2025 karta.png", "A 4775-2025")</f>
        <v/>
      </c>
      <c r="V81">
        <f>HYPERLINK("https://klasma.github.io/Logging_2321/klagomål/A 4775-2025 FSC-klagomål.docx", "A 4775-2025")</f>
        <v/>
      </c>
      <c r="W81">
        <f>HYPERLINK("https://klasma.github.io/Logging_2321/klagomålsmail/A 4775-2025 FSC-klagomål mail.docx", "A 4775-2025")</f>
        <v/>
      </c>
      <c r="X81">
        <f>HYPERLINK("https://klasma.github.io/Logging_2321/tillsyn/A 4775-2025 tillsynsbegäran.docx", "A 4775-2025")</f>
        <v/>
      </c>
      <c r="Y81">
        <f>HYPERLINK("https://klasma.github.io/Logging_2321/tillsynsmail/A 4775-2025 tillsynsbegäran mail.docx", "A 4775-2025")</f>
        <v/>
      </c>
      <c r="Z81">
        <f>HYPERLINK("https://klasma.github.io/Logging_2321/fåglar/A 4775-2025 prioriterade fågelarter.docx", "A 4775-2025")</f>
        <v/>
      </c>
    </row>
    <row r="82" ht="15" customHeight="1">
      <c r="A82" t="inlineStr">
        <is>
          <t>A 42565-2024</t>
        </is>
      </c>
      <c r="B82" s="1" t="n">
        <v>45565</v>
      </c>
      <c r="C82" s="1" t="n">
        <v>46092</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32097-2025</t>
        </is>
      </c>
      <c r="B83" s="1" t="n">
        <v>45835.4641087963</v>
      </c>
      <c r="C83" s="1" t="n">
        <v>46092</v>
      </c>
      <c r="D83" t="inlineStr">
        <is>
          <t>JÄMTLANDS LÄN</t>
        </is>
      </c>
      <c r="E83" t="inlineStr">
        <is>
          <t>ÅRE</t>
        </is>
      </c>
      <c r="G83" t="n">
        <v>6.2</v>
      </c>
      <c r="H83" t="n">
        <v>2</v>
      </c>
      <c r="I83" t="n">
        <v>3</v>
      </c>
      <c r="J83" t="n">
        <v>2</v>
      </c>
      <c r="K83" t="n">
        <v>0</v>
      </c>
      <c r="L83" t="n">
        <v>0</v>
      </c>
      <c r="M83" t="n">
        <v>0</v>
      </c>
      <c r="N83" t="n">
        <v>0</v>
      </c>
      <c r="O83" t="n">
        <v>2</v>
      </c>
      <c r="P83" t="n">
        <v>0</v>
      </c>
      <c r="Q83" t="n">
        <v>5</v>
      </c>
      <c r="R83" s="2" t="inlineStr">
        <is>
          <t>Granticka
Lunglav
Spindelblomster
Stuplav
Tvåblad</t>
        </is>
      </c>
      <c r="S83">
        <f>HYPERLINK("https://klasma.github.io/Logging_2321/artfynd/A 32097-2025 artfynd.xlsx", "A 32097-2025")</f>
        <v/>
      </c>
      <c r="T83">
        <f>HYPERLINK("https://klasma.github.io/Logging_2321/kartor/A 32097-2025 karta.png", "A 32097-2025")</f>
        <v/>
      </c>
      <c r="V83">
        <f>HYPERLINK("https://klasma.github.io/Logging_2321/klagomål/A 32097-2025 FSC-klagomål.docx", "A 32097-2025")</f>
        <v/>
      </c>
      <c r="W83">
        <f>HYPERLINK("https://klasma.github.io/Logging_2321/klagomålsmail/A 32097-2025 FSC-klagomål mail.docx", "A 32097-2025")</f>
        <v/>
      </c>
      <c r="X83">
        <f>HYPERLINK("https://klasma.github.io/Logging_2321/tillsyn/A 32097-2025 tillsynsbegäran.docx", "A 32097-2025")</f>
        <v/>
      </c>
      <c r="Y83">
        <f>HYPERLINK("https://klasma.github.io/Logging_2321/tillsynsmail/A 32097-2025 tillsynsbegäran mail.docx", "A 32097-2025")</f>
        <v/>
      </c>
    </row>
    <row r="84" ht="15" customHeight="1">
      <c r="A84" t="inlineStr">
        <is>
          <t>A 10491-2024</t>
        </is>
      </c>
      <c r="B84" s="1" t="n">
        <v>45366</v>
      </c>
      <c r="C84" s="1" t="n">
        <v>46092</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30034-2024</t>
        </is>
      </c>
      <c r="B85" s="1" t="n">
        <v>45485</v>
      </c>
      <c r="C85" s="1" t="n">
        <v>46092</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12988-2021</t>
        </is>
      </c>
      <c r="B86" s="1" t="n">
        <v>44271</v>
      </c>
      <c r="C86" s="1" t="n">
        <v>46092</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12988-2021 artfynd.xlsx", "A 12988-2021")</f>
        <v/>
      </c>
      <c r="T86">
        <f>HYPERLINK("https://klasma.github.io/Logging_2321/kartor/A 12988-2021 karta.png", "A 12988-2021")</f>
        <v/>
      </c>
      <c r="V86">
        <f>HYPERLINK("https://klasma.github.io/Logging_2321/klagomål/A 12988-2021 FSC-klagomål.docx", "A 12988-2021")</f>
        <v/>
      </c>
      <c r="W86">
        <f>HYPERLINK("https://klasma.github.io/Logging_2321/klagomålsmail/A 12988-2021 FSC-klagomål mail.docx", "A 12988-2021")</f>
        <v/>
      </c>
      <c r="X86">
        <f>HYPERLINK("https://klasma.github.io/Logging_2321/tillsyn/A 12988-2021 tillsynsbegäran.docx", "A 12988-2021")</f>
        <v/>
      </c>
      <c r="Y86">
        <f>HYPERLINK("https://klasma.github.io/Logging_2321/tillsynsmail/A 12988-2021 tillsynsbegäran mail.docx", "A 12988-2021")</f>
        <v/>
      </c>
    </row>
    <row r="87" ht="15" customHeight="1">
      <c r="A87" t="inlineStr">
        <is>
          <t>A 14195-2021</t>
        </is>
      </c>
      <c r="B87" s="1" t="n">
        <v>44278</v>
      </c>
      <c r="C87" s="1" t="n">
        <v>46092</v>
      </c>
      <c r="D87" t="inlineStr">
        <is>
          <t>JÄMTLANDS LÄN</t>
        </is>
      </c>
      <c r="E87" t="inlineStr">
        <is>
          <t>ÅRE</t>
        </is>
      </c>
      <c r="G87" t="n">
        <v>23.1</v>
      </c>
      <c r="H87" t="n">
        <v>2</v>
      </c>
      <c r="I87" t="n">
        <v>0</v>
      </c>
      <c r="J87" t="n">
        <v>5</v>
      </c>
      <c r="K87" t="n">
        <v>0</v>
      </c>
      <c r="L87" t="n">
        <v>0</v>
      </c>
      <c r="M87" t="n">
        <v>0</v>
      </c>
      <c r="N87" t="n">
        <v>0</v>
      </c>
      <c r="O87" t="n">
        <v>5</v>
      </c>
      <c r="P87" t="n">
        <v>0</v>
      </c>
      <c r="Q87" t="n">
        <v>5</v>
      </c>
      <c r="R87" s="2" t="inlineStr">
        <is>
          <t>Garnlav
Granticka
Knottrig blåslav
Spillkråka
Tretåig hackspett</t>
        </is>
      </c>
      <c r="S87">
        <f>HYPERLINK("https://klasma.github.io/Logging_2321/artfynd/A 14195-2021 artfynd.xlsx", "A 14195-2021")</f>
        <v/>
      </c>
      <c r="T87">
        <f>HYPERLINK("https://klasma.github.io/Logging_2321/kartor/A 14195-2021 karta.png", "A 14195-2021")</f>
        <v/>
      </c>
      <c r="V87">
        <f>HYPERLINK("https://klasma.github.io/Logging_2321/klagomål/A 14195-2021 FSC-klagomål.docx", "A 14195-2021")</f>
        <v/>
      </c>
      <c r="W87">
        <f>HYPERLINK("https://klasma.github.io/Logging_2321/klagomålsmail/A 14195-2021 FSC-klagomål mail.docx", "A 14195-2021")</f>
        <v/>
      </c>
      <c r="X87">
        <f>HYPERLINK("https://klasma.github.io/Logging_2321/tillsyn/A 14195-2021 tillsynsbegäran.docx", "A 14195-2021")</f>
        <v/>
      </c>
      <c r="Y87">
        <f>HYPERLINK("https://klasma.github.io/Logging_2321/tillsynsmail/A 14195-2021 tillsynsbegäran mail.docx", "A 14195-2021")</f>
        <v/>
      </c>
      <c r="Z87">
        <f>HYPERLINK("https://klasma.github.io/Logging_2321/fåglar/A 14195-2021 prioriterade fågelarter.docx", "A 14195-2021")</f>
        <v/>
      </c>
    </row>
    <row r="88" ht="15" customHeight="1">
      <c r="A88" t="inlineStr">
        <is>
          <t>A 19925-2025</t>
        </is>
      </c>
      <c r="B88" s="1" t="n">
        <v>45771.634375</v>
      </c>
      <c r="C88" s="1" t="n">
        <v>46092</v>
      </c>
      <c r="D88" t="inlineStr">
        <is>
          <t>JÄMTLANDS LÄN</t>
        </is>
      </c>
      <c r="E88" t="inlineStr">
        <is>
          <t>ÅRE</t>
        </is>
      </c>
      <c r="G88" t="n">
        <v>7.6</v>
      </c>
      <c r="H88" t="n">
        <v>1</v>
      </c>
      <c r="I88" t="n">
        <v>1</v>
      </c>
      <c r="J88" t="n">
        <v>2</v>
      </c>
      <c r="K88" t="n">
        <v>0</v>
      </c>
      <c r="L88" t="n">
        <v>1</v>
      </c>
      <c r="M88" t="n">
        <v>0</v>
      </c>
      <c r="N88" t="n">
        <v>0</v>
      </c>
      <c r="O88" t="n">
        <v>3</v>
      </c>
      <c r="P88" t="n">
        <v>1</v>
      </c>
      <c r="Q88" t="n">
        <v>5</v>
      </c>
      <c r="R88" s="2" t="inlineStr">
        <is>
          <t>Skarptandad daggkåpa
Liten svartspik
Vitgrynig nållav
Kornig nållav
Blåsippa</t>
        </is>
      </c>
      <c r="S88">
        <f>HYPERLINK("https://klasma.github.io/Logging_2321/artfynd/A 19925-2025 artfynd.xlsx", "A 19925-2025")</f>
        <v/>
      </c>
      <c r="T88">
        <f>HYPERLINK("https://klasma.github.io/Logging_2321/kartor/A 19925-2025 karta.png", "A 19925-2025")</f>
        <v/>
      </c>
      <c r="V88">
        <f>HYPERLINK("https://klasma.github.io/Logging_2321/klagomål/A 19925-2025 FSC-klagomål.docx", "A 19925-2025")</f>
        <v/>
      </c>
      <c r="W88">
        <f>HYPERLINK("https://klasma.github.io/Logging_2321/klagomålsmail/A 19925-2025 FSC-klagomål mail.docx", "A 19925-2025")</f>
        <v/>
      </c>
      <c r="X88">
        <f>HYPERLINK("https://klasma.github.io/Logging_2321/tillsyn/A 19925-2025 tillsynsbegäran.docx", "A 19925-2025")</f>
        <v/>
      </c>
      <c r="Y88">
        <f>HYPERLINK("https://klasma.github.io/Logging_2321/tillsynsmail/A 19925-2025 tillsynsbegäran mail.docx", "A 19925-2025")</f>
        <v/>
      </c>
    </row>
    <row r="89" ht="15" customHeight="1">
      <c r="A89" t="inlineStr">
        <is>
          <t>A 59163-2025</t>
        </is>
      </c>
      <c r="B89" s="1" t="n">
        <v>45988.55412037037</v>
      </c>
      <c r="C89" s="1" t="n">
        <v>46092</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56183-2022</t>
        </is>
      </c>
      <c r="B90" s="1" t="n">
        <v>44889</v>
      </c>
      <c r="C90" s="1" t="n">
        <v>46092</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62273-2025</t>
        </is>
      </c>
      <c r="B91" s="1" t="n">
        <v>46006.62581018519</v>
      </c>
      <c r="C91" s="1" t="n">
        <v>46092</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62621-2025</t>
        </is>
      </c>
      <c r="B92" s="1" t="n">
        <v>46008.34428240741</v>
      </c>
      <c r="C92" s="1" t="n">
        <v>46092</v>
      </c>
      <c r="D92" t="inlineStr">
        <is>
          <t>JÄMTLANDS LÄN</t>
        </is>
      </c>
      <c r="E92" t="inlineStr">
        <is>
          <t>ÅRE</t>
        </is>
      </c>
      <c r="G92" t="n">
        <v>7.4</v>
      </c>
      <c r="H92" t="n">
        <v>2</v>
      </c>
      <c r="I92" t="n">
        <v>0</v>
      </c>
      <c r="J92" t="n">
        <v>3</v>
      </c>
      <c r="K92" t="n">
        <v>0</v>
      </c>
      <c r="L92" t="n">
        <v>0</v>
      </c>
      <c r="M92" t="n">
        <v>0</v>
      </c>
      <c r="N92" t="n">
        <v>0</v>
      </c>
      <c r="O92" t="n">
        <v>3</v>
      </c>
      <c r="P92" t="n">
        <v>0</v>
      </c>
      <c r="Q92" t="n">
        <v>4</v>
      </c>
      <c r="R92" s="2" t="inlineStr">
        <is>
          <t>Garnlav
Granticka
Tretåig hackspett
Lavskrika</t>
        </is>
      </c>
      <c r="S92">
        <f>HYPERLINK("https://klasma.github.io/Logging_2321/artfynd/A 62621-2025 artfynd.xlsx", "A 62621-2025")</f>
        <v/>
      </c>
      <c r="T92">
        <f>HYPERLINK("https://klasma.github.io/Logging_2321/kartor/A 62621-2025 karta.png", "A 62621-2025")</f>
        <v/>
      </c>
      <c r="V92">
        <f>HYPERLINK("https://klasma.github.io/Logging_2321/klagomål/A 62621-2025 FSC-klagomål.docx", "A 62621-2025")</f>
        <v/>
      </c>
      <c r="W92">
        <f>HYPERLINK("https://klasma.github.io/Logging_2321/klagomålsmail/A 62621-2025 FSC-klagomål mail.docx", "A 62621-2025")</f>
        <v/>
      </c>
      <c r="X92">
        <f>HYPERLINK("https://klasma.github.io/Logging_2321/tillsyn/A 62621-2025 tillsynsbegäran.docx", "A 62621-2025")</f>
        <v/>
      </c>
      <c r="Y92">
        <f>HYPERLINK("https://klasma.github.io/Logging_2321/tillsynsmail/A 62621-2025 tillsynsbegäran mail.docx", "A 62621-2025")</f>
        <v/>
      </c>
      <c r="Z92">
        <f>HYPERLINK("https://klasma.github.io/Logging_2321/fåglar/A 62621-2025 prioriterade fågelarter.docx", "A 62621-2025")</f>
        <v/>
      </c>
    </row>
    <row r="93" ht="15" customHeight="1">
      <c r="A93" t="inlineStr">
        <is>
          <t>A 12271-2022</t>
        </is>
      </c>
      <c r="B93" s="1" t="n">
        <v>44637</v>
      </c>
      <c r="C93" s="1" t="n">
        <v>46092</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19277-2021</t>
        </is>
      </c>
      <c r="B94" s="1" t="n">
        <v>44309</v>
      </c>
      <c r="C94" s="1" t="n">
        <v>46092</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57537-2024</t>
        </is>
      </c>
      <c r="B95" s="1" t="n">
        <v>45630</v>
      </c>
      <c r="C95" s="1" t="n">
        <v>46092</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23638-2023</t>
        </is>
      </c>
      <c r="B96" s="1" t="n">
        <v>45072</v>
      </c>
      <c r="C96" s="1" t="n">
        <v>46092</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22692-2025</t>
        </is>
      </c>
      <c r="B97" s="1" t="n">
        <v>45789.53834490741</v>
      </c>
      <c r="C97" s="1" t="n">
        <v>46092</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56549-2025</t>
        </is>
      </c>
      <c r="B98" s="1" t="n">
        <v>45975.48099537037</v>
      </c>
      <c r="C98" s="1" t="n">
        <v>46092</v>
      </c>
      <c r="D98" t="inlineStr">
        <is>
          <t>JÄMTLANDS LÄN</t>
        </is>
      </c>
      <c r="E98" t="inlineStr">
        <is>
          <t>ÅRE</t>
        </is>
      </c>
      <c r="F98" t="inlineStr">
        <is>
          <t>Övriga Aktiebolag</t>
        </is>
      </c>
      <c r="G98" t="n">
        <v>10.1</v>
      </c>
      <c r="H98" t="n">
        <v>0</v>
      </c>
      <c r="I98" t="n">
        <v>1</v>
      </c>
      <c r="J98" t="n">
        <v>2</v>
      </c>
      <c r="K98" t="n">
        <v>0</v>
      </c>
      <c r="L98" t="n">
        <v>0</v>
      </c>
      <c r="M98" t="n">
        <v>0</v>
      </c>
      <c r="N98" t="n">
        <v>0</v>
      </c>
      <c r="O98" t="n">
        <v>2</v>
      </c>
      <c r="P98" t="n">
        <v>0</v>
      </c>
      <c r="Q98" t="n">
        <v>3</v>
      </c>
      <c r="R98" s="2" t="inlineStr">
        <is>
          <t>Skrovellav
Ullticka
Stuplav</t>
        </is>
      </c>
      <c r="S98">
        <f>HYPERLINK("https://klasma.github.io/Logging_2321/artfynd/A 56549-2025 artfynd.xlsx", "A 56549-2025")</f>
        <v/>
      </c>
      <c r="T98">
        <f>HYPERLINK("https://klasma.github.io/Logging_2321/kartor/A 56549-2025 karta.png", "A 56549-2025")</f>
        <v/>
      </c>
      <c r="V98">
        <f>HYPERLINK("https://klasma.github.io/Logging_2321/klagomål/A 56549-2025 FSC-klagomål.docx", "A 56549-2025")</f>
        <v/>
      </c>
      <c r="W98">
        <f>HYPERLINK("https://klasma.github.io/Logging_2321/klagomålsmail/A 56549-2025 FSC-klagomål mail.docx", "A 56549-2025")</f>
        <v/>
      </c>
      <c r="X98">
        <f>HYPERLINK("https://klasma.github.io/Logging_2321/tillsyn/A 56549-2025 tillsynsbegäran.docx", "A 56549-2025")</f>
        <v/>
      </c>
      <c r="Y98">
        <f>HYPERLINK("https://klasma.github.io/Logging_2321/tillsynsmail/A 56549-2025 tillsynsbegäran mail.docx", "A 56549-2025")</f>
        <v/>
      </c>
    </row>
    <row r="99" ht="15" customHeight="1">
      <c r="A99" t="inlineStr">
        <is>
          <t>A 23729-2023</t>
        </is>
      </c>
      <c r="B99" s="1" t="n">
        <v>45072</v>
      </c>
      <c r="C99" s="1" t="n">
        <v>46092</v>
      </c>
      <c r="D99" t="inlineStr">
        <is>
          <t>JÄMTLANDS LÄN</t>
        </is>
      </c>
      <c r="E99" t="inlineStr">
        <is>
          <t>ÅRE</t>
        </is>
      </c>
      <c r="G99" t="n">
        <v>4.3</v>
      </c>
      <c r="H99" t="n">
        <v>1</v>
      </c>
      <c r="I99" t="n">
        <v>0</v>
      </c>
      <c r="J99" t="n">
        <v>3</v>
      </c>
      <c r="K99" t="n">
        <v>0</v>
      </c>
      <c r="L99" t="n">
        <v>0</v>
      </c>
      <c r="M99" t="n">
        <v>0</v>
      </c>
      <c r="N99" t="n">
        <v>0</v>
      </c>
      <c r="O99" t="n">
        <v>3</v>
      </c>
      <c r="P99" t="n">
        <v>0</v>
      </c>
      <c r="Q99" t="n">
        <v>3</v>
      </c>
      <c r="R99" s="2" t="inlineStr">
        <is>
          <t>Granticka
Lunglav
Tretåig hackspett</t>
        </is>
      </c>
      <c r="S99">
        <f>HYPERLINK("https://klasma.github.io/Logging_2321/artfynd/A 23729-2023 artfynd.xlsx", "A 23729-2023")</f>
        <v/>
      </c>
      <c r="T99">
        <f>HYPERLINK("https://klasma.github.io/Logging_2321/kartor/A 23729-2023 karta.png", "A 23729-2023")</f>
        <v/>
      </c>
      <c r="V99">
        <f>HYPERLINK("https://klasma.github.io/Logging_2321/klagomål/A 23729-2023 FSC-klagomål.docx", "A 23729-2023")</f>
        <v/>
      </c>
      <c r="W99">
        <f>HYPERLINK("https://klasma.github.io/Logging_2321/klagomålsmail/A 23729-2023 FSC-klagomål mail.docx", "A 23729-2023")</f>
        <v/>
      </c>
      <c r="X99">
        <f>HYPERLINK("https://klasma.github.io/Logging_2321/tillsyn/A 23729-2023 tillsynsbegäran.docx", "A 23729-2023")</f>
        <v/>
      </c>
      <c r="Y99">
        <f>HYPERLINK("https://klasma.github.io/Logging_2321/tillsynsmail/A 23729-2023 tillsynsbegäran mail.docx", "A 23729-2023")</f>
        <v/>
      </c>
      <c r="Z99">
        <f>HYPERLINK("https://klasma.github.io/Logging_2321/fåglar/A 23729-2023 prioriterade fågelarter.docx", "A 23729-2023")</f>
        <v/>
      </c>
    </row>
    <row r="100" ht="15" customHeight="1">
      <c r="A100" t="inlineStr">
        <is>
          <t>A 59237-2022</t>
        </is>
      </c>
      <c r="B100" s="1" t="n">
        <v>44904</v>
      </c>
      <c r="C100" s="1" t="n">
        <v>46092</v>
      </c>
      <c r="D100" t="inlineStr">
        <is>
          <t>JÄMTLANDS LÄN</t>
        </is>
      </c>
      <c r="E100" t="inlineStr">
        <is>
          <t>ÅRE</t>
        </is>
      </c>
      <c r="G100" t="n">
        <v>33.7</v>
      </c>
      <c r="H100" t="n">
        <v>1</v>
      </c>
      <c r="I100" t="n">
        <v>0</v>
      </c>
      <c r="J100" t="n">
        <v>3</v>
      </c>
      <c r="K100" t="n">
        <v>0</v>
      </c>
      <c r="L100" t="n">
        <v>0</v>
      </c>
      <c r="M100" t="n">
        <v>0</v>
      </c>
      <c r="N100" t="n">
        <v>0</v>
      </c>
      <c r="O100" t="n">
        <v>3</v>
      </c>
      <c r="P100" t="n">
        <v>0</v>
      </c>
      <c r="Q100" t="n">
        <v>3</v>
      </c>
      <c r="R100" s="2" t="inlineStr">
        <is>
          <t>Granticka
Tretåig hackspett
Vitgrynig nållav</t>
        </is>
      </c>
      <c r="S100">
        <f>HYPERLINK("https://klasma.github.io/Logging_2321/artfynd/A 59237-2022 artfynd.xlsx", "A 59237-2022")</f>
        <v/>
      </c>
      <c r="T100">
        <f>HYPERLINK("https://klasma.github.io/Logging_2321/kartor/A 59237-2022 karta.png", "A 59237-2022")</f>
        <v/>
      </c>
      <c r="V100">
        <f>HYPERLINK("https://klasma.github.io/Logging_2321/klagomål/A 59237-2022 FSC-klagomål.docx", "A 59237-2022")</f>
        <v/>
      </c>
      <c r="W100">
        <f>HYPERLINK("https://klasma.github.io/Logging_2321/klagomålsmail/A 59237-2022 FSC-klagomål mail.docx", "A 59237-2022")</f>
        <v/>
      </c>
      <c r="X100">
        <f>HYPERLINK("https://klasma.github.io/Logging_2321/tillsyn/A 59237-2022 tillsynsbegäran.docx", "A 59237-2022")</f>
        <v/>
      </c>
      <c r="Y100">
        <f>HYPERLINK("https://klasma.github.io/Logging_2321/tillsynsmail/A 59237-2022 tillsynsbegäran mail.docx", "A 59237-2022")</f>
        <v/>
      </c>
      <c r="Z100">
        <f>HYPERLINK("https://klasma.github.io/Logging_2321/fåglar/A 59237-2022 prioriterade fågelarter.docx", "A 59237-2022")</f>
        <v/>
      </c>
    </row>
    <row r="101" ht="15" customHeight="1">
      <c r="A101" t="inlineStr">
        <is>
          <t>A 47988-2025</t>
        </is>
      </c>
      <c r="B101" s="1" t="n">
        <v>45931</v>
      </c>
      <c r="C101" s="1" t="n">
        <v>46092</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62522-2025</t>
        </is>
      </c>
      <c r="B102" s="1" t="n">
        <v>46007.61512731481</v>
      </c>
      <c r="C102" s="1" t="n">
        <v>46092</v>
      </c>
      <c r="D102" t="inlineStr">
        <is>
          <t>JÄMTLANDS LÄN</t>
        </is>
      </c>
      <c r="E102" t="inlineStr">
        <is>
          <t>ÅRE</t>
        </is>
      </c>
      <c r="F102" t="inlineStr">
        <is>
          <t>Övriga Aktiebolag</t>
        </is>
      </c>
      <c r="G102" t="n">
        <v>2</v>
      </c>
      <c r="H102" t="n">
        <v>1</v>
      </c>
      <c r="I102" t="n">
        <v>1</v>
      </c>
      <c r="J102" t="n">
        <v>2</v>
      </c>
      <c r="K102" t="n">
        <v>0</v>
      </c>
      <c r="L102" t="n">
        <v>0</v>
      </c>
      <c r="M102" t="n">
        <v>0</v>
      </c>
      <c r="N102" t="n">
        <v>0</v>
      </c>
      <c r="O102" t="n">
        <v>2</v>
      </c>
      <c r="P102" t="n">
        <v>0</v>
      </c>
      <c r="Q102" t="n">
        <v>3</v>
      </c>
      <c r="R102" s="2" t="inlineStr">
        <is>
          <t>Garnlav
Tretåig hackspett
Blodticka</t>
        </is>
      </c>
      <c r="S102">
        <f>HYPERLINK("https://klasma.github.io/Logging_2321/artfynd/A 62522-2025 artfynd.xlsx", "A 62522-2025")</f>
        <v/>
      </c>
      <c r="T102">
        <f>HYPERLINK("https://klasma.github.io/Logging_2321/kartor/A 62522-2025 karta.png", "A 62522-2025")</f>
        <v/>
      </c>
      <c r="V102">
        <f>HYPERLINK("https://klasma.github.io/Logging_2321/klagomål/A 62522-2025 FSC-klagomål.docx", "A 62522-2025")</f>
        <v/>
      </c>
      <c r="W102">
        <f>HYPERLINK("https://klasma.github.io/Logging_2321/klagomålsmail/A 62522-2025 FSC-klagomål mail.docx", "A 62522-2025")</f>
        <v/>
      </c>
      <c r="X102">
        <f>HYPERLINK("https://klasma.github.io/Logging_2321/tillsyn/A 62522-2025 tillsynsbegäran.docx", "A 62522-2025")</f>
        <v/>
      </c>
      <c r="Y102">
        <f>HYPERLINK("https://klasma.github.io/Logging_2321/tillsynsmail/A 62522-2025 tillsynsbegäran mail.docx", "A 62522-2025")</f>
        <v/>
      </c>
      <c r="Z102">
        <f>HYPERLINK("https://klasma.github.io/Logging_2321/fåglar/A 62522-2025 prioriterade fågelarter.docx", "A 62522-2025")</f>
        <v/>
      </c>
    </row>
    <row r="103" ht="15" customHeight="1">
      <c r="A103" t="inlineStr">
        <is>
          <t>A 20124-2023</t>
        </is>
      </c>
      <c r="B103" s="1" t="n">
        <v>45055</v>
      </c>
      <c r="C103" s="1" t="n">
        <v>46092</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54376-2025</t>
        </is>
      </c>
      <c r="B104" s="1" t="n">
        <v>45965</v>
      </c>
      <c r="C104" s="1" t="n">
        <v>46092</v>
      </c>
      <c r="D104" t="inlineStr">
        <is>
          <t>JÄMTLANDS LÄN</t>
        </is>
      </c>
      <c r="E104" t="inlineStr">
        <is>
          <t>ÅRE</t>
        </is>
      </c>
      <c r="G104" t="n">
        <v>5.3</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54376-2025 artfynd.xlsx", "A 54376-2025")</f>
        <v/>
      </c>
      <c r="T104">
        <f>HYPERLINK("https://klasma.github.io/Logging_2321/kartor/A 54376-2025 karta.png", "A 54376-2025")</f>
        <v/>
      </c>
      <c r="V104">
        <f>HYPERLINK("https://klasma.github.io/Logging_2321/klagomål/A 54376-2025 FSC-klagomål.docx", "A 54376-2025")</f>
        <v/>
      </c>
      <c r="W104">
        <f>HYPERLINK("https://klasma.github.io/Logging_2321/klagomålsmail/A 54376-2025 FSC-klagomål mail.docx", "A 54376-2025")</f>
        <v/>
      </c>
      <c r="X104">
        <f>HYPERLINK("https://klasma.github.io/Logging_2321/tillsyn/A 54376-2025 tillsynsbegäran.docx", "A 54376-2025")</f>
        <v/>
      </c>
      <c r="Y104">
        <f>HYPERLINK("https://klasma.github.io/Logging_2321/tillsynsmail/A 54376-2025 tillsynsbegäran mail.docx", "A 54376-2025")</f>
        <v/>
      </c>
    </row>
    <row r="105" ht="15" customHeight="1">
      <c r="A105" t="inlineStr">
        <is>
          <t>A 14198-2021</t>
        </is>
      </c>
      <c r="B105" s="1" t="n">
        <v>44278</v>
      </c>
      <c r="C105" s="1" t="n">
        <v>46092</v>
      </c>
      <c r="D105" t="inlineStr">
        <is>
          <t>JÄMTLANDS LÄN</t>
        </is>
      </c>
      <c r="E105" t="inlineStr">
        <is>
          <t>ÅRE</t>
        </is>
      </c>
      <c r="G105" t="n">
        <v>28.4</v>
      </c>
      <c r="H105" t="n">
        <v>1</v>
      </c>
      <c r="I105" t="n">
        <v>1</v>
      </c>
      <c r="J105" t="n">
        <v>2</v>
      </c>
      <c r="K105" t="n">
        <v>0</v>
      </c>
      <c r="L105" t="n">
        <v>0</v>
      </c>
      <c r="M105" t="n">
        <v>0</v>
      </c>
      <c r="N105" t="n">
        <v>0</v>
      </c>
      <c r="O105" t="n">
        <v>2</v>
      </c>
      <c r="P105" t="n">
        <v>0</v>
      </c>
      <c r="Q105" t="n">
        <v>3</v>
      </c>
      <c r="R105" s="2" t="inlineStr">
        <is>
          <t>Skrovellav
Tretåig hackspett
Stuplav</t>
        </is>
      </c>
      <c r="S105">
        <f>HYPERLINK("https://klasma.github.io/Logging_2321/artfynd/A 14198-2021 artfynd.xlsx", "A 14198-2021")</f>
        <v/>
      </c>
      <c r="T105">
        <f>HYPERLINK("https://klasma.github.io/Logging_2321/kartor/A 14198-2021 karta.png", "A 14198-2021")</f>
        <v/>
      </c>
      <c r="V105">
        <f>HYPERLINK("https://klasma.github.io/Logging_2321/klagomål/A 14198-2021 FSC-klagomål.docx", "A 14198-2021")</f>
        <v/>
      </c>
      <c r="W105">
        <f>HYPERLINK("https://klasma.github.io/Logging_2321/klagomålsmail/A 14198-2021 FSC-klagomål mail.docx", "A 14198-2021")</f>
        <v/>
      </c>
      <c r="X105">
        <f>HYPERLINK("https://klasma.github.io/Logging_2321/tillsyn/A 14198-2021 tillsynsbegäran.docx", "A 14198-2021")</f>
        <v/>
      </c>
      <c r="Y105">
        <f>HYPERLINK("https://klasma.github.io/Logging_2321/tillsynsmail/A 14198-2021 tillsynsbegäran mail.docx", "A 14198-2021")</f>
        <v/>
      </c>
      <c r="Z105">
        <f>HYPERLINK("https://klasma.github.io/Logging_2321/fåglar/A 14198-2021 prioriterade fågelarter.docx", "A 14198-2021")</f>
        <v/>
      </c>
    </row>
    <row r="106" ht="15" customHeight="1">
      <c r="A106" t="inlineStr">
        <is>
          <t>A 36260-2023</t>
        </is>
      </c>
      <c r="B106" s="1" t="n">
        <v>45151</v>
      </c>
      <c r="C106" s="1" t="n">
        <v>46092</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58387-2023</t>
        </is>
      </c>
      <c r="B107" s="1" t="n">
        <v>45250</v>
      </c>
      <c r="C107" s="1" t="n">
        <v>46092</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61875-2024</t>
        </is>
      </c>
      <c r="B108" s="1" t="n">
        <v>45651</v>
      </c>
      <c r="C108" s="1" t="n">
        <v>46092</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22601-2024</t>
        </is>
      </c>
      <c r="B109" s="1" t="n">
        <v>45447</v>
      </c>
      <c r="C109" s="1" t="n">
        <v>46092</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10501-2024</t>
        </is>
      </c>
      <c r="B110" s="1" t="n">
        <v>45366</v>
      </c>
      <c r="C110" s="1" t="n">
        <v>46092</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21006-2022</t>
        </is>
      </c>
      <c r="B111" s="1" t="n">
        <v>44701</v>
      </c>
      <c r="C111" s="1" t="n">
        <v>46092</v>
      </c>
      <c r="D111" t="inlineStr">
        <is>
          <t>JÄMTLANDS LÄN</t>
        </is>
      </c>
      <c r="E111" t="inlineStr">
        <is>
          <t>ÅRE</t>
        </is>
      </c>
      <c r="G111" t="n">
        <v>5.5</v>
      </c>
      <c r="H111" t="n">
        <v>1</v>
      </c>
      <c r="I111" t="n">
        <v>0</v>
      </c>
      <c r="J111" t="n">
        <v>3</v>
      </c>
      <c r="K111" t="n">
        <v>0</v>
      </c>
      <c r="L111" t="n">
        <v>0</v>
      </c>
      <c r="M111" t="n">
        <v>0</v>
      </c>
      <c r="N111" t="n">
        <v>0</v>
      </c>
      <c r="O111" t="n">
        <v>3</v>
      </c>
      <c r="P111" t="n">
        <v>0</v>
      </c>
      <c r="Q111" t="n">
        <v>3</v>
      </c>
      <c r="R111" s="2" t="inlineStr">
        <is>
          <t>Gammelgransskål
Granticka
Tretåig hackspett</t>
        </is>
      </c>
      <c r="S111">
        <f>HYPERLINK("https://klasma.github.io/Logging_2321/artfynd/A 21006-2022 artfynd.xlsx", "A 21006-2022")</f>
        <v/>
      </c>
      <c r="T111">
        <f>HYPERLINK("https://klasma.github.io/Logging_2321/kartor/A 21006-2022 karta.png", "A 21006-2022")</f>
        <v/>
      </c>
      <c r="V111">
        <f>HYPERLINK("https://klasma.github.io/Logging_2321/klagomål/A 21006-2022 FSC-klagomål.docx", "A 21006-2022")</f>
        <v/>
      </c>
      <c r="W111">
        <f>HYPERLINK("https://klasma.github.io/Logging_2321/klagomålsmail/A 21006-2022 FSC-klagomål mail.docx", "A 21006-2022")</f>
        <v/>
      </c>
      <c r="X111">
        <f>HYPERLINK("https://klasma.github.io/Logging_2321/tillsyn/A 21006-2022 tillsynsbegäran.docx", "A 21006-2022")</f>
        <v/>
      </c>
      <c r="Y111">
        <f>HYPERLINK("https://klasma.github.io/Logging_2321/tillsynsmail/A 21006-2022 tillsynsbegäran mail.docx", "A 21006-2022")</f>
        <v/>
      </c>
      <c r="Z111">
        <f>HYPERLINK("https://klasma.github.io/Logging_2321/fåglar/A 21006-2022 prioriterade fågelarter.docx", "A 21006-2022")</f>
        <v/>
      </c>
    </row>
    <row r="112" ht="15" customHeight="1">
      <c r="A112" t="inlineStr">
        <is>
          <t>A 12269-2022</t>
        </is>
      </c>
      <c r="B112" s="1" t="n">
        <v>44637</v>
      </c>
      <c r="C112" s="1" t="n">
        <v>46092</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40245-2023</t>
        </is>
      </c>
      <c r="B113" s="1" t="n">
        <v>45167</v>
      </c>
      <c r="C113" s="1" t="n">
        <v>46092</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40386-2025</t>
        </is>
      </c>
      <c r="B114" s="1" t="n">
        <v>45895</v>
      </c>
      <c r="C114" s="1" t="n">
        <v>46092</v>
      </c>
      <c r="D114" t="inlineStr">
        <is>
          <t>JÄMTLANDS LÄN</t>
        </is>
      </c>
      <c r="E114" t="inlineStr">
        <is>
          <t>ÅRE</t>
        </is>
      </c>
      <c r="F114" t="inlineStr">
        <is>
          <t>Övriga Aktiebolag</t>
        </is>
      </c>
      <c r="G114" t="n">
        <v>7.5</v>
      </c>
      <c r="H114" t="n">
        <v>3</v>
      </c>
      <c r="I114" t="n">
        <v>0</v>
      </c>
      <c r="J114" t="n">
        <v>1</v>
      </c>
      <c r="K114" t="n">
        <v>0</v>
      </c>
      <c r="L114" t="n">
        <v>0</v>
      </c>
      <c r="M114" t="n">
        <v>0</v>
      </c>
      <c r="N114" t="n">
        <v>0</v>
      </c>
      <c r="O114" t="n">
        <v>1</v>
      </c>
      <c r="P114" t="n">
        <v>0</v>
      </c>
      <c r="Q114" t="n">
        <v>3</v>
      </c>
      <c r="R114" s="2" t="inlineStr">
        <is>
          <t>Tretåig hackspett
Lavskrika
Tjäder</t>
        </is>
      </c>
      <c r="S114">
        <f>HYPERLINK("https://klasma.github.io/Logging_2321/artfynd/A 40386-2025 artfynd.xlsx", "A 40386-2025")</f>
        <v/>
      </c>
      <c r="T114">
        <f>HYPERLINK("https://klasma.github.io/Logging_2321/kartor/A 40386-2025 karta.png", "A 40386-2025")</f>
        <v/>
      </c>
      <c r="V114">
        <f>HYPERLINK("https://klasma.github.io/Logging_2321/klagomål/A 40386-2025 FSC-klagomål.docx", "A 40386-2025")</f>
        <v/>
      </c>
      <c r="W114">
        <f>HYPERLINK("https://klasma.github.io/Logging_2321/klagomålsmail/A 40386-2025 FSC-klagomål mail.docx", "A 40386-2025")</f>
        <v/>
      </c>
      <c r="X114">
        <f>HYPERLINK("https://klasma.github.io/Logging_2321/tillsyn/A 40386-2025 tillsynsbegäran.docx", "A 40386-2025")</f>
        <v/>
      </c>
      <c r="Y114">
        <f>HYPERLINK("https://klasma.github.io/Logging_2321/tillsynsmail/A 40386-2025 tillsynsbegäran mail.docx", "A 40386-2025")</f>
        <v/>
      </c>
      <c r="Z114">
        <f>HYPERLINK("https://klasma.github.io/Logging_2321/fåglar/A 40386-2025 prioriterade fågelarter.docx", "A 40386-2025")</f>
        <v/>
      </c>
    </row>
    <row r="115" ht="15" customHeight="1">
      <c r="A115" t="inlineStr">
        <is>
          <t>A 10627-2023</t>
        </is>
      </c>
      <c r="B115" s="1" t="n">
        <v>44984</v>
      </c>
      <c r="C115" s="1" t="n">
        <v>46092</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58082-2022</t>
        </is>
      </c>
      <c r="B116" s="1" t="n">
        <v>44900</v>
      </c>
      <c r="C116" s="1" t="n">
        <v>46092</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52588-2024</t>
        </is>
      </c>
      <c r="B117" s="1" t="n">
        <v>45609.69825231482</v>
      </c>
      <c r="C117" s="1" t="n">
        <v>46092</v>
      </c>
      <c r="D117" t="inlineStr">
        <is>
          <t>JÄMTLANDS LÄN</t>
        </is>
      </c>
      <c r="E117" t="inlineStr">
        <is>
          <t>ÅRE</t>
        </is>
      </c>
      <c r="G117" t="n">
        <v>6.5</v>
      </c>
      <c r="H117" t="n">
        <v>0</v>
      </c>
      <c r="I117" t="n">
        <v>1</v>
      </c>
      <c r="J117" t="n">
        <v>2</v>
      </c>
      <c r="K117" t="n">
        <v>0</v>
      </c>
      <c r="L117" t="n">
        <v>0</v>
      </c>
      <c r="M117" t="n">
        <v>0</v>
      </c>
      <c r="N117" t="n">
        <v>0</v>
      </c>
      <c r="O117" t="n">
        <v>2</v>
      </c>
      <c r="P117" t="n">
        <v>0</v>
      </c>
      <c r="Q117" t="n">
        <v>3</v>
      </c>
      <c r="R117" s="2" t="inlineStr">
        <is>
          <t>Garnlav
Liten svartspik
Vedticka</t>
        </is>
      </c>
      <c r="S117">
        <f>HYPERLINK("https://klasma.github.io/Logging_2321/artfynd/A 52588-2024 artfynd.xlsx", "A 52588-2024")</f>
        <v/>
      </c>
      <c r="T117">
        <f>HYPERLINK("https://klasma.github.io/Logging_2321/kartor/A 52588-2024 karta.png", "A 52588-2024")</f>
        <v/>
      </c>
      <c r="V117">
        <f>HYPERLINK("https://klasma.github.io/Logging_2321/klagomål/A 52588-2024 FSC-klagomål.docx", "A 52588-2024")</f>
        <v/>
      </c>
      <c r="W117">
        <f>HYPERLINK("https://klasma.github.io/Logging_2321/klagomålsmail/A 52588-2024 FSC-klagomål mail.docx", "A 52588-2024")</f>
        <v/>
      </c>
      <c r="X117">
        <f>HYPERLINK("https://klasma.github.io/Logging_2321/tillsyn/A 52588-2024 tillsynsbegäran.docx", "A 52588-2024")</f>
        <v/>
      </c>
      <c r="Y117">
        <f>HYPERLINK("https://klasma.github.io/Logging_2321/tillsynsmail/A 52588-2024 tillsynsbegäran mail.docx", "A 52588-2024")</f>
        <v/>
      </c>
    </row>
    <row r="118" ht="15" customHeight="1">
      <c r="A118" t="inlineStr">
        <is>
          <t>A 23572-2021</t>
        </is>
      </c>
      <c r="B118" s="1" t="n">
        <v>44334</v>
      </c>
      <c r="C118" s="1" t="n">
        <v>46092</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13625-2023</t>
        </is>
      </c>
      <c r="B119" s="1" t="n">
        <v>45006</v>
      </c>
      <c r="C119" s="1" t="n">
        <v>46092</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72934-2021</t>
        </is>
      </c>
      <c r="B120" s="1" t="n">
        <v>44547</v>
      </c>
      <c r="C120" s="1" t="n">
        <v>46092</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23706-2023</t>
        </is>
      </c>
      <c r="B121" s="1" t="n">
        <v>45072</v>
      </c>
      <c r="C121" s="1" t="n">
        <v>46092</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47993-2025</t>
        </is>
      </c>
      <c r="B122" s="1" t="n">
        <v>45931</v>
      </c>
      <c r="C122" s="1" t="n">
        <v>46092</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22231-2022</t>
        </is>
      </c>
      <c r="B123" s="1" t="n">
        <v>44712</v>
      </c>
      <c r="C123" s="1" t="n">
        <v>46092</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18851-2022</t>
        </is>
      </c>
      <c r="B124" s="1" t="n">
        <v>44690</v>
      </c>
      <c r="C124" s="1" t="n">
        <v>46092</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23566-2021</t>
        </is>
      </c>
      <c r="B125" s="1" t="n">
        <v>44334</v>
      </c>
      <c r="C125" s="1" t="n">
        <v>46092</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60533-2022</t>
        </is>
      </c>
      <c r="B126" s="1" t="n">
        <v>44904</v>
      </c>
      <c r="C126" s="1" t="n">
        <v>46092</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32114-2025</t>
        </is>
      </c>
      <c r="B127" s="1" t="n">
        <v>45835.48488425926</v>
      </c>
      <c r="C127" s="1" t="n">
        <v>46092</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36395-2025</t>
        </is>
      </c>
      <c r="B128" s="1" t="n">
        <v>45868.6211574074</v>
      </c>
      <c r="C128" s="1" t="n">
        <v>46092</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5418-2023</t>
        </is>
      </c>
      <c r="B129" s="1" t="n">
        <v>44957</v>
      </c>
      <c r="C129" s="1" t="n">
        <v>46092</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46092</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37204-2025</t>
        </is>
      </c>
      <c r="B131" s="1" t="n">
        <v>45875.69826388889</v>
      </c>
      <c r="C131" s="1" t="n">
        <v>46092</v>
      </c>
      <c r="D131" t="inlineStr">
        <is>
          <t>JÄMTLANDS LÄN</t>
        </is>
      </c>
      <c r="E131" t="inlineStr">
        <is>
          <t>ÅRE</t>
        </is>
      </c>
      <c r="G131" t="n">
        <v>2.9</v>
      </c>
      <c r="H131" t="n">
        <v>1</v>
      </c>
      <c r="I131" t="n">
        <v>1</v>
      </c>
      <c r="J131" t="n">
        <v>0</v>
      </c>
      <c r="K131" t="n">
        <v>0</v>
      </c>
      <c r="L131" t="n">
        <v>0</v>
      </c>
      <c r="M131" t="n">
        <v>0</v>
      </c>
      <c r="N131" t="n">
        <v>0</v>
      </c>
      <c r="O131" t="n">
        <v>0</v>
      </c>
      <c r="P131" t="n">
        <v>0</v>
      </c>
      <c r="Q131" t="n">
        <v>2</v>
      </c>
      <c r="R131" s="2" t="inlineStr">
        <is>
          <t>Norrlandslav
Revlummer</t>
        </is>
      </c>
      <c r="S131">
        <f>HYPERLINK("https://klasma.github.io/Logging_2321/artfynd/A 37204-2025 artfynd.xlsx", "A 37204-2025")</f>
        <v/>
      </c>
      <c r="T131">
        <f>HYPERLINK("https://klasma.github.io/Logging_2321/kartor/A 37204-2025 karta.png", "A 37204-2025")</f>
        <v/>
      </c>
      <c r="V131">
        <f>HYPERLINK("https://klasma.github.io/Logging_2321/klagomål/A 37204-2025 FSC-klagomål.docx", "A 37204-2025")</f>
        <v/>
      </c>
      <c r="W131">
        <f>HYPERLINK("https://klasma.github.io/Logging_2321/klagomålsmail/A 37204-2025 FSC-klagomål mail.docx", "A 37204-2025")</f>
        <v/>
      </c>
      <c r="X131">
        <f>HYPERLINK("https://klasma.github.io/Logging_2321/tillsyn/A 37204-2025 tillsynsbegäran.docx", "A 37204-2025")</f>
        <v/>
      </c>
      <c r="Y131">
        <f>HYPERLINK("https://klasma.github.io/Logging_2321/tillsynsmail/A 37204-2025 tillsynsbegäran mail.docx", "A 37204-2025")</f>
        <v/>
      </c>
    </row>
    <row r="132" ht="15" customHeight="1">
      <c r="A132" t="inlineStr">
        <is>
          <t>A 41280-2025</t>
        </is>
      </c>
      <c r="B132" s="1" t="n">
        <v>45898</v>
      </c>
      <c r="C132" s="1" t="n">
        <v>46092</v>
      </c>
      <c r="D132" t="inlineStr">
        <is>
          <t>JÄMTLANDS LÄN</t>
        </is>
      </c>
      <c r="E132" t="inlineStr">
        <is>
          <t>ÅRE</t>
        </is>
      </c>
      <c r="F132" t="inlineStr">
        <is>
          <t>Övriga Aktiebolag</t>
        </is>
      </c>
      <c r="G132" t="n">
        <v>4.5</v>
      </c>
      <c r="H132" t="n">
        <v>1</v>
      </c>
      <c r="I132" t="n">
        <v>0</v>
      </c>
      <c r="J132" t="n">
        <v>2</v>
      </c>
      <c r="K132" t="n">
        <v>0</v>
      </c>
      <c r="L132" t="n">
        <v>0</v>
      </c>
      <c r="M132" t="n">
        <v>0</v>
      </c>
      <c r="N132" t="n">
        <v>0</v>
      </c>
      <c r="O132" t="n">
        <v>2</v>
      </c>
      <c r="P132" t="n">
        <v>0</v>
      </c>
      <c r="Q132" t="n">
        <v>2</v>
      </c>
      <c r="R132" s="2" t="inlineStr">
        <is>
          <t>Garnlav
Järpe</t>
        </is>
      </c>
      <c r="S132">
        <f>HYPERLINK("https://klasma.github.io/Logging_2321/artfynd/A 41280-2025 artfynd.xlsx", "A 41280-2025")</f>
        <v/>
      </c>
      <c r="T132">
        <f>HYPERLINK("https://klasma.github.io/Logging_2321/kartor/A 41280-2025 karta.png", "A 41280-2025")</f>
        <v/>
      </c>
      <c r="V132">
        <f>HYPERLINK("https://klasma.github.io/Logging_2321/klagomål/A 41280-2025 FSC-klagomål.docx", "A 41280-2025")</f>
        <v/>
      </c>
      <c r="W132">
        <f>HYPERLINK("https://klasma.github.io/Logging_2321/klagomålsmail/A 41280-2025 FSC-klagomål mail.docx", "A 41280-2025")</f>
        <v/>
      </c>
      <c r="X132">
        <f>HYPERLINK("https://klasma.github.io/Logging_2321/tillsyn/A 41280-2025 tillsynsbegäran.docx", "A 41280-2025")</f>
        <v/>
      </c>
      <c r="Y132">
        <f>HYPERLINK("https://klasma.github.io/Logging_2321/tillsynsmail/A 41280-2025 tillsynsbegäran mail.docx", "A 41280-2025")</f>
        <v/>
      </c>
      <c r="Z132">
        <f>HYPERLINK("https://klasma.github.io/Logging_2321/fåglar/A 41280-2025 prioriterade fågelarter.docx", "A 41280-2025")</f>
        <v/>
      </c>
    </row>
    <row r="133" ht="15" customHeight="1">
      <c r="A133" t="inlineStr">
        <is>
          <t>A 22974-2022</t>
        </is>
      </c>
      <c r="B133" s="1" t="n">
        <v>44716</v>
      </c>
      <c r="C133" s="1" t="n">
        <v>46092</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54128-2023</t>
        </is>
      </c>
      <c r="B134" s="1" t="n">
        <v>45232</v>
      </c>
      <c r="C134" s="1" t="n">
        <v>46092</v>
      </c>
      <c r="D134" t="inlineStr">
        <is>
          <t>JÄMTLANDS LÄN</t>
        </is>
      </c>
      <c r="E134" t="inlineStr">
        <is>
          <t>ÅRE</t>
        </is>
      </c>
      <c r="G134" t="n">
        <v>3.9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64668-2021</t>
        </is>
      </c>
      <c r="B135" s="1" t="n">
        <v>44512</v>
      </c>
      <c r="C135" s="1" t="n">
        <v>46092</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32207-2022</t>
        </is>
      </c>
      <c r="B136" s="1" t="n">
        <v>44781</v>
      </c>
      <c r="C136" s="1" t="n">
        <v>46092</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5531-2023</t>
        </is>
      </c>
      <c r="B137" s="1" t="n">
        <v>44957</v>
      </c>
      <c r="C137" s="1" t="n">
        <v>46092</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46984-2021</t>
        </is>
      </c>
      <c r="B138" s="1" t="n">
        <v>44446</v>
      </c>
      <c r="C138" s="1" t="n">
        <v>46092</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6108-2023</t>
        </is>
      </c>
      <c r="B139" s="1" t="n">
        <v>44964</v>
      </c>
      <c r="C139" s="1" t="n">
        <v>46092</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3152-2023</t>
        </is>
      </c>
      <c r="B140" s="1" t="n">
        <v>44946</v>
      </c>
      <c r="C140" s="1" t="n">
        <v>46092</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52427-2021</t>
        </is>
      </c>
      <c r="B141" s="1" t="n">
        <v>44466.34178240741</v>
      </c>
      <c r="C141" s="1" t="n">
        <v>46092</v>
      </c>
      <c r="D141" t="inlineStr">
        <is>
          <t>JÄMTLANDS LÄN</t>
        </is>
      </c>
      <c r="E141" t="inlineStr">
        <is>
          <t>ÅRE</t>
        </is>
      </c>
      <c r="G141" t="n">
        <v>4</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HYPERLINK("https://klasma.github.io/Logging_2321/artfynd/A 52427-2021 artfynd.xlsx", "A 52427-2021")</f>
        <v/>
      </c>
      <c r="T141">
        <f>HYPERLINK("https://klasma.github.io/Logging_2321/kartor/A 52427-2021 karta.png", "A 52427-2021")</f>
        <v/>
      </c>
      <c r="V141">
        <f>HYPERLINK("https://klasma.github.io/Logging_2321/klagomål/A 52427-2021 FSC-klagomål.docx", "A 52427-2021")</f>
        <v/>
      </c>
      <c r="W141">
        <f>HYPERLINK("https://klasma.github.io/Logging_2321/klagomålsmail/A 52427-2021 FSC-klagomål mail.docx", "A 52427-2021")</f>
        <v/>
      </c>
      <c r="X141">
        <f>HYPERLINK("https://klasma.github.io/Logging_2321/tillsyn/A 52427-2021 tillsynsbegäran.docx", "A 52427-2021")</f>
        <v/>
      </c>
      <c r="Y141">
        <f>HYPERLINK("https://klasma.github.io/Logging_2321/tillsynsmail/A 52427-2021 tillsynsbegäran mail.docx", "A 52427-2021")</f>
        <v/>
      </c>
      <c r="Z141">
        <f>HYPERLINK("https://klasma.github.io/Logging_2321/fåglar/A 52427-2021 prioriterade fågelarter.docx", "A 52427-2021")</f>
        <v/>
      </c>
    </row>
    <row r="142" ht="15" customHeight="1">
      <c r="A142" t="inlineStr">
        <is>
          <t>A 20501-2021</t>
        </is>
      </c>
      <c r="B142" s="1" t="n">
        <v>44315.68802083333</v>
      </c>
      <c r="C142" s="1" t="n">
        <v>46092</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46092</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46092</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20500-2021</t>
        </is>
      </c>
      <c r="B145" s="1" t="n">
        <v>44315.68729166667</v>
      </c>
      <c r="C145" s="1" t="n">
        <v>46092</v>
      </c>
      <c r="D145" t="inlineStr">
        <is>
          <t>JÄMTLANDS LÄN</t>
        </is>
      </c>
      <c r="E145" t="inlineStr">
        <is>
          <t>ÅRE</t>
        </is>
      </c>
      <c r="G145" t="n">
        <v>3</v>
      </c>
      <c r="H145" t="n">
        <v>0</v>
      </c>
      <c r="I145" t="n">
        <v>1</v>
      </c>
      <c r="J145" t="n">
        <v>0</v>
      </c>
      <c r="K145" t="n">
        <v>0</v>
      </c>
      <c r="L145" t="n">
        <v>0</v>
      </c>
      <c r="M145" t="n">
        <v>0</v>
      </c>
      <c r="N145" t="n">
        <v>0</v>
      </c>
      <c r="O145" t="n">
        <v>0</v>
      </c>
      <c r="P145" t="n">
        <v>0</v>
      </c>
      <c r="Q145" t="n">
        <v>1</v>
      </c>
      <c r="R145" s="2" t="inlineStr">
        <is>
          <t>Svart trolldruva</t>
        </is>
      </c>
      <c r="S145">
        <f>HYPERLINK("https://klasma.github.io/Logging_2321/artfynd/A 20500-2021 artfynd.xlsx", "A 20500-2021")</f>
        <v/>
      </c>
      <c r="T145">
        <f>HYPERLINK("https://klasma.github.io/Logging_2321/kartor/A 20500-2021 karta.png", "A 20500-2021")</f>
        <v/>
      </c>
      <c r="V145">
        <f>HYPERLINK("https://klasma.github.io/Logging_2321/klagomål/A 20500-2021 FSC-klagomål.docx", "A 20500-2021")</f>
        <v/>
      </c>
      <c r="W145">
        <f>HYPERLINK("https://klasma.github.io/Logging_2321/klagomålsmail/A 20500-2021 FSC-klagomål mail.docx", "A 20500-2021")</f>
        <v/>
      </c>
      <c r="X145">
        <f>HYPERLINK("https://klasma.github.io/Logging_2321/tillsyn/A 20500-2021 tillsynsbegäran.docx", "A 20500-2021")</f>
        <v/>
      </c>
      <c r="Y145">
        <f>HYPERLINK("https://klasma.github.io/Logging_2321/tillsynsmail/A 20500-2021 tillsynsbegäran mail.docx", "A 20500-2021")</f>
        <v/>
      </c>
    </row>
    <row r="146" ht="15" customHeight="1">
      <c r="A146" t="inlineStr">
        <is>
          <t>A 8131-2024</t>
        </is>
      </c>
      <c r="B146" s="1" t="n">
        <v>45351</v>
      </c>
      <c r="C146" s="1" t="n">
        <v>46092</v>
      </c>
      <c r="D146" t="inlineStr">
        <is>
          <t>JÄMTLANDS LÄN</t>
        </is>
      </c>
      <c r="E146" t="inlineStr">
        <is>
          <t>ÅRE</t>
        </is>
      </c>
      <c r="F146" t="inlineStr">
        <is>
          <t>Övriga Aktiebolag</t>
        </is>
      </c>
      <c r="G146" t="n">
        <v>3.1</v>
      </c>
      <c r="H146" t="n">
        <v>0</v>
      </c>
      <c r="I146" t="n">
        <v>0</v>
      </c>
      <c r="J146" t="n">
        <v>0</v>
      </c>
      <c r="K146" t="n">
        <v>1</v>
      </c>
      <c r="L146" t="n">
        <v>0</v>
      </c>
      <c r="M146" t="n">
        <v>0</v>
      </c>
      <c r="N146" t="n">
        <v>0</v>
      </c>
      <c r="O146" t="n">
        <v>1</v>
      </c>
      <c r="P146" t="n">
        <v>1</v>
      </c>
      <c r="Q146" t="n">
        <v>1</v>
      </c>
      <c r="R146" s="2" t="inlineStr">
        <is>
          <t>Gräddporing</t>
        </is>
      </c>
      <c r="S146">
        <f>HYPERLINK("https://klasma.github.io/Logging_2321/artfynd/A 8131-2024 artfynd.xlsx", "A 8131-2024")</f>
        <v/>
      </c>
      <c r="T146">
        <f>HYPERLINK("https://klasma.github.io/Logging_2321/kartor/A 8131-2024 karta.png", "A 8131-2024")</f>
        <v/>
      </c>
      <c r="V146">
        <f>HYPERLINK("https://klasma.github.io/Logging_2321/klagomål/A 8131-2024 FSC-klagomål.docx", "A 8131-2024")</f>
        <v/>
      </c>
      <c r="W146">
        <f>HYPERLINK("https://klasma.github.io/Logging_2321/klagomålsmail/A 8131-2024 FSC-klagomål mail.docx", "A 8131-2024")</f>
        <v/>
      </c>
      <c r="X146">
        <f>HYPERLINK("https://klasma.github.io/Logging_2321/tillsyn/A 8131-2024 tillsynsbegäran.docx", "A 8131-2024")</f>
        <v/>
      </c>
      <c r="Y146">
        <f>HYPERLINK("https://klasma.github.io/Logging_2321/tillsynsmail/A 8131-2024 tillsynsbegäran mail.docx", "A 8131-2024")</f>
        <v/>
      </c>
    </row>
    <row r="147" ht="15" customHeight="1">
      <c r="A147" t="inlineStr">
        <is>
          <t>A 55718-2025</t>
        </is>
      </c>
      <c r="B147" s="1" t="n">
        <v>45972.49988425926</v>
      </c>
      <c r="C147" s="1" t="n">
        <v>46092</v>
      </c>
      <c r="D147" t="inlineStr">
        <is>
          <t>JÄMTLANDS LÄN</t>
        </is>
      </c>
      <c r="E147" t="inlineStr">
        <is>
          <t>ÅRE</t>
        </is>
      </c>
      <c r="F147" t="inlineStr">
        <is>
          <t>Övriga Aktiebolag</t>
        </is>
      </c>
      <c r="G147" t="n">
        <v>1.1</v>
      </c>
      <c r="H147" t="n">
        <v>1</v>
      </c>
      <c r="I147" t="n">
        <v>0</v>
      </c>
      <c r="J147" t="n">
        <v>0</v>
      </c>
      <c r="K147" t="n">
        <v>0</v>
      </c>
      <c r="L147" t="n">
        <v>0</v>
      </c>
      <c r="M147" t="n">
        <v>0</v>
      </c>
      <c r="N147" t="n">
        <v>0</v>
      </c>
      <c r="O147" t="n">
        <v>0</v>
      </c>
      <c r="P147" t="n">
        <v>0</v>
      </c>
      <c r="Q147" t="n">
        <v>1</v>
      </c>
      <c r="R147" s="2" t="inlineStr">
        <is>
          <t>Sparvuggla</t>
        </is>
      </c>
      <c r="S147">
        <f>HYPERLINK("https://klasma.github.io/Logging_2321/artfynd/A 55718-2025 artfynd.xlsx", "A 55718-2025")</f>
        <v/>
      </c>
      <c r="T147">
        <f>HYPERLINK("https://klasma.github.io/Logging_2321/kartor/A 55718-2025 karta.png", "A 55718-2025")</f>
        <v/>
      </c>
      <c r="V147">
        <f>HYPERLINK("https://klasma.github.io/Logging_2321/klagomål/A 55718-2025 FSC-klagomål.docx", "A 55718-2025")</f>
        <v/>
      </c>
      <c r="W147">
        <f>HYPERLINK("https://klasma.github.io/Logging_2321/klagomålsmail/A 55718-2025 FSC-klagomål mail.docx", "A 55718-2025")</f>
        <v/>
      </c>
      <c r="X147">
        <f>HYPERLINK("https://klasma.github.io/Logging_2321/tillsyn/A 55718-2025 tillsynsbegäran.docx", "A 55718-2025")</f>
        <v/>
      </c>
      <c r="Y147">
        <f>HYPERLINK("https://klasma.github.io/Logging_2321/tillsynsmail/A 55718-2025 tillsynsbegäran mail.docx", "A 55718-2025")</f>
        <v/>
      </c>
      <c r="Z147">
        <f>HYPERLINK("https://klasma.github.io/Logging_2321/fåglar/A 55718-2025 prioriterade fågelarter.docx", "A 55718-2025")</f>
        <v/>
      </c>
    </row>
    <row r="148" ht="15" customHeight="1">
      <c r="A148" t="inlineStr">
        <is>
          <t>A 61471-2023</t>
        </is>
      </c>
      <c r="B148" s="1" t="n">
        <v>45264</v>
      </c>
      <c r="C148" s="1" t="n">
        <v>46092</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18543-2021</t>
        </is>
      </c>
      <c r="B149" s="1" t="n">
        <v>44306</v>
      </c>
      <c r="C149" s="1" t="n">
        <v>46092</v>
      </c>
      <c r="D149" t="inlineStr">
        <is>
          <t>JÄMTLANDS LÄN</t>
        </is>
      </c>
      <c r="E149" t="inlineStr">
        <is>
          <t>ÅRE</t>
        </is>
      </c>
      <c r="G149" t="n">
        <v>1.7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18543-2021 artfynd.xlsx", "A 18543-2021")</f>
        <v/>
      </c>
      <c r="T149">
        <f>HYPERLINK("https://klasma.github.io/Logging_2321/kartor/A 18543-2021 karta.png", "A 18543-2021")</f>
        <v/>
      </c>
      <c r="V149">
        <f>HYPERLINK("https://klasma.github.io/Logging_2321/klagomål/A 18543-2021 FSC-klagomål.docx", "A 18543-2021")</f>
        <v/>
      </c>
      <c r="W149">
        <f>HYPERLINK("https://klasma.github.io/Logging_2321/klagomålsmail/A 18543-2021 FSC-klagomål mail.docx", "A 18543-2021")</f>
        <v/>
      </c>
      <c r="X149">
        <f>HYPERLINK("https://klasma.github.io/Logging_2321/tillsyn/A 18543-2021 tillsynsbegäran.docx", "A 18543-2021")</f>
        <v/>
      </c>
      <c r="Y149">
        <f>HYPERLINK("https://klasma.github.io/Logging_2321/tillsynsmail/A 18543-2021 tillsynsbegäran mail.docx", "A 18543-2021")</f>
        <v/>
      </c>
      <c r="Z149">
        <f>HYPERLINK("https://klasma.github.io/Logging_2321/fåglar/A 18543-2021 prioriterade fågelarter.docx", "A 18543-2021")</f>
        <v/>
      </c>
    </row>
    <row r="150" ht="15" customHeight="1">
      <c r="A150" t="inlineStr">
        <is>
          <t>A 14245-2025</t>
        </is>
      </c>
      <c r="B150" s="1" t="n">
        <v>45740</v>
      </c>
      <c r="C150" s="1" t="n">
        <v>46092</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23818-2025</t>
        </is>
      </c>
      <c r="B151" s="1" t="n">
        <v>45793.58469907408</v>
      </c>
      <c r="C151" s="1" t="n">
        <v>46092</v>
      </c>
      <c r="D151" t="inlineStr">
        <is>
          <t>JÄMTLANDS LÄN</t>
        </is>
      </c>
      <c r="E151" t="inlineStr">
        <is>
          <t>ÅRE</t>
        </is>
      </c>
      <c r="G151" t="n">
        <v>7.5</v>
      </c>
      <c r="H151" t="n">
        <v>1</v>
      </c>
      <c r="I151" t="n">
        <v>0</v>
      </c>
      <c r="J151" t="n">
        <v>0</v>
      </c>
      <c r="K151" t="n">
        <v>0</v>
      </c>
      <c r="L151" t="n">
        <v>0</v>
      </c>
      <c r="M151" t="n">
        <v>0</v>
      </c>
      <c r="N151" t="n">
        <v>0</v>
      </c>
      <c r="O151" t="n">
        <v>0</v>
      </c>
      <c r="P151" t="n">
        <v>0</v>
      </c>
      <c r="Q151" t="n">
        <v>1</v>
      </c>
      <c r="R151" s="2" t="inlineStr">
        <is>
          <t>Tjäder</t>
        </is>
      </c>
      <c r="S151">
        <f>HYPERLINK("https://klasma.github.io/Logging_2321/artfynd/A 23818-2025 artfynd.xlsx", "A 23818-2025")</f>
        <v/>
      </c>
      <c r="T151">
        <f>HYPERLINK("https://klasma.github.io/Logging_2321/kartor/A 23818-2025 karta.png", "A 23818-2025")</f>
        <v/>
      </c>
      <c r="V151">
        <f>HYPERLINK("https://klasma.github.io/Logging_2321/klagomål/A 23818-2025 FSC-klagomål.docx", "A 23818-2025")</f>
        <v/>
      </c>
      <c r="W151">
        <f>HYPERLINK("https://klasma.github.io/Logging_2321/klagomålsmail/A 23818-2025 FSC-klagomål mail.docx", "A 23818-2025")</f>
        <v/>
      </c>
      <c r="X151">
        <f>HYPERLINK("https://klasma.github.io/Logging_2321/tillsyn/A 23818-2025 tillsynsbegäran.docx", "A 23818-2025")</f>
        <v/>
      </c>
      <c r="Y151">
        <f>HYPERLINK("https://klasma.github.io/Logging_2321/tillsynsmail/A 23818-2025 tillsynsbegäran mail.docx", "A 23818-2025")</f>
        <v/>
      </c>
      <c r="Z151">
        <f>HYPERLINK("https://klasma.github.io/Logging_2321/fåglar/A 23818-2025 prioriterade fågelarter.docx", "A 23818-2025")</f>
        <v/>
      </c>
    </row>
    <row r="152" ht="15" customHeight="1">
      <c r="A152" t="inlineStr">
        <is>
          <t>A 15909-2025</t>
        </is>
      </c>
      <c r="B152" s="1" t="n">
        <v>45749</v>
      </c>
      <c r="C152" s="1" t="n">
        <v>46092</v>
      </c>
      <c r="D152" t="inlineStr">
        <is>
          <t>JÄMTLANDS LÄN</t>
        </is>
      </c>
      <c r="E152" t="inlineStr">
        <is>
          <t>ÅRE</t>
        </is>
      </c>
      <c r="G152" t="n">
        <v>23.8</v>
      </c>
      <c r="H152" t="n">
        <v>0</v>
      </c>
      <c r="I152" t="n">
        <v>0</v>
      </c>
      <c r="J152" t="n">
        <v>1</v>
      </c>
      <c r="K152" t="n">
        <v>0</v>
      </c>
      <c r="L152" t="n">
        <v>0</v>
      </c>
      <c r="M152" t="n">
        <v>0</v>
      </c>
      <c r="N152" t="n">
        <v>0</v>
      </c>
      <c r="O152" t="n">
        <v>1</v>
      </c>
      <c r="P152" t="n">
        <v>0</v>
      </c>
      <c r="Q152" t="n">
        <v>1</v>
      </c>
      <c r="R152" s="2" t="inlineStr">
        <is>
          <t>Garnlav</t>
        </is>
      </c>
      <c r="S152">
        <f>HYPERLINK("https://klasma.github.io/Logging_2321/artfynd/A 15909-2025 artfynd.xlsx", "A 15909-2025")</f>
        <v/>
      </c>
      <c r="T152">
        <f>HYPERLINK("https://klasma.github.io/Logging_2321/kartor/A 15909-2025 karta.png", "A 15909-2025")</f>
        <v/>
      </c>
      <c r="V152">
        <f>HYPERLINK("https://klasma.github.io/Logging_2321/klagomål/A 15909-2025 FSC-klagomål.docx", "A 15909-2025")</f>
        <v/>
      </c>
      <c r="W152">
        <f>HYPERLINK("https://klasma.github.io/Logging_2321/klagomålsmail/A 15909-2025 FSC-klagomål mail.docx", "A 15909-2025")</f>
        <v/>
      </c>
      <c r="X152">
        <f>HYPERLINK("https://klasma.github.io/Logging_2321/tillsyn/A 15909-2025 tillsynsbegäran.docx", "A 15909-2025")</f>
        <v/>
      </c>
      <c r="Y152">
        <f>HYPERLINK("https://klasma.github.io/Logging_2321/tillsynsmail/A 15909-2025 tillsynsbegäran mail.docx", "A 15909-2025")</f>
        <v/>
      </c>
    </row>
    <row r="153" ht="15" customHeight="1">
      <c r="A153" t="inlineStr">
        <is>
          <t>A 4937-2025</t>
        </is>
      </c>
      <c r="B153" s="1" t="n">
        <v>45688</v>
      </c>
      <c r="C153" s="1" t="n">
        <v>46092</v>
      </c>
      <c r="D153" t="inlineStr">
        <is>
          <t>JÄMTLANDS LÄN</t>
        </is>
      </c>
      <c r="E153" t="inlineStr">
        <is>
          <t>ÅRE</t>
        </is>
      </c>
      <c r="G153" t="n">
        <v>1.8</v>
      </c>
      <c r="H153" t="n">
        <v>0</v>
      </c>
      <c r="I153" t="n">
        <v>0</v>
      </c>
      <c r="J153" t="n">
        <v>1</v>
      </c>
      <c r="K153" t="n">
        <v>0</v>
      </c>
      <c r="L153" t="n">
        <v>0</v>
      </c>
      <c r="M153" t="n">
        <v>0</v>
      </c>
      <c r="N153" t="n">
        <v>0</v>
      </c>
      <c r="O153" t="n">
        <v>1</v>
      </c>
      <c r="P153" t="n">
        <v>0</v>
      </c>
      <c r="Q153" t="n">
        <v>1</v>
      </c>
      <c r="R153" s="2" t="inlineStr">
        <is>
          <t>Granticka</t>
        </is>
      </c>
      <c r="S153">
        <f>HYPERLINK("https://klasma.github.io/Logging_2321/artfynd/A 4937-2025 artfynd.xlsx", "A 4937-2025")</f>
        <v/>
      </c>
      <c r="T153">
        <f>HYPERLINK("https://klasma.github.io/Logging_2321/kartor/A 4937-2025 karta.png", "A 4937-2025")</f>
        <v/>
      </c>
      <c r="V153">
        <f>HYPERLINK("https://klasma.github.io/Logging_2321/klagomål/A 4937-2025 FSC-klagomål.docx", "A 4937-2025")</f>
        <v/>
      </c>
      <c r="W153">
        <f>HYPERLINK("https://klasma.github.io/Logging_2321/klagomålsmail/A 4937-2025 FSC-klagomål mail.docx", "A 4937-2025")</f>
        <v/>
      </c>
      <c r="X153">
        <f>HYPERLINK("https://klasma.github.io/Logging_2321/tillsyn/A 4937-2025 tillsynsbegäran.docx", "A 4937-2025")</f>
        <v/>
      </c>
      <c r="Y153">
        <f>HYPERLINK("https://klasma.github.io/Logging_2321/tillsynsmail/A 4937-2025 tillsynsbegäran mail.docx", "A 4937-2025")</f>
        <v/>
      </c>
    </row>
    <row r="154" ht="15" customHeight="1">
      <c r="A154" t="inlineStr">
        <is>
          <t>A 57493-2025</t>
        </is>
      </c>
      <c r="B154" s="1" t="n">
        <v>45980</v>
      </c>
      <c r="C154" s="1" t="n">
        <v>46092</v>
      </c>
      <c r="D154" t="inlineStr">
        <is>
          <t>JÄMTLANDS LÄN</t>
        </is>
      </c>
      <c r="E154" t="inlineStr">
        <is>
          <t>ÅRE</t>
        </is>
      </c>
      <c r="G154" t="n">
        <v>164</v>
      </c>
      <c r="H154" t="n">
        <v>0</v>
      </c>
      <c r="I154" t="n">
        <v>0</v>
      </c>
      <c r="J154" t="n">
        <v>1</v>
      </c>
      <c r="K154" t="n">
        <v>0</v>
      </c>
      <c r="L154" t="n">
        <v>0</v>
      </c>
      <c r="M154" t="n">
        <v>0</v>
      </c>
      <c r="N154" t="n">
        <v>0</v>
      </c>
      <c r="O154" t="n">
        <v>1</v>
      </c>
      <c r="P154" t="n">
        <v>0</v>
      </c>
      <c r="Q154" t="n">
        <v>1</v>
      </c>
      <c r="R154" s="2" t="inlineStr">
        <is>
          <t>Doftskinn</t>
        </is>
      </c>
      <c r="S154">
        <f>HYPERLINK("https://klasma.github.io/Logging_2321/artfynd/A 57493-2025 artfynd.xlsx", "A 57493-2025")</f>
        <v/>
      </c>
      <c r="T154">
        <f>HYPERLINK("https://klasma.github.io/Logging_2321/kartor/A 57493-2025 karta.png", "A 57493-2025")</f>
        <v/>
      </c>
      <c r="V154">
        <f>HYPERLINK("https://klasma.github.io/Logging_2321/klagomål/A 57493-2025 FSC-klagomål.docx", "A 57493-2025")</f>
        <v/>
      </c>
      <c r="W154">
        <f>HYPERLINK("https://klasma.github.io/Logging_2321/klagomålsmail/A 57493-2025 FSC-klagomål mail.docx", "A 57493-2025")</f>
        <v/>
      </c>
      <c r="X154">
        <f>HYPERLINK("https://klasma.github.io/Logging_2321/tillsyn/A 57493-2025 tillsynsbegäran.docx", "A 57493-2025")</f>
        <v/>
      </c>
      <c r="Y154">
        <f>HYPERLINK("https://klasma.github.io/Logging_2321/tillsynsmail/A 57493-2025 tillsynsbegäran mail.docx", "A 57493-2025")</f>
        <v/>
      </c>
    </row>
    <row r="155" ht="15" customHeight="1">
      <c r="A155" t="inlineStr">
        <is>
          <t>A 55194-2022</t>
        </is>
      </c>
      <c r="B155" s="1" t="n">
        <v>44886</v>
      </c>
      <c r="C155" s="1" t="n">
        <v>46092</v>
      </c>
      <c r="D155" t="inlineStr">
        <is>
          <t>JÄMTLANDS LÄN</t>
        </is>
      </c>
      <c r="E155" t="inlineStr">
        <is>
          <t>ÅRE</t>
        </is>
      </c>
      <c r="F155" t="inlineStr">
        <is>
          <t>Övriga Aktiebolag</t>
        </is>
      </c>
      <c r="G155" t="n">
        <v>1.7</v>
      </c>
      <c r="H155" t="n">
        <v>0</v>
      </c>
      <c r="I155" t="n">
        <v>0</v>
      </c>
      <c r="J155" t="n">
        <v>1</v>
      </c>
      <c r="K155" t="n">
        <v>0</v>
      </c>
      <c r="L155" t="n">
        <v>0</v>
      </c>
      <c r="M155" t="n">
        <v>0</v>
      </c>
      <c r="N155" t="n">
        <v>0</v>
      </c>
      <c r="O155" t="n">
        <v>1</v>
      </c>
      <c r="P155" t="n">
        <v>0</v>
      </c>
      <c r="Q155" t="n">
        <v>1</v>
      </c>
      <c r="R155" s="2" t="inlineStr">
        <is>
          <t>Vitskaftad svartspik</t>
        </is>
      </c>
      <c r="S155">
        <f>HYPERLINK("https://klasma.github.io/Logging_2321/artfynd/A 55194-2022 artfynd.xlsx", "A 55194-2022")</f>
        <v/>
      </c>
      <c r="T155">
        <f>HYPERLINK("https://klasma.github.io/Logging_2321/kartor/A 55194-2022 karta.png", "A 55194-2022")</f>
        <v/>
      </c>
      <c r="V155">
        <f>HYPERLINK("https://klasma.github.io/Logging_2321/klagomål/A 55194-2022 FSC-klagomål.docx", "A 55194-2022")</f>
        <v/>
      </c>
      <c r="W155">
        <f>HYPERLINK("https://klasma.github.io/Logging_2321/klagomålsmail/A 55194-2022 FSC-klagomål mail.docx", "A 55194-2022")</f>
        <v/>
      </c>
      <c r="X155">
        <f>HYPERLINK("https://klasma.github.io/Logging_2321/tillsyn/A 55194-2022 tillsynsbegäran.docx", "A 55194-2022")</f>
        <v/>
      </c>
      <c r="Y155">
        <f>HYPERLINK("https://klasma.github.io/Logging_2321/tillsynsmail/A 55194-2022 tillsynsbegäran mail.docx", "A 55194-2022")</f>
        <v/>
      </c>
    </row>
    <row r="156" ht="15" customHeight="1">
      <c r="A156" t="inlineStr">
        <is>
          <t>A 7854-2026</t>
        </is>
      </c>
      <c r="B156" s="1" t="n">
        <v>46062.67063657408</v>
      </c>
      <c r="C156" s="1" t="n">
        <v>46092</v>
      </c>
      <c r="D156" t="inlineStr">
        <is>
          <t>JÄMTLANDS LÄN</t>
        </is>
      </c>
      <c r="E156" t="inlineStr">
        <is>
          <t>ÅRE</t>
        </is>
      </c>
      <c r="G156" t="n">
        <v>6.5</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7854-2026 artfynd.xlsx", "A 7854-2026")</f>
        <v/>
      </c>
      <c r="T156">
        <f>HYPERLINK("https://klasma.github.io/Logging_2321/kartor/A 7854-2026 karta.png", "A 7854-2026")</f>
        <v/>
      </c>
      <c r="V156">
        <f>HYPERLINK("https://klasma.github.io/Logging_2321/klagomål/A 7854-2026 FSC-klagomål.docx", "A 7854-2026")</f>
        <v/>
      </c>
      <c r="W156">
        <f>HYPERLINK("https://klasma.github.io/Logging_2321/klagomålsmail/A 7854-2026 FSC-klagomål mail.docx", "A 7854-2026")</f>
        <v/>
      </c>
      <c r="X156">
        <f>HYPERLINK("https://klasma.github.io/Logging_2321/tillsyn/A 7854-2026 tillsynsbegäran.docx", "A 7854-2026")</f>
        <v/>
      </c>
      <c r="Y156">
        <f>HYPERLINK("https://klasma.github.io/Logging_2321/tillsynsmail/A 7854-2026 tillsynsbegäran mail.docx", "A 7854-2026")</f>
        <v/>
      </c>
      <c r="Z156">
        <f>HYPERLINK("https://klasma.github.io/Logging_2321/fåglar/A 7854-2026 prioriterade fågelarter.docx", "A 7854-2026")</f>
        <v/>
      </c>
    </row>
    <row r="157" ht="15" customHeight="1">
      <c r="A157" t="inlineStr">
        <is>
          <t>A 6628-2026</t>
        </is>
      </c>
      <c r="B157" s="1" t="n">
        <v>46056.51855324074</v>
      </c>
      <c r="C157" s="1" t="n">
        <v>46092</v>
      </c>
      <c r="D157" t="inlineStr">
        <is>
          <t>JÄMTLANDS LÄN</t>
        </is>
      </c>
      <c r="E157" t="inlineStr">
        <is>
          <t>ÅRE</t>
        </is>
      </c>
      <c r="G157" t="n">
        <v>33.1</v>
      </c>
      <c r="H157" t="n">
        <v>0</v>
      </c>
      <c r="I157" t="n">
        <v>1</v>
      </c>
      <c r="J157" t="n">
        <v>0</v>
      </c>
      <c r="K157" t="n">
        <v>0</v>
      </c>
      <c r="L157" t="n">
        <v>0</v>
      </c>
      <c r="M157" t="n">
        <v>0</v>
      </c>
      <c r="N157" t="n">
        <v>0</v>
      </c>
      <c r="O157" t="n">
        <v>0</v>
      </c>
      <c r="P157" t="n">
        <v>0</v>
      </c>
      <c r="Q157" t="n">
        <v>1</v>
      </c>
      <c r="R157" s="2" t="inlineStr">
        <is>
          <t>Kransrams</t>
        </is>
      </c>
      <c r="S157">
        <f>HYPERLINK("https://klasma.github.io/Logging_2321/artfynd/A 6628-2026 artfynd.xlsx", "A 6628-2026")</f>
        <v/>
      </c>
      <c r="T157">
        <f>HYPERLINK("https://klasma.github.io/Logging_2321/kartor/A 6628-2026 karta.png", "A 6628-2026")</f>
        <v/>
      </c>
      <c r="V157">
        <f>HYPERLINK("https://klasma.github.io/Logging_2321/klagomål/A 6628-2026 FSC-klagomål.docx", "A 6628-2026")</f>
        <v/>
      </c>
      <c r="W157">
        <f>HYPERLINK("https://klasma.github.io/Logging_2321/klagomålsmail/A 6628-2026 FSC-klagomål mail.docx", "A 6628-2026")</f>
        <v/>
      </c>
      <c r="X157">
        <f>HYPERLINK("https://klasma.github.io/Logging_2321/tillsyn/A 6628-2026 tillsynsbegäran.docx", "A 6628-2026")</f>
        <v/>
      </c>
      <c r="Y157">
        <f>HYPERLINK("https://klasma.github.io/Logging_2321/tillsynsmail/A 6628-2026 tillsynsbegäran mail.docx", "A 6628-2026")</f>
        <v/>
      </c>
    </row>
    <row r="158" ht="15" customHeight="1">
      <c r="A158" t="inlineStr">
        <is>
          <t>A 53462-2024</t>
        </is>
      </c>
      <c r="B158" s="1" t="n">
        <v>45614.55241898148</v>
      </c>
      <c r="C158" s="1" t="n">
        <v>46092</v>
      </c>
      <c r="D158" t="inlineStr">
        <is>
          <t>JÄMTLANDS LÄN</t>
        </is>
      </c>
      <c r="E158" t="inlineStr">
        <is>
          <t>ÅRE</t>
        </is>
      </c>
      <c r="G158" t="n">
        <v>12.8</v>
      </c>
      <c r="H158" t="n">
        <v>0</v>
      </c>
      <c r="I158" t="n">
        <v>0</v>
      </c>
      <c r="J158" t="n">
        <v>1</v>
      </c>
      <c r="K158" t="n">
        <v>0</v>
      </c>
      <c r="L158" t="n">
        <v>0</v>
      </c>
      <c r="M158" t="n">
        <v>0</v>
      </c>
      <c r="N158" t="n">
        <v>0</v>
      </c>
      <c r="O158" t="n">
        <v>1</v>
      </c>
      <c r="P158" t="n">
        <v>0</v>
      </c>
      <c r="Q158" t="n">
        <v>1</v>
      </c>
      <c r="R158" s="2" t="inlineStr">
        <is>
          <t>Granticka</t>
        </is>
      </c>
      <c r="S158">
        <f>HYPERLINK("https://klasma.github.io/Logging_2321/artfynd/A 53462-2024 artfynd.xlsx", "A 53462-2024")</f>
        <v/>
      </c>
      <c r="T158">
        <f>HYPERLINK("https://klasma.github.io/Logging_2321/kartor/A 53462-2024 karta.png", "A 53462-2024")</f>
        <v/>
      </c>
      <c r="V158">
        <f>HYPERLINK("https://klasma.github.io/Logging_2321/klagomål/A 53462-2024 FSC-klagomål.docx", "A 53462-2024")</f>
        <v/>
      </c>
      <c r="W158">
        <f>HYPERLINK("https://klasma.github.io/Logging_2321/klagomålsmail/A 53462-2024 FSC-klagomål mail.docx", "A 53462-2024")</f>
        <v/>
      </c>
      <c r="X158">
        <f>HYPERLINK("https://klasma.github.io/Logging_2321/tillsyn/A 53462-2024 tillsynsbegäran.docx", "A 53462-2024")</f>
        <v/>
      </c>
      <c r="Y158">
        <f>HYPERLINK("https://klasma.github.io/Logging_2321/tillsynsmail/A 53462-2024 tillsynsbegäran mail.docx", "A 53462-2024")</f>
        <v/>
      </c>
    </row>
    <row r="159" ht="15" customHeight="1">
      <c r="A159" t="inlineStr">
        <is>
          <t>A 12970-2021</t>
        </is>
      </c>
      <c r="B159" s="1" t="n">
        <v>44271</v>
      </c>
      <c r="C159" s="1" t="n">
        <v>46092</v>
      </c>
      <c r="D159" t="inlineStr">
        <is>
          <t>JÄMTLANDS LÄN</t>
        </is>
      </c>
      <c r="E159" t="inlineStr">
        <is>
          <t>ÅRE</t>
        </is>
      </c>
      <c r="G159" t="n">
        <v>20.5</v>
      </c>
      <c r="H159" t="n">
        <v>1</v>
      </c>
      <c r="I159" t="n">
        <v>1</v>
      </c>
      <c r="J159" t="n">
        <v>0</v>
      </c>
      <c r="K159" t="n">
        <v>0</v>
      </c>
      <c r="L159" t="n">
        <v>0</v>
      </c>
      <c r="M159" t="n">
        <v>0</v>
      </c>
      <c r="N159" t="n">
        <v>0</v>
      </c>
      <c r="O159" t="n">
        <v>0</v>
      </c>
      <c r="P159" t="n">
        <v>0</v>
      </c>
      <c r="Q159" t="n">
        <v>1</v>
      </c>
      <c r="R159" s="2" t="inlineStr">
        <is>
          <t>Spindelblomster</t>
        </is>
      </c>
      <c r="S159">
        <f>HYPERLINK("https://klasma.github.io/Logging_2321/artfynd/A 12970-2021 artfynd.xlsx", "A 12970-2021")</f>
        <v/>
      </c>
      <c r="T159">
        <f>HYPERLINK("https://klasma.github.io/Logging_2321/kartor/A 12970-2021 karta.png", "A 12970-2021")</f>
        <v/>
      </c>
      <c r="V159">
        <f>HYPERLINK("https://klasma.github.io/Logging_2321/klagomål/A 12970-2021 FSC-klagomål.docx", "A 12970-2021")</f>
        <v/>
      </c>
      <c r="W159">
        <f>HYPERLINK("https://klasma.github.io/Logging_2321/klagomålsmail/A 12970-2021 FSC-klagomål mail.docx", "A 12970-2021")</f>
        <v/>
      </c>
      <c r="X159">
        <f>HYPERLINK("https://klasma.github.io/Logging_2321/tillsyn/A 12970-2021 tillsynsbegäran.docx", "A 12970-2021")</f>
        <v/>
      </c>
      <c r="Y159">
        <f>HYPERLINK("https://klasma.github.io/Logging_2321/tillsynsmail/A 12970-2021 tillsynsbegäran mail.docx", "A 12970-2021")</f>
        <v/>
      </c>
    </row>
    <row r="160" ht="15" customHeight="1">
      <c r="A160" t="inlineStr">
        <is>
          <t>A 6934-2026</t>
        </is>
      </c>
      <c r="B160" s="1" t="n">
        <v>46057.55797453703</v>
      </c>
      <c r="C160" s="1" t="n">
        <v>46092</v>
      </c>
      <c r="D160" t="inlineStr">
        <is>
          <t>JÄMTLANDS LÄN</t>
        </is>
      </c>
      <c r="E160" t="inlineStr">
        <is>
          <t>ÅRE</t>
        </is>
      </c>
      <c r="G160" t="n">
        <v>3.4</v>
      </c>
      <c r="H160" t="n">
        <v>0</v>
      </c>
      <c r="I160" t="n">
        <v>0</v>
      </c>
      <c r="J160" t="n">
        <v>1</v>
      </c>
      <c r="K160" t="n">
        <v>0</v>
      </c>
      <c r="L160" t="n">
        <v>0</v>
      </c>
      <c r="M160" t="n">
        <v>0</v>
      </c>
      <c r="N160" t="n">
        <v>0</v>
      </c>
      <c r="O160" t="n">
        <v>1</v>
      </c>
      <c r="P160" t="n">
        <v>0</v>
      </c>
      <c r="Q160" t="n">
        <v>1</v>
      </c>
      <c r="R160" s="2" t="inlineStr">
        <is>
          <t>Granticka</t>
        </is>
      </c>
      <c r="S160">
        <f>HYPERLINK("https://klasma.github.io/Logging_2321/artfynd/A 6934-2026 artfynd.xlsx", "A 6934-2026")</f>
        <v/>
      </c>
      <c r="T160">
        <f>HYPERLINK("https://klasma.github.io/Logging_2321/kartor/A 6934-2026 karta.png", "A 6934-2026")</f>
        <v/>
      </c>
      <c r="V160">
        <f>HYPERLINK("https://klasma.github.io/Logging_2321/klagomål/A 6934-2026 FSC-klagomål.docx", "A 6934-2026")</f>
        <v/>
      </c>
      <c r="W160">
        <f>HYPERLINK("https://klasma.github.io/Logging_2321/klagomålsmail/A 6934-2026 FSC-klagomål mail.docx", "A 6934-2026")</f>
        <v/>
      </c>
      <c r="X160">
        <f>HYPERLINK("https://klasma.github.io/Logging_2321/tillsyn/A 6934-2026 tillsynsbegäran.docx", "A 6934-2026")</f>
        <v/>
      </c>
      <c r="Y160">
        <f>HYPERLINK("https://klasma.github.io/Logging_2321/tillsynsmail/A 6934-2026 tillsynsbegäran mail.docx", "A 6934-2026")</f>
        <v/>
      </c>
    </row>
    <row r="161" ht="15" customHeight="1">
      <c r="A161" t="inlineStr">
        <is>
          <t>A 12242-2022</t>
        </is>
      </c>
      <c r="B161" s="1" t="n">
        <v>44637</v>
      </c>
      <c r="C161" s="1" t="n">
        <v>46092</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11380-2026</t>
        </is>
      </c>
      <c r="B162" s="1" t="n">
        <v>46083.41158564815</v>
      </c>
      <c r="C162" s="1" t="n">
        <v>46092</v>
      </c>
      <c r="D162" t="inlineStr">
        <is>
          <t>JÄMTLANDS LÄN</t>
        </is>
      </c>
      <c r="E162" t="inlineStr">
        <is>
          <t>ÅRE</t>
        </is>
      </c>
      <c r="G162" t="n">
        <v>50.2</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11380-2026 artfynd.xlsx", "A 11380-2026")</f>
        <v/>
      </c>
      <c r="T162">
        <f>HYPERLINK("https://klasma.github.io/Logging_2321/kartor/A 11380-2026 karta.png", "A 11380-2026")</f>
        <v/>
      </c>
      <c r="V162">
        <f>HYPERLINK("https://klasma.github.io/Logging_2321/klagomål/A 11380-2026 FSC-klagomål.docx", "A 11380-2026")</f>
        <v/>
      </c>
      <c r="W162">
        <f>HYPERLINK("https://klasma.github.io/Logging_2321/klagomålsmail/A 11380-2026 FSC-klagomål mail.docx", "A 11380-2026")</f>
        <v/>
      </c>
      <c r="X162">
        <f>HYPERLINK("https://klasma.github.io/Logging_2321/tillsyn/A 11380-2026 tillsynsbegäran.docx", "A 11380-2026")</f>
        <v/>
      </c>
      <c r="Y162">
        <f>HYPERLINK("https://klasma.github.io/Logging_2321/tillsynsmail/A 11380-2026 tillsynsbegäran mail.docx", "A 11380-2026")</f>
        <v/>
      </c>
      <c r="Z162">
        <f>HYPERLINK("https://klasma.github.io/Logging_2321/fåglar/A 11380-2026 prioriterade fågelarter.docx", "A 11380-2026")</f>
        <v/>
      </c>
    </row>
    <row r="163" ht="15" customHeight="1">
      <c r="A163" t="inlineStr">
        <is>
          <t>A 45144-2024</t>
        </is>
      </c>
      <c r="B163" s="1" t="n">
        <v>45575.63767361111</v>
      </c>
      <c r="C163" s="1" t="n">
        <v>46092</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52746-2024</t>
        </is>
      </c>
      <c r="B164" s="1" t="n">
        <v>45610.4809375</v>
      </c>
      <c r="C164" s="1" t="n">
        <v>46092</v>
      </c>
      <c r="D164" t="inlineStr">
        <is>
          <t>JÄMTLANDS LÄN</t>
        </is>
      </c>
      <c r="E164" t="inlineStr">
        <is>
          <t>ÅRE</t>
        </is>
      </c>
      <c r="G164" t="n">
        <v>1.4</v>
      </c>
      <c r="H164" t="n">
        <v>1</v>
      </c>
      <c r="I164" t="n">
        <v>0</v>
      </c>
      <c r="J164" t="n">
        <v>0</v>
      </c>
      <c r="K164" t="n">
        <v>0</v>
      </c>
      <c r="L164" t="n">
        <v>0</v>
      </c>
      <c r="M164" t="n">
        <v>0</v>
      </c>
      <c r="N164" t="n">
        <v>0</v>
      </c>
      <c r="O164" t="n">
        <v>0</v>
      </c>
      <c r="P164" t="n">
        <v>0</v>
      </c>
      <c r="Q164" t="n">
        <v>1</v>
      </c>
      <c r="R164" s="2" t="inlineStr">
        <is>
          <t>Blåsippa</t>
        </is>
      </c>
      <c r="S164">
        <f>HYPERLINK("https://klasma.github.io/Logging_2321/artfynd/A 52746-2024 artfynd.xlsx", "A 52746-2024")</f>
        <v/>
      </c>
      <c r="T164">
        <f>HYPERLINK("https://klasma.github.io/Logging_2321/kartor/A 52746-2024 karta.png", "A 52746-2024")</f>
        <v/>
      </c>
      <c r="V164">
        <f>HYPERLINK("https://klasma.github.io/Logging_2321/klagomål/A 52746-2024 FSC-klagomål.docx", "A 52746-2024")</f>
        <v/>
      </c>
      <c r="W164">
        <f>HYPERLINK("https://klasma.github.io/Logging_2321/klagomålsmail/A 52746-2024 FSC-klagomål mail.docx", "A 52746-2024")</f>
        <v/>
      </c>
      <c r="X164">
        <f>HYPERLINK("https://klasma.github.io/Logging_2321/tillsyn/A 52746-2024 tillsynsbegäran.docx", "A 52746-2024")</f>
        <v/>
      </c>
      <c r="Y164">
        <f>HYPERLINK("https://klasma.github.io/Logging_2321/tillsynsmail/A 52746-2024 tillsynsbegäran mail.docx", "A 52746-2024")</f>
        <v/>
      </c>
    </row>
    <row r="165" ht="15" customHeight="1">
      <c r="A165" t="inlineStr">
        <is>
          <t>A 37082-2021</t>
        </is>
      </c>
      <c r="B165" s="1" t="n">
        <v>44395</v>
      </c>
      <c r="C165" s="1" t="n">
        <v>46092</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4754-2026</t>
        </is>
      </c>
      <c r="B166" s="1" t="n">
        <v>46048.52958333334</v>
      </c>
      <c r="C166" s="1" t="n">
        <v>46092</v>
      </c>
      <c r="D166" t="inlineStr">
        <is>
          <t>JÄMTLANDS LÄN</t>
        </is>
      </c>
      <c r="E166" t="inlineStr">
        <is>
          <t>ÅRE</t>
        </is>
      </c>
      <c r="G166" t="n">
        <v>8.9</v>
      </c>
      <c r="H166" t="n">
        <v>1</v>
      </c>
      <c r="I166" t="n">
        <v>0</v>
      </c>
      <c r="J166" t="n">
        <v>0</v>
      </c>
      <c r="K166" t="n">
        <v>0</v>
      </c>
      <c r="L166" t="n">
        <v>0</v>
      </c>
      <c r="M166" t="n">
        <v>0</v>
      </c>
      <c r="N166" t="n">
        <v>0</v>
      </c>
      <c r="O166" t="n">
        <v>0</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21939-2025</t>
        </is>
      </c>
      <c r="B167" s="1" t="n">
        <v>45784.58445601852</v>
      </c>
      <c r="C167" s="1" t="n">
        <v>46092</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30032-2024</t>
        </is>
      </c>
      <c r="B168" s="1" t="n">
        <v>45485</v>
      </c>
      <c r="C168" s="1" t="n">
        <v>46092</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12857-2021</t>
        </is>
      </c>
      <c r="B169" s="1" t="n">
        <v>44270</v>
      </c>
      <c r="C169" s="1" t="n">
        <v>46092</v>
      </c>
      <c r="D169" t="inlineStr">
        <is>
          <t>JÄMTLANDS LÄN</t>
        </is>
      </c>
      <c r="E169" t="inlineStr">
        <is>
          <t>ÅRE</t>
        </is>
      </c>
      <c r="F169" t="inlineStr">
        <is>
          <t>Kommuner</t>
        </is>
      </c>
      <c r="G169" t="n">
        <v>17.2</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12857-2021 artfynd.xlsx", "A 12857-2021")</f>
        <v/>
      </c>
      <c r="T169">
        <f>HYPERLINK("https://klasma.github.io/Logging_2321/kartor/A 12857-2021 karta.png", "A 12857-2021")</f>
        <v/>
      </c>
      <c r="V169">
        <f>HYPERLINK("https://klasma.github.io/Logging_2321/klagomål/A 12857-2021 FSC-klagomål.docx", "A 12857-2021")</f>
        <v/>
      </c>
      <c r="W169">
        <f>HYPERLINK("https://klasma.github.io/Logging_2321/klagomålsmail/A 12857-2021 FSC-klagomål mail.docx", "A 12857-2021")</f>
        <v/>
      </c>
      <c r="X169">
        <f>HYPERLINK("https://klasma.github.io/Logging_2321/tillsyn/A 12857-2021 tillsynsbegäran.docx", "A 12857-2021")</f>
        <v/>
      </c>
      <c r="Y169">
        <f>HYPERLINK("https://klasma.github.io/Logging_2321/tillsynsmail/A 12857-2021 tillsynsbegäran mail.docx", "A 12857-2021")</f>
        <v/>
      </c>
      <c r="Z169">
        <f>HYPERLINK("https://klasma.github.io/Logging_2321/fåglar/A 12857-2021 prioriterade fågelarter.docx", "A 12857-2021")</f>
        <v/>
      </c>
    </row>
    <row r="170" ht="15" customHeight="1">
      <c r="A170" t="inlineStr">
        <is>
          <t>A 17692-2022</t>
        </is>
      </c>
      <c r="B170" s="1" t="n">
        <v>44680</v>
      </c>
      <c r="C170" s="1" t="n">
        <v>46092</v>
      </c>
      <c r="D170" t="inlineStr">
        <is>
          <t>JÄMTLANDS LÄN</t>
        </is>
      </c>
      <c r="E170" t="inlineStr">
        <is>
          <t>ÅRE</t>
        </is>
      </c>
      <c r="G170" t="n">
        <v>3.1</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17692-2022 artfynd.xlsx", "A 17692-2022")</f>
        <v/>
      </c>
      <c r="T170">
        <f>HYPERLINK("https://klasma.github.io/Logging_2321/kartor/A 17692-2022 karta.png", "A 17692-2022")</f>
        <v/>
      </c>
      <c r="V170">
        <f>HYPERLINK("https://klasma.github.io/Logging_2321/klagomål/A 17692-2022 FSC-klagomål.docx", "A 17692-2022")</f>
        <v/>
      </c>
      <c r="W170">
        <f>HYPERLINK("https://klasma.github.io/Logging_2321/klagomålsmail/A 17692-2022 FSC-klagomål mail.docx", "A 17692-2022")</f>
        <v/>
      </c>
      <c r="X170">
        <f>HYPERLINK("https://klasma.github.io/Logging_2321/tillsyn/A 17692-2022 tillsynsbegäran.docx", "A 17692-2022")</f>
        <v/>
      </c>
      <c r="Y170">
        <f>HYPERLINK("https://klasma.github.io/Logging_2321/tillsynsmail/A 17692-2022 tillsynsbegäran mail.docx", "A 17692-2022")</f>
        <v/>
      </c>
      <c r="Z170">
        <f>HYPERLINK("https://klasma.github.io/Logging_2321/fåglar/A 17692-2022 prioriterade fågelarter.docx", "A 17692-2022")</f>
        <v/>
      </c>
    </row>
    <row r="171" ht="15" customHeight="1">
      <c r="A171" t="inlineStr">
        <is>
          <t>A 58226-2021</t>
        </is>
      </c>
      <c r="B171" s="1" t="n">
        <v>44487</v>
      </c>
      <c r="C171" s="1" t="n">
        <v>46092</v>
      </c>
      <c r="D171" t="inlineStr">
        <is>
          <t>JÄMTLANDS LÄN</t>
        </is>
      </c>
      <c r="E171" t="inlineStr">
        <is>
          <t>ÅRE</t>
        </is>
      </c>
      <c r="G171" t="n">
        <v>62.3</v>
      </c>
      <c r="H171" t="n">
        <v>0</v>
      </c>
      <c r="I171" t="n">
        <v>1</v>
      </c>
      <c r="J171" t="n">
        <v>0</v>
      </c>
      <c r="K171" t="n">
        <v>0</v>
      </c>
      <c r="L171" t="n">
        <v>0</v>
      </c>
      <c r="M171" t="n">
        <v>0</v>
      </c>
      <c r="N171" t="n">
        <v>0</v>
      </c>
      <c r="O171" t="n">
        <v>0</v>
      </c>
      <c r="P171" t="n">
        <v>0</v>
      </c>
      <c r="Q171" t="n">
        <v>1</v>
      </c>
      <c r="R171" s="2" t="inlineStr">
        <is>
          <t>Kambräken</t>
        </is>
      </c>
      <c r="S171">
        <f>HYPERLINK("https://klasma.github.io/Logging_2321/artfynd/A 58226-2021 artfynd.xlsx", "A 58226-2021")</f>
        <v/>
      </c>
      <c r="T171">
        <f>HYPERLINK("https://klasma.github.io/Logging_2321/kartor/A 58226-2021 karta.png", "A 58226-2021")</f>
        <v/>
      </c>
      <c r="V171">
        <f>HYPERLINK("https://klasma.github.io/Logging_2321/klagomål/A 58226-2021 FSC-klagomål.docx", "A 58226-2021")</f>
        <v/>
      </c>
      <c r="W171">
        <f>HYPERLINK("https://klasma.github.io/Logging_2321/klagomålsmail/A 58226-2021 FSC-klagomål mail.docx", "A 58226-2021")</f>
        <v/>
      </c>
      <c r="X171">
        <f>HYPERLINK("https://klasma.github.io/Logging_2321/tillsyn/A 58226-2021 tillsynsbegäran.docx", "A 58226-2021")</f>
        <v/>
      </c>
      <c r="Y171">
        <f>HYPERLINK("https://klasma.github.io/Logging_2321/tillsynsmail/A 58226-2021 tillsynsbegäran mail.docx", "A 58226-2021")</f>
        <v/>
      </c>
    </row>
    <row r="172" ht="15" customHeight="1">
      <c r="A172" t="inlineStr">
        <is>
          <t>A 32216-2022</t>
        </is>
      </c>
      <c r="B172" s="1" t="n">
        <v>44781</v>
      </c>
      <c r="C172" s="1" t="n">
        <v>46092</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5480-2023</t>
        </is>
      </c>
      <c r="B173" s="1" t="n">
        <v>44957</v>
      </c>
      <c r="C173" s="1" t="n">
        <v>46092</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23556-2021</t>
        </is>
      </c>
      <c r="B174" s="1" t="n">
        <v>44334</v>
      </c>
      <c r="C174" s="1" t="n">
        <v>46092</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74392-2021</t>
        </is>
      </c>
      <c r="B175" s="1" t="n">
        <v>44559</v>
      </c>
      <c r="C175" s="1" t="n">
        <v>46092</v>
      </c>
      <c r="D175" t="inlineStr">
        <is>
          <t>JÄMTLANDS LÄN</t>
        </is>
      </c>
      <c r="E175" t="inlineStr">
        <is>
          <t>ÅRE</t>
        </is>
      </c>
      <c r="G175" t="n">
        <v>11.6</v>
      </c>
      <c r="H175" t="n">
        <v>0</v>
      </c>
      <c r="I175" t="n">
        <v>0</v>
      </c>
      <c r="J175" t="n">
        <v>1</v>
      </c>
      <c r="K175" t="n">
        <v>0</v>
      </c>
      <c r="L175" t="n">
        <v>0</v>
      </c>
      <c r="M175" t="n">
        <v>0</v>
      </c>
      <c r="N175" t="n">
        <v>0</v>
      </c>
      <c r="O175" t="n">
        <v>1</v>
      </c>
      <c r="P175" t="n">
        <v>0</v>
      </c>
      <c r="Q175" t="n">
        <v>1</v>
      </c>
      <c r="R175" s="2" t="inlineStr">
        <is>
          <t>Skrovellav</t>
        </is>
      </c>
      <c r="S175">
        <f>HYPERLINK("https://klasma.github.io/Logging_2321/artfynd/A 74392-2021 artfynd.xlsx", "A 74392-2021")</f>
        <v/>
      </c>
      <c r="T175">
        <f>HYPERLINK("https://klasma.github.io/Logging_2321/kartor/A 74392-2021 karta.png", "A 74392-2021")</f>
        <v/>
      </c>
      <c r="V175">
        <f>HYPERLINK("https://klasma.github.io/Logging_2321/klagomål/A 74392-2021 FSC-klagomål.docx", "A 74392-2021")</f>
        <v/>
      </c>
      <c r="W175">
        <f>HYPERLINK("https://klasma.github.io/Logging_2321/klagomålsmail/A 74392-2021 FSC-klagomål mail.docx", "A 74392-2021")</f>
        <v/>
      </c>
      <c r="X175">
        <f>HYPERLINK("https://klasma.github.io/Logging_2321/tillsyn/A 74392-2021 tillsynsbegäran.docx", "A 74392-2021")</f>
        <v/>
      </c>
      <c r="Y175">
        <f>HYPERLINK("https://klasma.github.io/Logging_2321/tillsynsmail/A 74392-2021 tillsynsbegäran mail.docx", "A 74392-2021")</f>
        <v/>
      </c>
    </row>
    <row r="176" ht="15" customHeight="1">
      <c r="A176" t="inlineStr">
        <is>
          <t>A 10632-2023</t>
        </is>
      </c>
      <c r="B176" s="1" t="n">
        <v>44984</v>
      </c>
      <c r="C176" s="1" t="n">
        <v>46092</v>
      </c>
      <c r="D176" t="inlineStr">
        <is>
          <t>JÄMTLANDS LÄN</t>
        </is>
      </c>
      <c r="E176" t="inlineStr">
        <is>
          <t>ÅRE</t>
        </is>
      </c>
      <c r="G176" t="n">
        <v>5.4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10632-2023 artfynd.xlsx", "A 10632-2023")</f>
        <v/>
      </c>
      <c r="T176">
        <f>HYPERLINK("https://klasma.github.io/Logging_2321/kartor/A 10632-2023 karta.png", "A 10632-2023")</f>
        <v/>
      </c>
      <c r="V176">
        <f>HYPERLINK("https://klasma.github.io/Logging_2321/klagomål/A 10632-2023 FSC-klagomål.docx", "A 10632-2023")</f>
        <v/>
      </c>
      <c r="W176">
        <f>HYPERLINK("https://klasma.github.io/Logging_2321/klagomålsmail/A 10632-2023 FSC-klagomål mail.docx", "A 10632-2023")</f>
        <v/>
      </c>
      <c r="X176">
        <f>HYPERLINK("https://klasma.github.io/Logging_2321/tillsyn/A 10632-2023 tillsynsbegäran.docx", "A 10632-2023")</f>
        <v/>
      </c>
      <c r="Y176">
        <f>HYPERLINK("https://klasma.github.io/Logging_2321/tillsynsmail/A 10632-2023 tillsynsbegäran mail.docx", "A 10632-2023")</f>
        <v/>
      </c>
      <c r="Z176">
        <f>HYPERLINK("https://klasma.github.io/Logging_2321/fåglar/A 10632-2023 prioriterade fågelarter.docx", "A 10632-2023")</f>
        <v/>
      </c>
    </row>
    <row r="177" ht="15" customHeight="1">
      <c r="A177" t="inlineStr">
        <is>
          <t>A 14826-2021</t>
        </is>
      </c>
      <c r="B177" s="1" t="n">
        <v>44280</v>
      </c>
      <c r="C177" s="1" t="n">
        <v>46092</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46092</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46092</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46092</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46092</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46092</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46092</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46092</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46092</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46092</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46092</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46092</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65415-2021</t>
        </is>
      </c>
      <c r="B189" s="1" t="n">
        <v>44515</v>
      </c>
      <c r="C189" s="1" t="n">
        <v>46092</v>
      </c>
      <c r="D189" t="inlineStr">
        <is>
          <t>JÄMTLANDS LÄN</t>
        </is>
      </c>
      <c r="E189" t="inlineStr">
        <is>
          <t>ÅRE</t>
        </is>
      </c>
      <c r="G189" t="n">
        <v>2.7</v>
      </c>
      <c r="H189" t="n">
        <v>0</v>
      </c>
      <c r="I189" t="n">
        <v>0</v>
      </c>
      <c r="J189" t="n">
        <v>0</v>
      </c>
      <c r="K189" t="n">
        <v>0</v>
      </c>
      <c r="L189" t="n">
        <v>0</v>
      </c>
      <c r="M189" t="n">
        <v>0</v>
      </c>
      <c r="N189" t="n">
        <v>0</v>
      </c>
      <c r="O189" t="n">
        <v>0</v>
      </c>
      <c r="P189" t="n">
        <v>0</v>
      </c>
      <c r="Q189" t="n">
        <v>0</v>
      </c>
      <c r="R189" s="2" t="inlineStr"/>
    </row>
    <row r="190" ht="15" customHeight="1">
      <c r="A190" t="inlineStr">
        <is>
          <t>A 67541-2021</t>
        </is>
      </c>
      <c r="B190" s="1" t="n">
        <v>44524</v>
      </c>
      <c r="C190" s="1" t="n">
        <v>46092</v>
      </c>
      <c r="D190" t="inlineStr">
        <is>
          <t>JÄMTLANDS LÄN</t>
        </is>
      </c>
      <c r="E190" t="inlineStr">
        <is>
          <t>ÅRE</t>
        </is>
      </c>
      <c r="G190" t="n">
        <v>3</v>
      </c>
      <c r="H190" t="n">
        <v>0</v>
      </c>
      <c r="I190" t="n">
        <v>0</v>
      </c>
      <c r="J190" t="n">
        <v>0</v>
      </c>
      <c r="K190" t="n">
        <v>0</v>
      </c>
      <c r="L190" t="n">
        <v>0</v>
      </c>
      <c r="M190" t="n">
        <v>0</v>
      </c>
      <c r="N190" t="n">
        <v>0</v>
      </c>
      <c r="O190" t="n">
        <v>0</v>
      </c>
      <c r="P190" t="n">
        <v>0</v>
      </c>
      <c r="Q190" t="n">
        <v>0</v>
      </c>
      <c r="R190" s="2" t="inlineStr"/>
    </row>
    <row r="191" ht="15" customHeight="1">
      <c r="A191" t="inlineStr">
        <is>
          <t>A 22505-2021</t>
        </is>
      </c>
      <c r="B191" s="1" t="n">
        <v>44326</v>
      </c>
      <c r="C191" s="1" t="n">
        <v>46092</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47873-2022</t>
        </is>
      </c>
      <c r="B192" s="1" t="n">
        <v>44855</v>
      </c>
      <c r="C192" s="1" t="n">
        <v>46092</v>
      </c>
      <c r="D192" t="inlineStr">
        <is>
          <t>JÄMTLANDS LÄN</t>
        </is>
      </c>
      <c r="E192" t="inlineStr">
        <is>
          <t>ÅRE</t>
        </is>
      </c>
      <c r="G192" t="n">
        <v>0.5</v>
      </c>
      <c r="H192" t="n">
        <v>0</v>
      </c>
      <c r="I192" t="n">
        <v>0</v>
      </c>
      <c r="J192" t="n">
        <v>0</v>
      </c>
      <c r="K192" t="n">
        <v>0</v>
      </c>
      <c r="L192" t="n">
        <v>0</v>
      </c>
      <c r="M192" t="n">
        <v>0</v>
      </c>
      <c r="N192" t="n">
        <v>0</v>
      </c>
      <c r="O192" t="n">
        <v>0</v>
      </c>
      <c r="P192" t="n">
        <v>0</v>
      </c>
      <c r="Q192" t="n">
        <v>0</v>
      </c>
      <c r="R192" s="2" t="inlineStr"/>
    </row>
    <row r="193" ht="15" customHeight="1">
      <c r="A193" t="inlineStr">
        <is>
          <t>A 62183-2021</t>
        </is>
      </c>
      <c r="B193" s="1" t="n">
        <v>44502</v>
      </c>
      <c r="C193" s="1" t="n">
        <v>46092</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46092</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46092</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46092</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46092</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28881-2021</t>
        </is>
      </c>
      <c r="B198" s="1" t="n">
        <v>44357</v>
      </c>
      <c r="C198" s="1" t="n">
        <v>46092</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73629-2021</t>
        </is>
      </c>
      <c r="B199" s="1" t="n">
        <v>44552</v>
      </c>
      <c r="C199" s="1" t="n">
        <v>46092</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2571-2022</t>
        </is>
      </c>
      <c r="B200" s="1" t="n">
        <v>44580</v>
      </c>
      <c r="C200" s="1" t="n">
        <v>46092</v>
      </c>
      <c r="D200" t="inlineStr">
        <is>
          <t>JÄMTLANDS LÄN</t>
        </is>
      </c>
      <c r="E200" t="inlineStr">
        <is>
          <t>ÅRE</t>
        </is>
      </c>
      <c r="G200" t="n">
        <v>3.7</v>
      </c>
      <c r="H200" t="n">
        <v>0</v>
      </c>
      <c r="I200" t="n">
        <v>0</v>
      </c>
      <c r="J200" t="n">
        <v>0</v>
      </c>
      <c r="K200" t="n">
        <v>0</v>
      </c>
      <c r="L200" t="n">
        <v>0</v>
      </c>
      <c r="M200" t="n">
        <v>0</v>
      </c>
      <c r="N200" t="n">
        <v>0</v>
      </c>
      <c r="O200" t="n">
        <v>0</v>
      </c>
      <c r="P200" t="n">
        <v>0</v>
      </c>
      <c r="Q200" t="n">
        <v>0</v>
      </c>
      <c r="R200" s="2" t="inlineStr"/>
    </row>
    <row r="201" ht="15" customHeight="1">
      <c r="A201" t="inlineStr">
        <is>
          <t>A 14210-2021</t>
        </is>
      </c>
      <c r="B201" s="1" t="n">
        <v>44278.51930555556</v>
      </c>
      <c r="C201" s="1" t="n">
        <v>46092</v>
      </c>
      <c r="D201" t="inlineStr">
        <is>
          <t>JÄMTLANDS LÄN</t>
        </is>
      </c>
      <c r="E201" t="inlineStr">
        <is>
          <t>ÅRE</t>
        </is>
      </c>
      <c r="G201" t="n">
        <v>5.3</v>
      </c>
      <c r="H201" t="n">
        <v>0</v>
      </c>
      <c r="I201" t="n">
        <v>0</v>
      </c>
      <c r="J201" t="n">
        <v>0</v>
      </c>
      <c r="K201" t="n">
        <v>0</v>
      </c>
      <c r="L201" t="n">
        <v>0</v>
      </c>
      <c r="M201" t="n">
        <v>0</v>
      </c>
      <c r="N201" t="n">
        <v>0</v>
      </c>
      <c r="O201" t="n">
        <v>0</v>
      </c>
      <c r="P201" t="n">
        <v>0</v>
      </c>
      <c r="Q201" t="n">
        <v>0</v>
      </c>
      <c r="R201" s="2" t="inlineStr"/>
    </row>
    <row r="202" ht="15" customHeight="1">
      <c r="A202" t="inlineStr">
        <is>
          <t>A 16625-2021</t>
        </is>
      </c>
      <c r="B202" s="1" t="n">
        <v>44294</v>
      </c>
      <c r="C202" s="1" t="n">
        <v>46092</v>
      </c>
      <c r="D202" t="inlineStr">
        <is>
          <t>JÄMTLANDS LÄN</t>
        </is>
      </c>
      <c r="E202" t="inlineStr">
        <is>
          <t>ÅRE</t>
        </is>
      </c>
      <c r="F202" t="inlineStr">
        <is>
          <t>Övriga Aktiebolag</t>
        </is>
      </c>
      <c r="G202" t="n">
        <v>0.1</v>
      </c>
      <c r="H202" t="n">
        <v>0</v>
      </c>
      <c r="I202" t="n">
        <v>0</v>
      </c>
      <c r="J202" t="n">
        <v>0</v>
      </c>
      <c r="K202" t="n">
        <v>0</v>
      </c>
      <c r="L202" t="n">
        <v>0</v>
      </c>
      <c r="M202" t="n">
        <v>0</v>
      </c>
      <c r="N202" t="n">
        <v>0</v>
      </c>
      <c r="O202" t="n">
        <v>0</v>
      </c>
      <c r="P202" t="n">
        <v>0</v>
      </c>
      <c r="Q202" t="n">
        <v>0</v>
      </c>
      <c r="R202" s="2" t="inlineStr"/>
    </row>
    <row r="203" ht="15" customHeight="1">
      <c r="A203" t="inlineStr">
        <is>
          <t>A 58228-2021</t>
        </is>
      </c>
      <c r="B203" s="1" t="n">
        <v>44487</v>
      </c>
      <c r="C203" s="1" t="n">
        <v>46092</v>
      </c>
      <c r="D203" t="inlineStr">
        <is>
          <t>JÄMTLANDS LÄN</t>
        </is>
      </c>
      <c r="E203" t="inlineStr">
        <is>
          <t>ÅRE</t>
        </is>
      </c>
      <c r="G203" t="n">
        <v>46.2</v>
      </c>
      <c r="H203" t="n">
        <v>0</v>
      </c>
      <c r="I203" t="n">
        <v>0</v>
      </c>
      <c r="J203" t="n">
        <v>0</v>
      </c>
      <c r="K203" t="n">
        <v>0</v>
      </c>
      <c r="L203" t="n">
        <v>0</v>
      </c>
      <c r="M203" t="n">
        <v>0</v>
      </c>
      <c r="N203" t="n">
        <v>0</v>
      </c>
      <c r="O203" t="n">
        <v>0</v>
      </c>
      <c r="P203" t="n">
        <v>0</v>
      </c>
      <c r="Q203" t="n">
        <v>0</v>
      </c>
      <c r="R203" s="2" t="inlineStr"/>
    </row>
    <row r="204" ht="15" customHeight="1">
      <c r="A204" t="inlineStr">
        <is>
          <t>A 33565-2022</t>
        </is>
      </c>
      <c r="B204" s="1" t="n">
        <v>44789</v>
      </c>
      <c r="C204" s="1" t="n">
        <v>46092</v>
      </c>
      <c r="D204" t="inlineStr">
        <is>
          <t>JÄMTLANDS LÄN</t>
        </is>
      </c>
      <c r="E204" t="inlineStr">
        <is>
          <t>ÅRE</t>
        </is>
      </c>
      <c r="G204" t="n">
        <v>0.6</v>
      </c>
      <c r="H204" t="n">
        <v>0</v>
      </c>
      <c r="I204" t="n">
        <v>0</v>
      </c>
      <c r="J204" t="n">
        <v>0</v>
      </c>
      <c r="K204" t="n">
        <v>0</v>
      </c>
      <c r="L204" t="n">
        <v>0</v>
      </c>
      <c r="M204" t="n">
        <v>0</v>
      </c>
      <c r="N204" t="n">
        <v>0</v>
      </c>
      <c r="O204" t="n">
        <v>0</v>
      </c>
      <c r="P204" t="n">
        <v>0</v>
      </c>
      <c r="Q204" t="n">
        <v>0</v>
      </c>
      <c r="R204" s="2" t="inlineStr"/>
    </row>
    <row r="205" ht="15" customHeight="1">
      <c r="A205" t="inlineStr">
        <is>
          <t>A 2230-2022</t>
        </is>
      </c>
      <c r="B205" s="1" t="n">
        <v>44578</v>
      </c>
      <c r="C205" s="1" t="n">
        <v>46092</v>
      </c>
      <c r="D205" t="inlineStr">
        <is>
          <t>JÄMTLANDS LÄN</t>
        </is>
      </c>
      <c r="E205" t="inlineStr">
        <is>
          <t>ÅRE</t>
        </is>
      </c>
      <c r="G205" t="n">
        <v>1.6</v>
      </c>
      <c r="H205" t="n">
        <v>0</v>
      </c>
      <c r="I205" t="n">
        <v>0</v>
      </c>
      <c r="J205" t="n">
        <v>0</v>
      </c>
      <c r="K205" t="n">
        <v>0</v>
      </c>
      <c r="L205" t="n">
        <v>0</v>
      </c>
      <c r="M205" t="n">
        <v>0</v>
      </c>
      <c r="N205" t="n">
        <v>0</v>
      </c>
      <c r="O205" t="n">
        <v>0</v>
      </c>
      <c r="P205" t="n">
        <v>0</v>
      </c>
      <c r="Q205" t="n">
        <v>0</v>
      </c>
      <c r="R205" s="2" t="inlineStr"/>
    </row>
    <row r="206" ht="15" customHeight="1">
      <c r="A206" t="inlineStr">
        <is>
          <t>A 18374-2021</t>
        </is>
      </c>
      <c r="B206" s="1" t="n">
        <v>44305</v>
      </c>
      <c r="C206" s="1" t="n">
        <v>46092</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46092</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20816-2022</t>
        </is>
      </c>
      <c r="B208" s="1" t="n">
        <v>44700</v>
      </c>
      <c r="C208" s="1" t="n">
        <v>46092</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46092</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33023-2022</t>
        </is>
      </c>
      <c r="B210" s="1" t="n">
        <v>44784</v>
      </c>
      <c r="C210" s="1" t="n">
        <v>46092</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71005-2021</t>
        </is>
      </c>
      <c r="B211" s="1" t="n">
        <v>44538.62987268518</v>
      </c>
      <c r="C211" s="1" t="n">
        <v>46092</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26533-2022</t>
        </is>
      </c>
      <c r="B212" s="1" t="n">
        <v>44739.4490162037</v>
      </c>
      <c r="C212" s="1" t="n">
        <v>46092</v>
      </c>
      <c r="D212" t="inlineStr">
        <is>
          <t>JÄMTLANDS LÄN</t>
        </is>
      </c>
      <c r="E212" t="inlineStr">
        <is>
          <t>ÅRE</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46092</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46092</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24585-2021</t>
        </is>
      </c>
      <c r="B215" s="1" t="n">
        <v>44337</v>
      </c>
      <c r="C215" s="1" t="n">
        <v>46092</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46092</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23117-2022</t>
        </is>
      </c>
      <c r="B217" s="1" t="n">
        <v>44719.56572916666</v>
      </c>
      <c r="C217" s="1" t="n">
        <v>46092</v>
      </c>
      <c r="D217" t="inlineStr">
        <is>
          <t>JÄMTLANDS LÄN</t>
        </is>
      </c>
      <c r="E217" t="inlineStr">
        <is>
          <t>ÅRE</t>
        </is>
      </c>
      <c r="G217" t="n">
        <v>3.5</v>
      </c>
      <c r="H217" t="n">
        <v>0</v>
      </c>
      <c r="I217" t="n">
        <v>0</v>
      </c>
      <c r="J217" t="n">
        <v>0</v>
      </c>
      <c r="K217" t="n">
        <v>0</v>
      </c>
      <c r="L217" t="n">
        <v>0</v>
      </c>
      <c r="M217" t="n">
        <v>0</v>
      </c>
      <c r="N217" t="n">
        <v>0</v>
      </c>
      <c r="O217" t="n">
        <v>0</v>
      </c>
      <c r="P217" t="n">
        <v>0</v>
      </c>
      <c r="Q217" t="n">
        <v>0</v>
      </c>
      <c r="R217" s="2" t="inlineStr"/>
    </row>
    <row r="218" ht="15" customHeight="1">
      <c r="A218" t="inlineStr">
        <is>
          <t>A 61340-2022</t>
        </is>
      </c>
      <c r="B218" s="1" t="n">
        <v>44909</v>
      </c>
      <c r="C218" s="1" t="n">
        <v>46092</v>
      </c>
      <c r="D218" t="inlineStr">
        <is>
          <t>JÄMTLANDS LÄN</t>
        </is>
      </c>
      <c r="E218" t="inlineStr">
        <is>
          <t>ÅRE</t>
        </is>
      </c>
      <c r="G218" t="n">
        <v>4.4</v>
      </c>
      <c r="H218" t="n">
        <v>0</v>
      </c>
      <c r="I218" t="n">
        <v>0</v>
      </c>
      <c r="J218" t="n">
        <v>0</v>
      </c>
      <c r="K218" t="n">
        <v>0</v>
      </c>
      <c r="L218" t="n">
        <v>0</v>
      </c>
      <c r="M218" t="n">
        <v>0</v>
      </c>
      <c r="N218" t="n">
        <v>0</v>
      </c>
      <c r="O218" t="n">
        <v>0</v>
      </c>
      <c r="P218" t="n">
        <v>0</v>
      </c>
      <c r="Q218" t="n">
        <v>0</v>
      </c>
      <c r="R218" s="2" t="inlineStr"/>
    </row>
    <row r="219" ht="15" customHeight="1">
      <c r="A219" t="inlineStr">
        <is>
          <t>A 14202-2021</t>
        </is>
      </c>
      <c r="B219" s="1" t="n">
        <v>44278</v>
      </c>
      <c r="C219" s="1" t="n">
        <v>46092</v>
      </c>
      <c r="D219" t="inlineStr">
        <is>
          <t>JÄMTLANDS LÄN</t>
        </is>
      </c>
      <c r="E219" t="inlineStr">
        <is>
          <t>ÅRE</t>
        </is>
      </c>
      <c r="G219" t="n">
        <v>17.8</v>
      </c>
      <c r="H219" t="n">
        <v>0</v>
      </c>
      <c r="I219" t="n">
        <v>0</v>
      </c>
      <c r="J219" t="n">
        <v>0</v>
      </c>
      <c r="K219" t="n">
        <v>0</v>
      </c>
      <c r="L219" t="n">
        <v>0</v>
      </c>
      <c r="M219" t="n">
        <v>0</v>
      </c>
      <c r="N219" t="n">
        <v>0</v>
      </c>
      <c r="O219" t="n">
        <v>0</v>
      </c>
      <c r="P219" t="n">
        <v>0</v>
      </c>
      <c r="Q219" t="n">
        <v>0</v>
      </c>
      <c r="R219" s="2" t="inlineStr"/>
    </row>
    <row r="220" ht="15" customHeight="1">
      <c r="A220" t="inlineStr">
        <is>
          <t>A 2376-2023</t>
        </is>
      </c>
      <c r="B220" s="1" t="n">
        <v>44942</v>
      </c>
      <c r="C220" s="1" t="n">
        <v>46092</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33230-2024</t>
        </is>
      </c>
      <c r="B221" s="1" t="n">
        <v>45518.57418981481</v>
      </c>
      <c r="C221" s="1" t="n">
        <v>46092</v>
      </c>
      <c r="D221" t="inlineStr">
        <is>
          <t>JÄMTLANDS LÄN</t>
        </is>
      </c>
      <c r="E221" t="inlineStr">
        <is>
          <t>ÅRE</t>
        </is>
      </c>
      <c r="G221" t="n">
        <v>2.4</v>
      </c>
      <c r="H221" t="n">
        <v>0</v>
      </c>
      <c r="I221" t="n">
        <v>0</v>
      </c>
      <c r="J221" t="n">
        <v>0</v>
      </c>
      <c r="K221" t="n">
        <v>0</v>
      </c>
      <c r="L221" t="n">
        <v>0</v>
      </c>
      <c r="M221" t="n">
        <v>0</v>
      </c>
      <c r="N221" t="n">
        <v>0</v>
      </c>
      <c r="O221" t="n">
        <v>0</v>
      </c>
      <c r="P221" t="n">
        <v>0</v>
      </c>
      <c r="Q221" t="n">
        <v>0</v>
      </c>
      <c r="R221" s="2" t="inlineStr"/>
    </row>
    <row r="222" ht="15" customHeight="1">
      <c r="A222" t="inlineStr">
        <is>
          <t>A 41653-2024</t>
        </is>
      </c>
      <c r="B222" s="1" t="n">
        <v>45560.64059027778</v>
      </c>
      <c r="C222" s="1" t="n">
        <v>46092</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18253-2023</t>
        </is>
      </c>
      <c r="B223" s="1" t="n">
        <v>45041.48034722222</v>
      </c>
      <c r="C223" s="1" t="n">
        <v>46092</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31388-2021</t>
        </is>
      </c>
      <c r="B224" s="1" t="n">
        <v>44369</v>
      </c>
      <c r="C224" s="1" t="n">
        <v>46092</v>
      </c>
      <c r="D224" t="inlineStr">
        <is>
          <t>JÄMTLANDS LÄN</t>
        </is>
      </c>
      <c r="E224" t="inlineStr">
        <is>
          <t>ÅRE</t>
        </is>
      </c>
      <c r="G224" t="n">
        <v>2</v>
      </c>
      <c r="H224" t="n">
        <v>0</v>
      </c>
      <c r="I224" t="n">
        <v>0</v>
      </c>
      <c r="J224" t="n">
        <v>0</v>
      </c>
      <c r="K224" t="n">
        <v>0</v>
      </c>
      <c r="L224" t="n">
        <v>0</v>
      </c>
      <c r="M224" t="n">
        <v>0</v>
      </c>
      <c r="N224" t="n">
        <v>0</v>
      </c>
      <c r="O224" t="n">
        <v>0</v>
      </c>
      <c r="P224" t="n">
        <v>0</v>
      </c>
      <c r="Q224" t="n">
        <v>0</v>
      </c>
      <c r="R224" s="2" t="inlineStr"/>
    </row>
    <row r="225" ht="15" customHeight="1">
      <c r="A225" t="inlineStr">
        <is>
          <t>A 69568-2021</t>
        </is>
      </c>
      <c r="B225" s="1" t="n">
        <v>44531</v>
      </c>
      <c r="C225" s="1" t="n">
        <v>46092</v>
      </c>
      <c r="D225" t="inlineStr">
        <is>
          <t>JÄMTLANDS LÄN</t>
        </is>
      </c>
      <c r="E225" t="inlineStr">
        <is>
          <t>ÅRE</t>
        </is>
      </c>
      <c r="G225" t="n">
        <v>2.9</v>
      </c>
      <c r="H225" t="n">
        <v>0</v>
      </c>
      <c r="I225" t="n">
        <v>0</v>
      </c>
      <c r="J225" t="n">
        <v>0</v>
      </c>
      <c r="K225" t="n">
        <v>0</v>
      </c>
      <c r="L225" t="n">
        <v>0</v>
      </c>
      <c r="M225" t="n">
        <v>0</v>
      </c>
      <c r="N225" t="n">
        <v>0</v>
      </c>
      <c r="O225" t="n">
        <v>0</v>
      </c>
      <c r="P225" t="n">
        <v>0</v>
      </c>
      <c r="Q225" t="n">
        <v>0</v>
      </c>
      <c r="R225" s="2" t="inlineStr"/>
    </row>
    <row r="226" ht="15" customHeight="1">
      <c r="A226" t="inlineStr">
        <is>
          <t>A 19705-2023</t>
        </is>
      </c>
      <c r="B226" s="1" t="n">
        <v>45051</v>
      </c>
      <c r="C226" s="1" t="n">
        <v>46092</v>
      </c>
      <c r="D226" t="inlineStr">
        <is>
          <t>JÄMTLANDS LÄN</t>
        </is>
      </c>
      <c r="E226" t="inlineStr">
        <is>
          <t>ÅRE</t>
        </is>
      </c>
      <c r="G226" t="n">
        <v>4.7</v>
      </c>
      <c r="H226" t="n">
        <v>0</v>
      </c>
      <c r="I226" t="n">
        <v>0</v>
      </c>
      <c r="J226" t="n">
        <v>0</v>
      </c>
      <c r="K226" t="n">
        <v>0</v>
      </c>
      <c r="L226" t="n">
        <v>0</v>
      </c>
      <c r="M226" t="n">
        <v>0</v>
      </c>
      <c r="N226" t="n">
        <v>0</v>
      </c>
      <c r="O226" t="n">
        <v>0</v>
      </c>
      <c r="P226" t="n">
        <v>0</v>
      </c>
      <c r="Q226" t="n">
        <v>0</v>
      </c>
      <c r="R226" s="2" t="inlineStr"/>
    </row>
    <row r="227" ht="15" customHeight="1">
      <c r="A227" t="inlineStr">
        <is>
          <t>A 40341-2021</t>
        </is>
      </c>
      <c r="B227" s="1" t="n">
        <v>44419</v>
      </c>
      <c r="C227" s="1" t="n">
        <v>46092</v>
      </c>
      <c r="D227" t="inlineStr">
        <is>
          <t>JÄMTLANDS LÄN</t>
        </is>
      </c>
      <c r="E227" t="inlineStr">
        <is>
          <t>ÅRE</t>
        </is>
      </c>
      <c r="G227" t="n">
        <v>3</v>
      </c>
      <c r="H227" t="n">
        <v>0</v>
      </c>
      <c r="I227" t="n">
        <v>0</v>
      </c>
      <c r="J227" t="n">
        <v>0</v>
      </c>
      <c r="K227" t="n">
        <v>0</v>
      </c>
      <c r="L227" t="n">
        <v>0</v>
      </c>
      <c r="M227" t="n">
        <v>0</v>
      </c>
      <c r="N227" t="n">
        <v>0</v>
      </c>
      <c r="O227" t="n">
        <v>0</v>
      </c>
      <c r="P227" t="n">
        <v>0</v>
      </c>
      <c r="Q227" t="n">
        <v>0</v>
      </c>
      <c r="R227" s="2" t="inlineStr"/>
    </row>
    <row r="228" ht="15" customHeight="1">
      <c r="A228" t="inlineStr">
        <is>
          <t>A 73086-2021</t>
        </is>
      </c>
      <c r="B228" s="1" t="n">
        <v>44550</v>
      </c>
      <c r="C228" s="1" t="n">
        <v>46092</v>
      </c>
      <c r="D228" t="inlineStr">
        <is>
          <t>JÄMTLANDS LÄN</t>
        </is>
      </c>
      <c r="E228" t="inlineStr">
        <is>
          <t>ÅRE</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9775-2023</t>
        </is>
      </c>
      <c r="B229" s="1" t="n">
        <v>44984.60255787037</v>
      </c>
      <c r="C229" s="1" t="n">
        <v>46092</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1491-2024</t>
        </is>
      </c>
      <c r="B230" s="1" t="n">
        <v>45305</v>
      </c>
      <c r="C230" s="1" t="n">
        <v>46092</v>
      </c>
      <c r="D230" t="inlineStr">
        <is>
          <t>JÄMTLANDS LÄN</t>
        </is>
      </c>
      <c r="E230" t="inlineStr">
        <is>
          <t>ÅRE</t>
        </is>
      </c>
      <c r="G230" t="n">
        <v>31.4</v>
      </c>
      <c r="H230" t="n">
        <v>0</v>
      </c>
      <c r="I230" t="n">
        <v>0</v>
      </c>
      <c r="J230" t="n">
        <v>0</v>
      </c>
      <c r="K230" t="n">
        <v>0</v>
      </c>
      <c r="L230" t="n">
        <v>0</v>
      </c>
      <c r="M230" t="n">
        <v>0</v>
      </c>
      <c r="N230" t="n">
        <v>0</v>
      </c>
      <c r="O230" t="n">
        <v>0</v>
      </c>
      <c r="P230" t="n">
        <v>0</v>
      </c>
      <c r="Q230" t="n">
        <v>0</v>
      </c>
      <c r="R230" s="2" t="inlineStr"/>
    </row>
    <row r="231" ht="15" customHeight="1">
      <c r="A231" t="inlineStr">
        <is>
          <t>A 55056-2024</t>
        </is>
      </c>
      <c r="B231" s="1" t="n">
        <v>45621.40034722222</v>
      </c>
      <c r="C231" s="1" t="n">
        <v>46092</v>
      </c>
      <c r="D231" t="inlineStr">
        <is>
          <t>JÄMTLANDS LÄN</t>
        </is>
      </c>
      <c r="E231" t="inlineStr">
        <is>
          <t>ÅRE</t>
        </is>
      </c>
      <c r="G231" t="n">
        <v>0.8</v>
      </c>
      <c r="H231" t="n">
        <v>0</v>
      </c>
      <c r="I231" t="n">
        <v>0</v>
      </c>
      <c r="J231" t="n">
        <v>0</v>
      </c>
      <c r="K231" t="n">
        <v>0</v>
      </c>
      <c r="L231" t="n">
        <v>0</v>
      </c>
      <c r="M231" t="n">
        <v>0</v>
      </c>
      <c r="N231" t="n">
        <v>0</v>
      </c>
      <c r="O231" t="n">
        <v>0</v>
      </c>
      <c r="P231" t="n">
        <v>0</v>
      </c>
      <c r="Q231" t="n">
        <v>0</v>
      </c>
      <c r="R231" s="2" t="inlineStr"/>
    </row>
    <row r="232" ht="15" customHeight="1">
      <c r="A232" t="inlineStr">
        <is>
          <t>A 65239-2021</t>
        </is>
      </c>
      <c r="B232" s="1" t="n">
        <v>44515</v>
      </c>
      <c r="C232" s="1" t="n">
        <v>46092</v>
      </c>
      <c r="D232" t="inlineStr">
        <is>
          <t>JÄMTLANDS LÄN</t>
        </is>
      </c>
      <c r="E232" t="inlineStr">
        <is>
          <t>ÅRE</t>
        </is>
      </c>
      <c r="G232" t="n">
        <v>0</v>
      </c>
      <c r="H232" t="n">
        <v>0</v>
      </c>
      <c r="I232" t="n">
        <v>0</v>
      </c>
      <c r="J232" t="n">
        <v>0</v>
      </c>
      <c r="K232" t="n">
        <v>0</v>
      </c>
      <c r="L232" t="n">
        <v>0</v>
      </c>
      <c r="M232" t="n">
        <v>0</v>
      </c>
      <c r="N232" t="n">
        <v>0</v>
      </c>
      <c r="O232" t="n">
        <v>0</v>
      </c>
      <c r="P232" t="n">
        <v>0</v>
      </c>
      <c r="Q232" t="n">
        <v>0</v>
      </c>
      <c r="R232" s="2" t="inlineStr"/>
    </row>
    <row r="233" ht="15" customHeight="1">
      <c r="A233" t="inlineStr">
        <is>
          <t>A 23118-2022</t>
        </is>
      </c>
      <c r="B233" s="1" t="n">
        <v>44719.5662037037</v>
      </c>
      <c r="C233" s="1" t="n">
        <v>46092</v>
      </c>
      <c r="D233" t="inlineStr">
        <is>
          <t>JÄMTLANDS LÄN</t>
        </is>
      </c>
      <c r="E233" t="inlineStr">
        <is>
          <t>ÅRE</t>
        </is>
      </c>
      <c r="G233" t="n">
        <v>3.5</v>
      </c>
      <c r="H233" t="n">
        <v>0</v>
      </c>
      <c r="I233" t="n">
        <v>0</v>
      </c>
      <c r="J233" t="n">
        <v>0</v>
      </c>
      <c r="K233" t="n">
        <v>0</v>
      </c>
      <c r="L233" t="n">
        <v>0</v>
      </c>
      <c r="M233" t="n">
        <v>0</v>
      </c>
      <c r="N233" t="n">
        <v>0</v>
      </c>
      <c r="O233" t="n">
        <v>0</v>
      </c>
      <c r="P233" t="n">
        <v>0</v>
      </c>
      <c r="Q233" t="n">
        <v>0</v>
      </c>
      <c r="R233" s="2" t="inlineStr"/>
    </row>
    <row r="234" ht="15" customHeight="1">
      <c r="A234" t="inlineStr">
        <is>
          <t>A 55389-2025</t>
        </is>
      </c>
      <c r="B234" s="1" t="n">
        <v>45971.4482175926</v>
      </c>
      <c r="C234" s="1" t="n">
        <v>46092</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69170-2021</t>
        </is>
      </c>
      <c r="B235" s="1" t="n">
        <v>44529</v>
      </c>
      <c r="C235" s="1" t="n">
        <v>46092</v>
      </c>
      <c r="D235" t="inlineStr">
        <is>
          <t>JÄMTLANDS LÄN</t>
        </is>
      </c>
      <c r="E235" t="inlineStr">
        <is>
          <t>ÅRE</t>
        </is>
      </c>
      <c r="G235" t="n">
        <v>114.4</v>
      </c>
      <c r="H235" t="n">
        <v>0</v>
      </c>
      <c r="I235" t="n">
        <v>0</v>
      </c>
      <c r="J235" t="n">
        <v>0</v>
      </c>
      <c r="K235" t="n">
        <v>0</v>
      </c>
      <c r="L235" t="n">
        <v>0</v>
      </c>
      <c r="M235" t="n">
        <v>0</v>
      </c>
      <c r="N235" t="n">
        <v>0</v>
      </c>
      <c r="O235" t="n">
        <v>0</v>
      </c>
      <c r="P235" t="n">
        <v>0</v>
      </c>
      <c r="Q235" t="n">
        <v>0</v>
      </c>
      <c r="R235" s="2" t="inlineStr"/>
    </row>
    <row r="236" ht="15" customHeight="1">
      <c r="A236" t="inlineStr">
        <is>
          <t>A 55411-2025</t>
        </is>
      </c>
      <c r="B236" s="1" t="n">
        <v>45971.46741898148</v>
      </c>
      <c r="C236" s="1" t="n">
        <v>46092</v>
      </c>
      <c r="D236" t="inlineStr">
        <is>
          <t>JÄMTLANDS LÄN</t>
        </is>
      </c>
      <c r="E236" t="inlineStr">
        <is>
          <t>ÅRE</t>
        </is>
      </c>
      <c r="G236" t="n">
        <v>1.8</v>
      </c>
      <c r="H236" t="n">
        <v>0</v>
      </c>
      <c r="I236" t="n">
        <v>0</v>
      </c>
      <c r="J236" t="n">
        <v>0</v>
      </c>
      <c r="K236" t="n">
        <v>0</v>
      </c>
      <c r="L236" t="n">
        <v>0</v>
      </c>
      <c r="M236" t="n">
        <v>0</v>
      </c>
      <c r="N236" t="n">
        <v>0</v>
      </c>
      <c r="O236" t="n">
        <v>0</v>
      </c>
      <c r="P236" t="n">
        <v>0</v>
      </c>
      <c r="Q236" t="n">
        <v>0</v>
      </c>
      <c r="R236" s="2" t="inlineStr"/>
    </row>
    <row r="237" ht="15" customHeight="1">
      <c r="A237" t="inlineStr">
        <is>
          <t>A 53014-2023</t>
        </is>
      </c>
      <c r="B237" s="1" t="n">
        <v>45226</v>
      </c>
      <c r="C237" s="1" t="n">
        <v>46092</v>
      </c>
      <c r="D237" t="inlineStr">
        <is>
          <t>JÄMTLANDS LÄN</t>
        </is>
      </c>
      <c r="E237" t="inlineStr">
        <is>
          <t>ÅRE</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55416-2025</t>
        </is>
      </c>
      <c r="B238" s="1" t="n">
        <v>45971.46951388889</v>
      </c>
      <c r="C238" s="1" t="n">
        <v>46092</v>
      </c>
      <c r="D238" t="inlineStr">
        <is>
          <t>JÄMTLANDS LÄN</t>
        </is>
      </c>
      <c r="E238" t="inlineStr">
        <is>
          <t>ÅRE</t>
        </is>
      </c>
      <c r="G238" t="n">
        <v>6.3</v>
      </c>
      <c r="H238" t="n">
        <v>0</v>
      </c>
      <c r="I238" t="n">
        <v>0</v>
      </c>
      <c r="J238" t="n">
        <v>0</v>
      </c>
      <c r="K238" t="n">
        <v>0</v>
      </c>
      <c r="L238" t="n">
        <v>0</v>
      </c>
      <c r="M238" t="n">
        <v>0</v>
      </c>
      <c r="N238" t="n">
        <v>0</v>
      </c>
      <c r="O238" t="n">
        <v>0</v>
      </c>
      <c r="P238" t="n">
        <v>0</v>
      </c>
      <c r="Q238" t="n">
        <v>0</v>
      </c>
      <c r="R238" s="2" t="inlineStr"/>
    </row>
    <row r="239" ht="15" customHeight="1">
      <c r="A239" t="inlineStr">
        <is>
          <t>A 45453-2024</t>
        </is>
      </c>
      <c r="B239" s="1" t="n">
        <v>45576.66674768519</v>
      </c>
      <c r="C239" s="1" t="n">
        <v>46092</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60935-2022</t>
        </is>
      </c>
      <c r="B240" s="1" t="n">
        <v>44908</v>
      </c>
      <c r="C240" s="1" t="n">
        <v>46092</v>
      </c>
      <c r="D240" t="inlineStr">
        <is>
          <t>JÄMTLANDS LÄN</t>
        </is>
      </c>
      <c r="E240" t="inlineStr">
        <is>
          <t>ÅRE</t>
        </is>
      </c>
      <c r="G240" t="n">
        <v>0.8</v>
      </c>
      <c r="H240" t="n">
        <v>0</v>
      </c>
      <c r="I240" t="n">
        <v>0</v>
      </c>
      <c r="J240" t="n">
        <v>0</v>
      </c>
      <c r="K240" t="n">
        <v>0</v>
      </c>
      <c r="L240" t="n">
        <v>0</v>
      </c>
      <c r="M240" t="n">
        <v>0</v>
      </c>
      <c r="N240" t="n">
        <v>0</v>
      </c>
      <c r="O240" t="n">
        <v>0</v>
      </c>
      <c r="P240" t="n">
        <v>0</v>
      </c>
      <c r="Q240" t="n">
        <v>0</v>
      </c>
      <c r="R240" s="2" t="inlineStr"/>
    </row>
    <row r="241" ht="15" customHeight="1">
      <c r="A241" t="inlineStr">
        <is>
          <t>A 55944-2022</t>
        </is>
      </c>
      <c r="B241" s="1" t="n">
        <v>44889</v>
      </c>
      <c r="C241" s="1" t="n">
        <v>46092</v>
      </c>
      <c r="D241" t="inlineStr">
        <is>
          <t>JÄMTLANDS LÄN</t>
        </is>
      </c>
      <c r="E241" t="inlineStr">
        <is>
          <t>ÅRE</t>
        </is>
      </c>
      <c r="G241" t="n">
        <v>11.1</v>
      </c>
      <c r="H241" t="n">
        <v>0</v>
      </c>
      <c r="I241" t="n">
        <v>0</v>
      </c>
      <c r="J241" t="n">
        <v>0</v>
      </c>
      <c r="K241" t="n">
        <v>0</v>
      </c>
      <c r="L241" t="n">
        <v>0</v>
      </c>
      <c r="M241" t="n">
        <v>0</v>
      </c>
      <c r="N241" t="n">
        <v>0</v>
      </c>
      <c r="O241" t="n">
        <v>0</v>
      </c>
      <c r="P241" t="n">
        <v>0</v>
      </c>
      <c r="Q241" t="n">
        <v>0</v>
      </c>
      <c r="R241" s="2" t="inlineStr"/>
    </row>
    <row r="242" ht="15" customHeight="1">
      <c r="A242" t="inlineStr">
        <is>
          <t>A 56842-2022</t>
        </is>
      </c>
      <c r="B242" s="1" t="n">
        <v>44894.47856481482</v>
      </c>
      <c r="C242" s="1" t="n">
        <v>46092</v>
      </c>
      <c r="D242" t="inlineStr">
        <is>
          <t>JÄMTLANDS LÄN</t>
        </is>
      </c>
      <c r="E242" t="inlineStr">
        <is>
          <t>ÅRE</t>
        </is>
      </c>
      <c r="F242" t="inlineStr">
        <is>
          <t>Övriga Aktiebolag</t>
        </is>
      </c>
      <c r="G242" t="n">
        <v>7.9</v>
      </c>
      <c r="H242" t="n">
        <v>0</v>
      </c>
      <c r="I242" t="n">
        <v>0</v>
      </c>
      <c r="J242" t="n">
        <v>0</v>
      </c>
      <c r="K242" t="n">
        <v>0</v>
      </c>
      <c r="L242" t="n">
        <v>0</v>
      </c>
      <c r="M242" t="n">
        <v>0</v>
      </c>
      <c r="N242" t="n">
        <v>0</v>
      </c>
      <c r="O242" t="n">
        <v>0</v>
      </c>
      <c r="P242" t="n">
        <v>0</v>
      </c>
      <c r="Q242" t="n">
        <v>0</v>
      </c>
      <c r="R242" s="2" t="inlineStr"/>
    </row>
    <row r="243" ht="15" customHeight="1">
      <c r="A243" t="inlineStr">
        <is>
          <t>A 44889-2023</t>
        </is>
      </c>
      <c r="B243" s="1" t="n">
        <v>45190</v>
      </c>
      <c r="C243" s="1" t="n">
        <v>46092</v>
      </c>
      <c r="D243" t="inlineStr">
        <is>
          <t>JÄMTLANDS LÄN</t>
        </is>
      </c>
      <c r="E243" t="inlineStr">
        <is>
          <t>ÅRE</t>
        </is>
      </c>
      <c r="G243" t="n">
        <v>1.3</v>
      </c>
      <c r="H243" t="n">
        <v>0</v>
      </c>
      <c r="I243" t="n">
        <v>0</v>
      </c>
      <c r="J243" t="n">
        <v>0</v>
      </c>
      <c r="K243" t="n">
        <v>0</v>
      </c>
      <c r="L243" t="n">
        <v>0</v>
      </c>
      <c r="M243" t="n">
        <v>0</v>
      </c>
      <c r="N243" t="n">
        <v>0</v>
      </c>
      <c r="O243" t="n">
        <v>0</v>
      </c>
      <c r="P243" t="n">
        <v>0</v>
      </c>
      <c r="Q243" t="n">
        <v>0</v>
      </c>
      <c r="R243" s="2" t="inlineStr"/>
    </row>
    <row r="244" ht="15" customHeight="1">
      <c r="A244" t="inlineStr">
        <is>
          <t>A 56091-2025</t>
        </is>
      </c>
      <c r="B244" s="1" t="n">
        <v>45973.67434027778</v>
      </c>
      <c r="C244" s="1" t="n">
        <v>46092</v>
      </c>
      <c r="D244" t="inlineStr">
        <is>
          <t>JÄMTLANDS LÄN</t>
        </is>
      </c>
      <c r="E244" t="inlineStr">
        <is>
          <t>ÅRE</t>
        </is>
      </c>
      <c r="G244" t="n">
        <v>8</v>
      </c>
      <c r="H244" t="n">
        <v>0</v>
      </c>
      <c r="I244" t="n">
        <v>0</v>
      </c>
      <c r="J244" t="n">
        <v>0</v>
      </c>
      <c r="K244" t="n">
        <v>0</v>
      </c>
      <c r="L244" t="n">
        <v>0</v>
      </c>
      <c r="M244" t="n">
        <v>0</v>
      </c>
      <c r="N244" t="n">
        <v>0</v>
      </c>
      <c r="O244" t="n">
        <v>0</v>
      </c>
      <c r="P244" t="n">
        <v>0</v>
      </c>
      <c r="Q244" t="n">
        <v>0</v>
      </c>
      <c r="R244" s="2" t="inlineStr"/>
    </row>
    <row r="245" ht="15" customHeight="1">
      <c r="A245" t="inlineStr">
        <is>
          <t>A 56495-2025</t>
        </is>
      </c>
      <c r="B245" s="1" t="n">
        <v>45975.42577546297</v>
      </c>
      <c r="C245" s="1" t="n">
        <v>46092</v>
      </c>
      <c r="D245" t="inlineStr">
        <is>
          <t>JÄMTLANDS LÄN</t>
        </is>
      </c>
      <c r="E245" t="inlineStr">
        <is>
          <t>ÅRE</t>
        </is>
      </c>
      <c r="G245" t="n">
        <v>6.3</v>
      </c>
      <c r="H245" t="n">
        <v>0</v>
      </c>
      <c r="I245" t="n">
        <v>0</v>
      </c>
      <c r="J245" t="n">
        <v>0</v>
      </c>
      <c r="K245" t="n">
        <v>0</v>
      </c>
      <c r="L245" t="n">
        <v>0</v>
      </c>
      <c r="M245" t="n">
        <v>0</v>
      </c>
      <c r="N245" t="n">
        <v>0</v>
      </c>
      <c r="O245" t="n">
        <v>0</v>
      </c>
      <c r="P245" t="n">
        <v>0</v>
      </c>
      <c r="Q245" t="n">
        <v>0</v>
      </c>
      <c r="R245" s="2" t="inlineStr"/>
    </row>
    <row r="246" ht="15" customHeight="1">
      <c r="A246" t="inlineStr">
        <is>
          <t>A 48599-2023</t>
        </is>
      </c>
      <c r="B246" s="1" t="n">
        <v>45208</v>
      </c>
      <c r="C246" s="1" t="n">
        <v>46092</v>
      </c>
      <c r="D246" t="inlineStr">
        <is>
          <t>JÄMTLANDS LÄN</t>
        </is>
      </c>
      <c r="E246" t="inlineStr">
        <is>
          <t>ÅRE</t>
        </is>
      </c>
      <c r="G246" t="n">
        <v>1.1</v>
      </c>
      <c r="H246" t="n">
        <v>0</v>
      </c>
      <c r="I246" t="n">
        <v>0</v>
      </c>
      <c r="J246" t="n">
        <v>0</v>
      </c>
      <c r="K246" t="n">
        <v>0</v>
      </c>
      <c r="L246" t="n">
        <v>0</v>
      </c>
      <c r="M246" t="n">
        <v>0</v>
      </c>
      <c r="N246" t="n">
        <v>0</v>
      </c>
      <c r="O246" t="n">
        <v>0</v>
      </c>
      <c r="P246" t="n">
        <v>0</v>
      </c>
      <c r="Q246" t="n">
        <v>0</v>
      </c>
      <c r="R246" s="2" t="inlineStr"/>
    </row>
    <row r="247" ht="15" customHeight="1">
      <c r="A247" t="inlineStr">
        <is>
          <t>A 56601-2025</t>
        </is>
      </c>
      <c r="B247" s="1" t="n">
        <v>45975.57423611111</v>
      </c>
      <c r="C247" s="1" t="n">
        <v>46092</v>
      </c>
      <c r="D247" t="inlineStr">
        <is>
          <t>JÄMTLANDS LÄN</t>
        </is>
      </c>
      <c r="E247" t="inlineStr">
        <is>
          <t>ÅRE</t>
        </is>
      </c>
      <c r="G247" t="n">
        <v>0.7</v>
      </c>
      <c r="H247" t="n">
        <v>0</v>
      </c>
      <c r="I247" t="n">
        <v>0</v>
      </c>
      <c r="J247" t="n">
        <v>0</v>
      </c>
      <c r="K247" t="n">
        <v>0</v>
      </c>
      <c r="L247" t="n">
        <v>0</v>
      </c>
      <c r="M247" t="n">
        <v>0</v>
      </c>
      <c r="N247" t="n">
        <v>0</v>
      </c>
      <c r="O247" t="n">
        <v>0</v>
      </c>
      <c r="P247" t="n">
        <v>0</v>
      </c>
      <c r="Q247" t="n">
        <v>0</v>
      </c>
      <c r="R247" s="2" t="inlineStr"/>
    </row>
    <row r="248" ht="15" customHeight="1">
      <c r="A248" t="inlineStr">
        <is>
          <t>A 56204-2025</t>
        </is>
      </c>
      <c r="B248" s="1" t="n">
        <v>45974.46935185185</v>
      </c>
      <c r="C248" s="1" t="n">
        <v>46092</v>
      </c>
      <c r="D248" t="inlineStr">
        <is>
          <t>JÄMTLANDS LÄN</t>
        </is>
      </c>
      <c r="E248" t="inlineStr">
        <is>
          <t>ÅRE</t>
        </is>
      </c>
      <c r="G248" t="n">
        <v>3.2</v>
      </c>
      <c r="H248" t="n">
        <v>0</v>
      </c>
      <c r="I248" t="n">
        <v>0</v>
      </c>
      <c r="J248" t="n">
        <v>0</v>
      </c>
      <c r="K248" t="n">
        <v>0</v>
      </c>
      <c r="L248" t="n">
        <v>0</v>
      </c>
      <c r="M248" t="n">
        <v>0</v>
      </c>
      <c r="N248" t="n">
        <v>0</v>
      </c>
      <c r="O248" t="n">
        <v>0</v>
      </c>
      <c r="P248" t="n">
        <v>0</v>
      </c>
      <c r="Q248" t="n">
        <v>0</v>
      </c>
      <c r="R248" s="2" t="inlineStr"/>
    </row>
    <row r="249" ht="15" customHeight="1">
      <c r="A249" t="inlineStr">
        <is>
          <t>A 57710-2021</t>
        </is>
      </c>
      <c r="B249" s="1" t="n">
        <v>44484</v>
      </c>
      <c r="C249" s="1" t="n">
        <v>46092</v>
      </c>
      <c r="D249" t="inlineStr">
        <is>
          <t>JÄMTLANDS LÄN</t>
        </is>
      </c>
      <c r="E249" t="inlineStr">
        <is>
          <t>ÅRE</t>
        </is>
      </c>
      <c r="G249" t="n">
        <v>12</v>
      </c>
      <c r="H249" t="n">
        <v>0</v>
      </c>
      <c r="I249" t="n">
        <v>0</v>
      </c>
      <c r="J249" t="n">
        <v>0</v>
      </c>
      <c r="K249" t="n">
        <v>0</v>
      </c>
      <c r="L249" t="n">
        <v>0</v>
      </c>
      <c r="M249" t="n">
        <v>0</v>
      </c>
      <c r="N249" t="n">
        <v>0</v>
      </c>
      <c r="O249" t="n">
        <v>0</v>
      </c>
      <c r="P249" t="n">
        <v>0</v>
      </c>
      <c r="Q249" t="n">
        <v>0</v>
      </c>
      <c r="R249" s="2" t="inlineStr"/>
    </row>
    <row r="250" ht="15" customHeight="1">
      <c r="A250" t="inlineStr">
        <is>
          <t>A 56563-2025</t>
        </is>
      </c>
      <c r="B250" s="1" t="n">
        <v>45975.49930555555</v>
      </c>
      <c r="C250" s="1" t="n">
        <v>46092</v>
      </c>
      <c r="D250" t="inlineStr">
        <is>
          <t>JÄMTLANDS LÄN</t>
        </is>
      </c>
      <c r="E250" t="inlineStr">
        <is>
          <t>ÅRE</t>
        </is>
      </c>
      <c r="G250" t="n">
        <v>1.5</v>
      </c>
      <c r="H250" t="n">
        <v>0</v>
      </c>
      <c r="I250" t="n">
        <v>0</v>
      </c>
      <c r="J250" t="n">
        <v>0</v>
      </c>
      <c r="K250" t="n">
        <v>0</v>
      </c>
      <c r="L250" t="n">
        <v>0</v>
      </c>
      <c r="M250" t="n">
        <v>0</v>
      </c>
      <c r="N250" t="n">
        <v>0</v>
      </c>
      <c r="O250" t="n">
        <v>0</v>
      </c>
      <c r="P250" t="n">
        <v>0</v>
      </c>
      <c r="Q250" t="n">
        <v>0</v>
      </c>
      <c r="R250" s="2" t="inlineStr"/>
    </row>
    <row r="251" ht="15" customHeight="1">
      <c r="A251" t="inlineStr">
        <is>
          <t>A 56205-2025</t>
        </is>
      </c>
      <c r="B251" s="1" t="n">
        <v>45974.469375</v>
      </c>
      <c r="C251" s="1" t="n">
        <v>46092</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56576-2025</t>
        </is>
      </c>
      <c r="B252" s="1" t="n">
        <v>45975.52893518518</v>
      </c>
      <c r="C252" s="1" t="n">
        <v>46092</v>
      </c>
      <c r="D252" t="inlineStr">
        <is>
          <t>JÄMTLANDS LÄN</t>
        </is>
      </c>
      <c r="E252" t="inlineStr">
        <is>
          <t>ÅRE</t>
        </is>
      </c>
      <c r="G252" t="n">
        <v>1.2</v>
      </c>
      <c r="H252" t="n">
        <v>0</v>
      </c>
      <c r="I252" t="n">
        <v>0</v>
      </c>
      <c r="J252" t="n">
        <v>0</v>
      </c>
      <c r="K252" t="n">
        <v>0</v>
      </c>
      <c r="L252" t="n">
        <v>0</v>
      </c>
      <c r="M252" t="n">
        <v>0</v>
      </c>
      <c r="N252" t="n">
        <v>0</v>
      </c>
      <c r="O252" t="n">
        <v>0</v>
      </c>
      <c r="P252" t="n">
        <v>0</v>
      </c>
      <c r="Q252" t="n">
        <v>0</v>
      </c>
      <c r="R252" s="2" t="inlineStr"/>
    </row>
    <row r="253" ht="15" customHeight="1">
      <c r="A253" t="inlineStr">
        <is>
          <t>A 12193-2023</t>
        </is>
      </c>
      <c r="B253" s="1" t="n">
        <v>44998</v>
      </c>
      <c r="C253" s="1" t="n">
        <v>46092</v>
      </c>
      <c r="D253" t="inlineStr">
        <is>
          <t>JÄMTLANDS LÄN</t>
        </is>
      </c>
      <c r="E253" t="inlineStr">
        <is>
          <t>ÅRE</t>
        </is>
      </c>
      <c r="G253" t="n">
        <v>14.7</v>
      </c>
      <c r="H253" t="n">
        <v>0</v>
      </c>
      <c r="I253" t="n">
        <v>0</v>
      </c>
      <c r="J253" t="n">
        <v>0</v>
      </c>
      <c r="K253" t="n">
        <v>0</v>
      </c>
      <c r="L253" t="n">
        <v>0</v>
      </c>
      <c r="M253" t="n">
        <v>0</v>
      </c>
      <c r="N253" t="n">
        <v>0</v>
      </c>
      <c r="O253" t="n">
        <v>0</v>
      </c>
      <c r="P253" t="n">
        <v>0</v>
      </c>
      <c r="Q253" t="n">
        <v>0</v>
      </c>
      <c r="R253" s="2" t="inlineStr"/>
    </row>
    <row r="254" ht="15" customHeight="1">
      <c r="A254" t="inlineStr">
        <is>
          <t>A 57285-2025</t>
        </is>
      </c>
      <c r="B254" s="1" t="n">
        <v>45979.73390046296</v>
      </c>
      <c r="C254" s="1" t="n">
        <v>46092</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46559-2024</t>
        </is>
      </c>
      <c r="B255" s="1" t="n">
        <v>45582</v>
      </c>
      <c r="C255" s="1" t="n">
        <v>46092</v>
      </c>
      <c r="D255" t="inlineStr">
        <is>
          <t>JÄMTLANDS LÄN</t>
        </is>
      </c>
      <c r="E255" t="inlineStr">
        <is>
          <t>ÅRE</t>
        </is>
      </c>
      <c r="G255" t="n">
        <v>6.2</v>
      </c>
      <c r="H255" t="n">
        <v>0</v>
      </c>
      <c r="I255" t="n">
        <v>0</v>
      </c>
      <c r="J255" t="n">
        <v>0</v>
      </c>
      <c r="K255" t="n">
        <v>0</v>
      </c>
      <c r="L255" t="n">
        <v>0</v>
      </c>
      <c r="M255" t="n">
        <v>0</v>
      </c>
      <c r="N255" t="n">
        <v>0</v>
      </c>
      <c r="O255" t="n">
        <v>0</v>
      </c>
      <c r="P255" t="n">
        <v>0</v>
      </c>
      <c r="Q255" t="n">
        <v>0</v>
      </c>
      <c r="R255" s="2" t="inlineStr"/>
    </row>
    <row r="256" ht="15" customHeight="1">
      <c r="A256" t="inlineStr">
        <is>
          <t>A 57770-2023</t>
        </is>
      </c>
      <c r="B256" s="1" t="n">
        <v>45246.92542824074</v>
      </c>
      <c r="C256" s="1" t="n">
        <v>46092</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56873-2025</t>
        </is>
      </c>
      <c r="B257" s="1" t="n">
        <v>45978.53459490741</v>
      </c>
      <c r="C257" s="1" t="n">
        <v>46092</v>
      </c>
      <c r="D257" t="inlineStr">
        <is>
          <t>JÄMTLANDS LÄN</t>
        </is>
      </c>
      <c r="E257" t="inlineStr">
        <is>
          <t>ÅRE</t>
        </is>
      </c>
      <c r="F257" t="inlineStr">
        <is>
          <t>Övriga Aktiebolag</t>
        </is>
      </c>
      <c r="G257" t="n">
        <v>6.1</v>
      </c>
      <c r="H257" t="n">
        <v>0</v>
      </c>
      <c r="I257" t="n">
        <v>0</v>
      </c>
      <c r="J257" t="n">
        <v>0</v>
      </c>
      <c r="K257" t="n">
        <v>0</v>
      </c>
      <c r="L257" t="n">
        <v>0</v>
      </c>
      <c r="M257" t="n">
        <v>0</v>
      </c>
      <c r="N257" t="n">
        <v>0</v>
      </c>
      <c r="O257" t="n">
        <v>0</v>
      </c>
      <c r="P257" t="n">
        <v>0</v>
      </c>
      <c r="Q257" t="n">
        <v>0</v>
      </c>
      <c r="R257" s="2" t="inlineStr"/>
    </row>
    <row r="258" ht="15" customHeight="1">
      <c r="A258" t="inlineStr">
        <is>
          <t>A 57286-2025</t>
        </is>
      </c>
      <c r="B258" s="1" t="n">
        <v>45979.74055555555</v>
      </c>
      <c r="C258" s="1" t="n">
        <v>46092</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57622-2025</t>
        </is>
      </c>
      <c r="B259" s="1" t="n">
        <v>45981.34545138889</v>
      </c>
      <c r="C259" s="1" t="n">
        <v>46092</v>
      </c>
      <c r="D259" t="inlineStr">
        <is>
          <t>JÄMTLANDS LÄN</t>
        </is>
      </c>
      <c r="E259" t="inlineStr">
        <is>
          <t>ÅRE</t>
        </is>
      </c>
      <c r="G259" t="n">
        <v>1.3</v>
      </c>
      <c r="H259" t="n">
        <v>0</v>
      </c>
      <c r="I259" t="n">
        <v>0</v>
      </c>
      <c r="J259" t="n">
        <v>0</v>
      </c>
      <c r="K259" t="n">
        <v>0</v>
      </c>
      <c r="L259" t="n">
        <v>0</v>
      </c>
      <c r="M259" t="n">
        <v>0</v>
      </c>
      <c r="N259" t="n">
        <v>0</v>
      </c>
      <c r="O259" t="n">
        <v>0</v>
      </c>
      <c r="P259" t="n">
        <v>0</v>
      </c>
      <c r="Q259" t="n">
        <v>0</v>
      </c>
      <c r="R259" s="2" t="inlineStr"/>
    </row>
    <row r="260" ht="15" customHeight="1">
      <c r="A260" t="inlineStr">
        <is>
          <t>A 9126-2025</t>
        </is>
      </c>
      <c r="B260" s="1" t="n">
        <v>45713</v>
      </c>
      <c r="C260" s="1" t="n">
        <v>46092</v>
      </c>
      <c r="D260" t="inlineStr">
        <is>
          <t>JÄMTLANDS LÄN</t>
        </is>
      </c>
      <c r="E260" t="inlineStr">
        <is>
          <t>ÅRE</t>
        </is>
      </c>
      <c r="G260" t="n">
        <v>2</v>
      </c>
      <c r="H260" t="n">
        <v>0</v>
      </c>
      <c r="I260" t="n">
        <v>0</v>
      </c>
      <c r="J260" t="n">
        <v>0</v>
      </c>
      <c r="K260" t="n">
        <v>0</v>
      </c>
      <c r="L260" t="n">
        <v>0</v>
      </c>
      <c r="M260" t="n">
        <v>0</v>
      </c>
      <c r="N260" t="n">
        <v>0</v>
      </c>
      <c r="O260" t="n">
        <v>0</v>
      </c>
      <c r="P260" t="n">
        <v>0</v>
      </c>
      <c r="Q260" t="n">
        <v>0</v>
      </c>
      <c r="R260" s="2" t="inlineStr"/>
    </row>
    <row r="261" ht="15" customHeight="1">
      <c r="A261" t="inlineStr">
        <is>
          <t>A 57745-2025</t>
        </is>
      </c>
      <c r="B261" s="1" t="n">
        <v>45981.53217592592</v>
      </c>
      <c r="C261" s="1" t="n">
        <v>46092</v>
      </c>
      <c r="D261" t="inlineStr">
        <is>
          <t>JÄMTLANDS LÄN</t>
        </is>
      </c>
      <c r="E261" t="inlineStr">
        <is>
          <t>ÅRE</t>
        </is>
      </c>
      <c r="G261" t="n">
        <v>8.4</v>
      </c>
      <c r="H261" t="n">
        <v>0</v>
      </c>
      <c r="I261" t="n">
        <v>0</v>
      </c>
      <c r="J261" t="n">
        <v>0</v>
      </c>
      <c r="K261" t="n">
        <v>0</v>
      </c>
      <c r="L261" t="n">
        <v>0</v>
      </c>
      <c r="M261" t="n">
        <v>0</v>
      </c>
      <c r="N261" t="n">
        <v>0</v>
      </c>
      <c r="O261" t="n">
        <v>0</v>
      </c>
      <c r="P261" t="n">
        <v>0</v>
      </c>
      <c r="Q261" t="n">
        <v>0</v>
      </c>
      <c r="R261" s="2" t="inlineStr"/>
    </row>
    <row r="262" ht="15" customHeight="1">
      <c r="A262" t="inlineStr">
        <is>
          <t>A 17703-2023</t>
        </is>
      </c>
      <c r="B262" s="1" t="n">
        <v>45037.35443287037</v>
      </c>
      <c r="C262" s="1" t="n">
        <v>46092</v>
      </c>
      <c r="D262" t="inlineStr">
        <is>
          <t>JÄMTLANDS LÄN</t>
        </is>
      </c>
      <c r="E262" t="inlineStr">
        <is>
          <t>ÅRE</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11914-2024</t>
        </is>
      </c>
      <c r="B263" s="1" t="n">
        <v>45376.58467592593</v>
      </c>
      <c r="C263" s="1" t="n">
        <v>46092</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57627-2025</t>
        </is>
      </c>
      <c r="B264" s="1" t="n">
        <v>45981.34583333333</v>
      </c>
      <c r="C264" s="1" t="n">
        <v>46092</v>
      </c>
      <c r="D264" t="inlineStr">
        <is>
          <t>JÄMTLANDS LÄN</t>
        </is>
      </c>
      <c r="E264" t="inlineStr">
        <is>
          <t>ÅRE</t>
        </is>
      </c>
      <c r="G264" t="n">
        <v>3.3</v>
      </c>
      <c r="H264" t="n">
        <v>0</v>
      </c>
      <c r="I264" t="n">
        <v>0</v>
      </c>
      <c r="J264" t="n">
        <v>0</v>
      </c>
      <c r="K264" t="n">
        <v>0</v>
      </c>
      <c r="L264" t="n">
        <v>0</v>
      </c>
      <c r="M264" t="n">
        <v>0</v>
      </c>
      <c r="N264" t="n">
        <v>0</v>
      </c>
      <c r="O264" t="n">
        <v>0</v>
      </c>
      <c r="P264" t="n">
        <v>0</v>
      </c>
      <c r="Q264" t="n">
        <v>0</v>
      </c>
      <c r="R264" s="2" t="inlineStr"/>
    </row>
    <row r="265" ht="15" customHeight="1">
      <c r="A265" t="inlineStr">
        <is>
          <t>A 57464-2025</t>
        </is>
      </c>
      <c r="B265" s="1" t="n">
        <v>45980</v>
      </c>
      <c r="C265" s="1" t="n">
        <v>46092</v>
      </c>
      <c r="D265" t="inlineStr">
        <is>
          <t>JÄMTLANDS LÄN</t>
        </is>
      </c>
      <c r="E265" t="inlineStr">
        <is>
          <t>ÅRE</t>
        </is>
      </c>
      <c r="G265" t="n">
        <v>8.1</v>
      </c>
      <c r="H265" t="n">
        <v>0</v>
      </c>
      <c r="I265" t="n">
        <v>0</v>
      </c>
      <c r="J265" t="n">
        <v>0</v>
      </c>
      <c r="K265" t="n">
        <v>0</v>
      </c>
      <c r="L265" t="n">
        <v>0</v>
      </c>
      <c r="M265" t="n">
        <v>0</v>
      </c>
      <c r="N265" t="n">
        <v>0</v>
      </c>
      <c r="O265" t="n">
        <v>0</v>
      </c>
      <c r="P265" t="n">
        <v>0</v>
      </c>
      <c r="Q265" t="n">
        <v>0</v>
      </c>
      <c r="R265" s="2" t="inlineStr"/>
    </row>
    <row r="266" ht="15" customHeight="1">
      <c r="A266" t="inlineStr">
        <is>
          <t>A 58432-2025</t>
        </is>
      </c>
      <c r="B266" s="1" t="n">
        <v>45985.60774305555</v>
      </c>
      <c r="C266" s="1" t="n">
        <v>46092</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59784-2024</t>
        </is>
      </c>
      <c r="B267" s="1" t="n">
        <v>45639.57988425926</v>
      </c>
      <c r="C267" s="1" t="n">
        <v>46092</v>
      </c>
      <c r="D267" t="inlineStr">
        <is>
          <t>JÄMTLANDS LÄN</t>
        </is>
      </c>
      <c r="E267" t="inlineStr">
        <is>
          <t>ÅRE</t>
        </is>
      </c>
      <c r="F267" t="inlineStr">
        <is>
          <t>Övriga Aktiebolag</t>
        </is>
      </c>
      <c r="G267" t="n">
        <v>1.3</v>
      </c>
      <c r="H267" t="n">
        <v>0</v>
      </c>
      <c r="I267" t="n">
        <v>0</v>
      </c>
      <c r="J267" t="n">
        <v>0</v>
      </c>
      <c r="K267" t="n">
        <v>0</v>
      </c>
      <c r="L267" t="n">
        <v>0</v>
      </c>
      <c r="M267" t="n">
        <v>0</v>
      </c>
      <c r="N267" t="n">
        <v>0</v>
      </c>
      <c r="O267" t="n">
        <v>0</v>
      </c>
      <c r="P267" t="n">
        <v>0</v>
      </c>
      <c r="Q267" t="n">
        <v>0</v>
      </c>
      <c r="R267" s="2" t="inlineStr"/>
    </row>
    <row r="268" ht="15" customHeight="1">
      <c r="A268" t="inlineStr">
        <is>
          <t>A 58469-2025</t>
        </is>
      </c>
      <c r="B268" s="1" t="n">
        <v>45985.63699074074</v>
      </c>
      <c r="C268" s="1" t="n">
        <v>46092</v>
      </c>
      <c r="D268" t="inlineStr">
        <is>
          <t>JÄMTLANDS LÄN</t>
        </is>
      </c>
      <c r="E268" t="inlineStr">
        <is>
          <t>ÅRE</t>
        </is>
      </c>
      <c r="F268" t="inlineStr">
        <is>
          <t>Övriga Aktiebolag</t>
        </is>
      </c>
      <c r="G268" t="n">
        <v>3.7</v>
      </c>
      <c r="H268" t="n">
        <v>0</v>
      </c>
      <c r="I268" t="n">
        <v>0</v>
      </c>
      <c r="J268" t="n">
        <v>0</v>
      </c>
      <c r="K268" t="n">
        <v>0</v>
      </c>
      <c r="L268" t="n">
        <v>0</v>
      </c>
      <c r="M268" t="n">
        <v>0</v>
      </c>
      <c r="N268" t="n">
        <v>0</v>
      </c>
      <c r="O268" t="n">
        <v>0</v>
      </c>
      <c r="P268" t="n">
        <v>0</v>
      </c>
      <c r="Q268" t="n">
        <v>0</v>
      </c>
      <c r="R268" s="2" t="inlineStr"/>
    </row>
    <row r="269" ht="15" customHeight="1">
      <c r="A269" t="inlineStr">
        <is>
          <t>A 58006-2025</t>
        </is>
      </c>
      <c r="B269" s="1" t="n">
        <v>45982.44869212963</v>
      </c>
      <c r="C269" s="1" t="n">
        <v>46092</v>
      </c>
      <c r="D269" t="inlineStr">
        <is>
          <t>JÄMTLANDS LÄN</t>
        </is>
      </c>
      <c r="E269" t="inlineStr">
        <is>
          <t>ÅRE</t>
        </is>
      </c>
      <c r="G269" t="n">
        <v>4</v>
      </c>
      <c r="H269" t="n">
        <v>0</v>
      </c>
      <c r="I269" t="n">
        <v>0</v>
      </c>
      <c r="J269" t="n">
        <v>0</v>
      </c>
      <c r="K269" t="n">
        <v>0</v>
      </c>
      <c r="L269" t="n">
        <v>0</v>
      </c>
      <c r="M269" t="n">
        <v>0</v>
      </c>
      <c r="N269" t="n">
        <v>0</v>
      </c>
      <c r="O269" t="n">
        <v>0</v>
      </c>
      <c r="P269" t="n">
        <v>0</v>
      </c>
      <c r="Q269" t="n">
        <v>0</v>
      </c>
      <c r="R269" s="2" t="inlineStr"/>
    </row>
    <row r="270" ht="15" customHeight="1">
      <c r="A270" t="inlineStr">
        <is>
          <t>A 57928-2025</t>
        </is>
      </c>
      <c r="B270" s="1" t="n">
        <v>45981.88722222222</v>
      </c>
      <c r="C270" s="1" t="n">
        <v>46092</v>
      </c>
      <c r="D270" t="inlineStr">
        <is>
          <t>JÄMTLANDS LÄN</t>
        </is>
      </c>
      <c r="E270" t="inlineStr">
        <is>
          <t>ÅRE</t>
        </is>
      </c>
      <c r="G270" t="n">
        <v>2.4</v>
      </c>
      <c r="H270" t="n">
        <v>0</v>
      </c>
      <c r="I270" t="n">
        <v>0</v>
      </c>
      <c r="J270" t="n">
        <v>0</v>
      </c>
      <c r="K270" t="n">
        <v>0</v>
      </c>
      <c r="L270" t="n">
        <v>0</v>
      </c>
      <c r="M270" t="n">
        <v>0</v>
      </c>
      <c r="N270" t="n">
        <v>0</v>
      </c>
      <c r="O270" t="n">
        <v>0</v>
      </c>
      <c r="P270" t="n">
        <v>0</v>
      </c>
      <c r="Q270" t="n">
        <v>0</v>
      </c>
      <c r="R270" s="2" t="inlineStr"/>
    </row>
    <row r="271" ht="15" customHeight="1">
      <c r="A271" t="inlineStr">
        <is>
          <t>A 54175-2023</t>
        </is>
      </c>
      <c r="B271" s="1" t="n">
        <v>45232</v>
      </c>
      <c r="C271" s="1" t="n">
        <v>46092</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46789-2024</t>
        </is>
      </c>
      <c r="B272" s="1" t="n">
        <v>45583.53219907408</v>
      </c>
      <c r="C272" s="1" t="n">
        <v>46092</v>
      </c>
      <c r="D272" t="inlineStr">
        <is>
          <t>JÄMTLANDS LÄN</t>
        </is>
      </c>
      <c r="E272" t="inlineStr">
        <is>
          <t>ÅRE</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393-2024</t>
        </is>
      </c>
      <c r="B273" s="1" t="n">
        <v>45296.43614583334</v>
      </c>
      <c r="C273" s="1" t="n">
        <v>46092</v>
      </c>
      <c r="D273" t="inlineStr">
        <is>
          <t>JÄMTLANDS LÄN</t>
        </is>
      </c>
      <c r="E273" t="inlineStr">
        <is>
          <t>ÅRE</t>
        </is>
      </c>
      <c r="G273" t="n">
        <v>6.5</v>
      </c>
      <c r="H273" t="n">
        <v>0</v>
      </c>
      <c r="I273" t="n">
        <v>0</v>
      </c>
      <c r="J273" t="n">
        <v>0</v>
      </c>
      <c r="K273" t="n">
        <v>0</v>
      </c>
      <c r="L273" t="n">
        <v>0</v>
      </c>
      <c r="M273" t="n">
        <v>0</v>
      </c>
      <c r="N273" t="n">
        <v>0</v>
      </c>
      <c r="O273" t="n">
        <v>0</v>
      </c>
      <c r="P273" t="n">
        <v>0</v>
      </c>
      <c r="Q273" t="n">
        <v>0</v>
      </c>
      <c r="R273" s="2" t="inlineStr"/>
    </row>
    <row r="274" ht="15" customHeight="1">
      <c r="A274" t="inlineStr">
        <is>
          <t>A 49296-2024</t>
        </is>
      </c>
      <c r="B274" s="1" t="n">
        <v>45595</v>
      </c>
      <c r="C274" s="1" t="n">
        <v>46092</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58983-2025</t>
        </is>
      </c>
      <c r="B275" s="1" t="n">
        <v>45987.63885416667</v>
      </c>
      <c r="C275" s="1" t="n">
        <v>46092</v>
      </c>
      <c r="D275" t="inlineStr">
        <is>
          <t>JÄMTLANDS LÄN</t>
        </is>
      </c>
      <c r="E275" t="inlineStr">
        <is>
          <t>ÅRE</t>
        </is>
      </c>
      <c r="G275" t="n">
        <v>9.9</v>
      </c>
      <c r="H275" t="n">
        <v>0</v>
      </c>
      <c r="I275" t="n">
        <v>0</v>
      </c>
      <c r="J275" t="n">
        <v>0</v>
      </c>
      <c r="K275" t="n">
        <v>0</v>
      </c>
      <c r="L275" t="n">
        <v>0</v>
      </c>
      <c r="M275" t="n">
        <v>0</v>
      </c>
      <c r="N275" t="n">
        <v>0</v>
      </c>
      <c r="O275" t="n">
        <v>0</v>
      </c>
      <c r="P275" t="n">
        <v>0</v>
      </c>
      <c r="Q275" t="n">
        <v>0</v>
      </c>
      <c r="R275" s="2" t="inlineStr"/>
    </row>
    <row r="276" ht="15" customHeight="1">
      <c r="A276" t="inlineStr">
        <is>
          <t>A 58872-2025</t>
        </is>
      </c>
      <c r="B276" s="1" t="n">
        <v>45987.46554398148</v>
      </c>
      <c r="C276" s="1" t="n">
        <v>46092</v>
      </c>
      <c r="D276" t="inlineStr">
        <is>
          <t>JÄMTLANDS LÄN</t>
        </is>
      </c>
      <c r="E276" t="inlineStr">
        <is>
          <t>ÅRE</t>
        </is>
      </c>
      <c r="G276" t="n">
        <v>8</v>
      </c>
      <c r="H276" t="n">
        <v>0</v>
      </c>
      <c r="I276" t="n">
        <v>0</v>
      </c>
      <c r="J276" t="n">
        <v>0</v>
      </c>
      <c r="K276" t="n">
        <v>0</v>
      </c>
      <c r="L276" t="n">
        <v>0</v>
      </c>
      <c r="M276" t="n">
        <v>0</v>
      </c>
      <c r="N276" t="n">
        <v>0</v>
      </c>
      <c r="O276" t="n">
        <v>0</v>
      </c>
      <c r="P276" t="n">
        <v>0</v>
      </c>
      <c r="Q276" t="n">
        <v>0</v>
      </c>
      <c r="R276" s="2" t="inlineStr"/>
    </row>
    <row r="277" ht="15" customHeight="1">
      <c r="A277" t="inlineStr">
        <is>
          <t>A 58891-2025</t>
        </is>
      </c>
      <c r="B277" s="1" t="n">
        <v>45987.49034722222</v>
      </c>
      <c r="C277" s="1" t="n">
        <v>46092</v>
      </c>
      <c r="D277" t="inlineStr">
        <is>
          <t>JÄMTLANDS LÄN</t>
        </is>
      </c>
      <c r="E277" t="inlineStr">
        <is>
          <t>ÅRE</t>
        </is>
      </c>
      <c r="G277" t="n">
        <v>4.1</v>
      </c>
      <c r="H277" t="n">
        <v>0</v>
      </c>
      <c r="I277" t="n">
        <v>0</v>
      </c>
      <c r="J277" t="n">
        <v>0</v>
      </c>
      <c r="K277" t="n">
        <v>0</v>
      </c>
      <c r="L277" t="n">
        <v>0</v>
      </c>
      <c r="M277" t="n">
        <v>0</v>
      </c>
      <c r="N277" t="n">
        <v>0</v>
      </c>
      <c r="O277" t="n">
        <v>0</v>
      </c>
      <c r="P277" t="n">
        <v>0</v>
      </c>
      <c r="Q277" t="n">
        <v>0</v>
      </c>
      <c r="R277" s="2" t="inlineStr"/>
    </row>
    <row r="278" ht="15" customHeight="1">
      <c r="A278" t="inlineStr">
        <is>
          <t>A 33625-2022</t>
        </is>
      </c>
      <c r="B278" s="1" t="n">
        <v>44789</v>
      </c>
      <c r="C278" s="1" t="n">
        <v>46092</v>
      </c>
      <c r="D278" t="inlineStr">
        <is>
          <t>JÄMTLANDS LÄN</t>
        </is>
      </c>
      <c r="E278" t="inlineStr">
        <is>
          <t>ÅRE</t>
        </is>
      </c>
      <c r="G278" t="n">
        <v>20.7</v>
      </c>
      <c r="H278" t="n">
        <v>0</v>
      </c>
      <c r="I278" t="n">
        <v>0</v>
      </c>
      <c r="J278" t="n">
        <v>0</v>
      </c>
      <c r="K278" t="n">
        <v>0</v>
      </c>
      <c r="L278" t="n">
        <v>0</v>
      </c>
      <c r="M278" t="n">
        <v>0</v>
      </c>
      <c r="N278" t="n">
        <v>0</v>
      </c>
      <c r="O278" t="n">
        <v>0</v>
      </c>
      <c r="P278" t="n">
        <v>0</v>
      </c>
      <c r="Q278" t="n">
        <v>0</v>
      </c>
      <c r="R278" s="2" t="inlineStr"/>
    </row>
    <row r="279" ht="15" customHeight="1">
      <c r="A279" t="inlineStr">
        <is>
          <t>A 59367-2025</t>
        </is>
      </c>
      <c r="B279" s="1" t="n">
        <v>45989.44711805556</v>
      </c>
      <c r="C279" s="1" t="n">
        <v>46092</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15884-2023</t>
        </is>
      </c>
      <c r="B280" s="1" t="n">
        <v>45022</v>
      </c>
      <c r="C280" s="1" t="n">
        <v>46092</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59014-2025</t>
        </is>
      </c>
      <c r="B281" s="1" t="n">
        <v>45987.81232638889</v>
      </c>
      <c r="C281" s="1" t="n">
        <v>46092</v>
      </c>
      <c r="D281" t="inlineStr">
        <is>
          <t>JÄMTLANDS LÄN</t>
        </is>
      </c>
      <c r="E281" t="inlineStr">
        <is>
          <t>ÅRE</t>
        </is>
      </c>
      <c r="G281" t="n">
        <v>2.1</v>
      </c>
      <c r="H281" t="n">
        <v>0</v>
      </c>
      <c r="I281" t="n">
        <v>0</v>
      </c>
      <c r="J281" t="n">
        <v>0</v>
      </c>
      <c r="K281" t="n">
        <v>0</v>
      </c>
      <c r="L281" t="n">
        <v>0</v>
      </c>
      <c r="M281" t="n">
        <v>0</v>
      </c>
      <c r="N281" t="n">
        <v>0</v>
      </c>
      <c r="O281" t="n">
        <v>0</v>
      </c>
      <c r="P281" t="n">
        <v>0</v>
      </c>
      <c r="Q281" t="n">
        <v>0</v>
      </c>
      <c r="R281" s="2" t="inlineStr"/>
    </row>
    <row r="282" ht="15" customHeight="1">
      <c r="A282" t="inlineStr">
        <is>
          <t>A 59161-2025</t>
        </is>
      </c>
      <c r="B282" s="1" t="n">
        <v>45988.55300925926</v>
      </c>
      <c r="C282" s="1" t="n">
        <v>46092</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59823-2025</t>
        </is>
      </c>
      <c r="B283" s="1" t="n">
        <v>45992.64878472222</v>
      </c>
      <c r="C283" s="1" t="n">
        <v>46092</v>
      </c>
      <c r="D283" t="inlineStr">
        <is>
          <t>JÄMTLANDS LÄN</t>
        </is>
      </c>
      <c r="E283" t="inlineStr">
        <is>
          <t>ÅRE</t>
        </is>
      </c>
      <c r="G283" t="n">
        <v>0.4</v>
      </c>
      <c r="H283" t="n">
        <v>0</v>
      </c>
      <c r="I283" t="n">
        <v>0</v>
      </c>
      <c r="J283" t="n">
        <v>0</v>
      </c>
      <c r="K283" t="n">
        <v>0</v>
      </c>
      <c r="L283" t="n">
        <v>0</v>
      </c>
      <c r="M283" t="n">
        <v>0</v>
      </c>
      <c r="N283" t="n">
        <v>0</v>
      </c>
      <c r="O283" t="n">
        <v>0</v>
      </c>
      <c r="P283" t="n">
        <v>0</v>
      </c>
      <c r="Q283" t="n">
        <v>0</v>
      </c>
      <c r="R283" s="2" t="inlineStr"/>
    </row>
    <row r="284" ht="15" customHeight="1">
      <c r="A284" t="inlineStr">
        <is>
          <t>A 59690-2025</t>
        </is>
      </c>
      <c r="B284" s="1" t="n">
        <v>45992.48541666667</v>
      </c>
      <c r="C284" s="1" t="n">
        <v>46092</v>
      </c>
      <c r="D284" t="inlineStr">
        <is>
          <t>JÄMTLANDS LÄN</t>
        </is>
      </c>
      <c r="E284" t="inlineStr">
        <is>
          <t>ÅRE</t>
        </is>
      </c>
      <c r="G284" t="n">
        <v>2.5</v>
      </c>
      <c r="H284" t="n">
        <v>0</v>
      </c>
      <c r="I284" t="n">
        <v>0</v>
      </c>
      <c r="J284" t="n">
        <v>0</v>
      </c>
      <c r="K284" t="n">
        <v>0</v>
      </c>
      <c r="L284" t="n">
        <v>0</v>
      </c>
      <c r="M284" t="n">
        <v>0</v>
      </c>
      <c r="N284" t="n">
        <v>0</v>
      </c>
      <c r="O284" t="n">
        <v>0</v>
      </c>
      <c r="P284" t="n">
        <v>0</v>
      </c>
      <c r="Q284" t="n">
        <v>0</v>
      </c>
      <c r="R284" s="2" t="inlineStr"/>
    </row>
    <row r="285" ht="15" customHeight="1">
      <c r="A285" t="inlineStr">
        <is>
          <t>A 59653-2025</t>
        </is>
      </c>
      <c r="B285" s="1" t="n">
        <v>45992.43616898148</v>
      </c>
      <c r="C285" s="1" t="n">
        <v>46092</v>
      </c>
      <c r="D285" t="inlineStr">
        <is>
          <t>JÄMTLANDS LÄN</t>
        </is>
      </c>
      <c r="E285" t="inlineStr">
        <is>
          <t>ÅRE</t>
        </is>
      </c>
      <c r="G285" t="n">
        <v>3.6</v>
      </c>
      <c r="H285" t="n">
        <v>0</v>
      </c>
      <c r="I285" t="n">
        <v>0</v>
      </c>
      <c r="J285" t="n">
        <v>0</v>
      </c>
      <c r="K285" t="n">
        <v>0</v>
      </c>
      <c r="L285" t="n">
        <v>0</v>
      </c>
      <c r="M285" t="n">
        <v>0</v>
      </c>
      <c r="N285" t="n">
        <v>0</v>
      </c>
      <c r="O285" t="n">
        <v>0</v>
      </c>
      <c r="P285" t="n">
        <v>0</v>
      </c>
      <c r="Q285" t="n">
        <v>0</v>
      </c>
      <c r="R285" s="2" t="inlineStr"/>
    </row>
    <row r="286" ht="15" customHeight="1">
      <c r="A286" t="inlineStr">
        <is>
          <t>A 59659-2025</t>
        </is>
      </c>
      <c r="B286" s="1" t="n">
        <v>45992.44748842593</v>
      </c>
      <c r="C286" s="1" t="n">
        <v>46092</v>
      </c>
      <c r="D286" t="inlineStr">
        <is>
          <t>JÄMTLANDS LÄN</t>
        </is>
      </c>
      <c r="E286" t="inlineStr">
        <is>
          <t>ÅRE</t>
        </is>
      </c>
      <c r="G286" t="n">
        <v>2.8</v>
      </c>
      <c r="H286" t="n">
        <v>0</v>
      </c>
      <c r="I286" t="n">
        <v>0</v>
      </c>
      <c r="J286" t="n">
        <v>0</v>
      </c>
      <c r="K286" t="n">
        <v>0</v>
      </c>
      <c r="L286" t="n">
        <v>0</v>
      </c>
      <c r="M286" t="n">
        <v>0</v>
      </c>
      <c r="N286" t="n">
        <v>0</v>
      </c>
      <c r="O286" t="n">
        <v>0</v>
      </c>
      <c r="P286" t="n">
        <v>0</v>
      </c>
      <c r="Q286" t="n">
        <v>0</v>
      </c>
      <c r="R286" s="2" t="inlineStr"/>
    </row>
    <row r="287" ht="15" customHeight="1">
      <c r="A287" t="inlineStr">
        <is>
          <t>A 51452-2024</t>
        </is>
      </c>
      <c r="B287" s="1" t="n">
        <v>45604.49045138889</v>
      </c>
      <c r="C287" s="1" t="n">
        <v>46092</v>
      </c>
      <c r="D287" t="inlineStr">
        <is>
          <t>JÄMTLANDS LÄN</t>
        </is>
      </c>
      <c r="E287" t="inlineStr">
        <is>
          <t>ÅRE</t>
        </is>
      </c>
      <c r="G287" t="n">
        <v>8</v>
      </c>
      <c r="H287" t="n">
        <v>0</v>
      </c>
      <c r="I287" t="n">
        <v>0</v>
      </c>
      <c r="J287" t="n">
        <v>0</v>
      </c>
      <c r="K287" t="n">
        <v>0</v>
      </c>
      <c r="L287" t="n">
        <v>0</v>
      </c>
      <c r="M287" t="n">
        <v>0</v>
      </c>
      <c r="N287" t="n">
        <v>0</v>
      </c>
      <c r="O287" t="n">
        <v>0</v>
      </c>
      <c r="P287" t="n">
        <v>0</v>
      </c>
      <c r="Q287" t="n">
        <v>0</v>
      </c>
      <c r="R287" s="2" t="inlineStr"/>
    </row>
    <row r="288" ht="15" customHeight="1">
      <c r="A288" t="inlineStr">
        <is>
          <t>A 60398-2025</t>
        </is>
      </c>
      <c r="B288" s="1" t="n">
        <v>45995.3990162037</v>
      </c>
      <c r="C288" s="1" t="n">
        <v>46092</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60473-2025</t>
        </is>
      </c>
      <c r="B289" s="1" t="n">
        <v>45995.57738425926</v>
      </c>
      <c r="C289" s="1" t="n">
        <v>46092</v>
      </c>
      <c r="D289" t="inlineStr">
        <is>
          <t>JÄMTLANDS LÄN</t>
        </is>
      </c>
      <c r="E289" t="inlineStr">
        <is>
          <t>ÅRE</t>
        </is>
      </c>
      <c r="G289" t="n">
        <v>7.7</v>
      </c>
      <c r="H289" t="n">
        <v>0</v>
      </c>
      <c r="I289" t="n">
        <v>0</v>
      </c>
      <c r="J289" t="n">
        <v>0</v>
      </c>
      <c r="K289" t="n">
        <v>0</v>
      </c>
      <c r="L289" t="n">
        <v>0</v>
      </c>
      <c r="M289" t="n">
        <v>0</v>
      </c>
      <c r="N289" t="n">
        <v>0</v>
      </c>
      <c r="O289" t="n">
        <v>0</v>
      </c>
      <c r="P289" t="n">
        <v>0</v>
      </c>
      <c r="Q289" t="n">
        <v>0</v>
      </c>
      <c r="R289" s="2" t="inlineStr"/>
    </row>
    <row r="290" ht="15" customHeight="1">
      <c r="A290" t="inlineStr">
        <is>
          <t>A 60585-2025</t>
        </is>
      </c>
      <c r="B290" s="1" t="n">
        <v>45996.33314814815</v>
      </c>
      <c r="C290" s="1" t="n">
        <v>46092</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61009-2025</t>
        </is>
      </c>
      <c r="B291" s="1" t="n">
        <v>45999</v>
      </c>
      <c r="C291" s="1" t="n">
        <v>46092</v>
      </c>
      <c r="D291" t="inlineStr">
        <is>
          <t>JÄMTLANDS LÄN</t>
        </is>
      </c>
      <c r="E291" t="inlineStr">
        <is>
          <t>ÅRE</t>
        </is>
      </c>
      <c r="G291" t="n">
        <v>1.9</v>
      </c>
      <c r="H291" t="n">
        <v>0</v>
      </c>
      <c r="I291" t="n">
        <v>0</v>
      </c>
      <c r="J291" t="n">
        <v>0</v>
      </c>
      <c r="K291" t="n">
        <v>0</v>
      </c>
      <c r="L291" t="n">
        <v>0</v>
      </c>
      <c r="M291" t="n">
        <v>0</v>
      </c>
      <c r="N291" t="n">
        <v>0</v>
      </c>
      <c r="O291" t="n">
        <v>0</v>
      </c>
      <c r="P291" t="n">
        <v>0</v>
      </c>
      <c r="Q291" t="n">
        <v>0</v>
      </c>
      <c r="R291" s="2" t="inlineStr"/>
    </row>
    <row r="292" ht="15" customHeight="1">
      <c r="A292" t="inlineStr">
        <is>
          <t>A 60783-2025</t>
        </is>
      </c>
      <c r="B292" s="1" t="n">
        <v>45999.39971064815</v>
      </c>
      <c r="C292" s="1" t="n">
        <v>46092</v>
      </c>
      <c r="D292" t="inlineStr">
        <is>
          <t>JÄMTLANDS LÄN</t>
        </is>
      </c>
      <c r="E292" t="inlineStr">
        <is>
          <t>ÅRE</t>
        </is>
      </c>
      <c r="G292" t="n">
        <v>10.6</v>
      </c>
      <c r="H292" t="n">
        <v>0</v>
      </c>
      <c r="I292" t="n">
        <v>0</v>
      </c>
      <c r="J292" t="n">
        <v>0</v>
      </c>
      <c r="K292" t="n">
        <v>0</v>
      </c>
      <c r="L292" t="n">
        <v>0</v>
      </c>
      <c r="M292" t="n">
        <v>0</v>
      </c>
      <c r="N292" t="n">
        <v>0</v>
      </c>
      <c r="O292" t="n">
        <v>0</v>
      </c>
      <c r="P292" t="n">
        <v>0</v>
      </c>
      <c r="Q292" t="n">
        <v>0</v>
      </c>
      <c r="R292" s="2" t="inlineStr"/>
    </row>
    <row r="293" ht="15" customHeight="1">
      <c r="A293" t="inlineStr">
        <is>
          <t>A 58232-2021</t>
        </is>
      </c>
      <c r="B293" s="1" t="n">
        <v>44487</v>
      </c>
      <c r="C293" s="1" t="n">
        <v>46092</v>
      </c>
      <c r="D293" t="inlineStr">
        <is>
          <t>JÄMTLANDS LÄN</t>
        </is>
      </c>
      <c r="E293" t="inlineStr">
        <is>
          <t>ÅRE</t>
        </is>
      </c>
      <c r="G293" t="n">
        <v>43.7</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46092</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20485-2024</t>
        </is>
      </c>
      <c r="B295" s="1" t="n">
        <v>45435.7403125</v>
      </c>
      <c r="C295" s="1" t="n">
        <v>46092</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48223-2025</t>
        </is>
      </c>
      <c r="B296" s="1" t="n">
        <v>45931</v>
      </c>
      <c r="C296" s="1" t="n">
        <v>46092</v>
      </c>
      <c r="D296" t="inlineStr">
        <is>
          <t>JÄMTLANDS LÄN</t>
        </is>
      </c>
      <c r="E296" t="inlineStr">
        <is>
          <t>ÅRE</t>
        </is>
      </c>
      <c r="G296" t="n">
        <v>2.1</v>
      </c>
      <c r="H296" t="n">
        <v>0</v>
      </c>
      <c r="I296" t="n">
        <v>0</v>
      </c>
      <c r="J296" t="n">
        <v>0</v>
      </c>
      <c r="K296" t="n">
        <v>0</v>
      </c>
      <c r="L296" t="n">
        <v>0</v>
      </c>
      <c r="M296" t="n">
        <v>0</v>
      </c>
      <c r="N296" t="n">
        <v>0</v>
      </c>
      <c r="O296" t="n">
        <v>0</v>
      </c>
      <c r="P296" t="n">
        <v>0</v>
      </c>
      <c r="Q296" t="n">
        <v>0</v>
      </c>
      <c r="R296" s="2" t="inlineStr"/>
      <c r="U296">
        <f>HYPERLINK("https://klasma.github.io/Logging_2321/knärot/A 48223-2025 karta knärot.png", "A 48223-2025")</f>
        <v/>
      </c>
      <c r="V296">
        <f>HYPERLINK("https://klasma.github.io/Logging_2321/klagomål/A 48223-2025 FSC-klagomål.docx", "A 48223-2025")</f>
        <v/>
      </c>
      <c r="W296">
        <f>HYPERLINK("https://klasma.github.io/Logging_2321/klagomålsmail/A 48223-2025 FSC-klagomål mail.docx", "A 48223-2025")</f>
        <v/>
      </c>
      <c r="X296">
        <f>HYPERLINK("https://klasma.github.io/Logging_2321/tillsyn/A 48223-2025 tillsynsbegäran.docx", "A 48223-2025")</f>
        <v/>
      </c>
      <c r="Y296">
        <f>HYPERLINK("https://klasma.github.io/Logging_2321/tillsynsmail/A 48223-2025 tillsynsbegäran mail.docx", "A 48223-2025")</f>
        <v/>
      </c>
    </row>
    <row r="297" ht="15" customHeight="1">
      <c r="A297" t="inlineStr">
        <is>
          <t>A 47963-2025</t>
        </is>
      </c>
      <c r="B297" s="1" t="n">
        <v>45931</v>
      </c>
      <c r="C297" s="1" t="n">
        <v>46092</v>
      </c>
      <c r="D297" t="inlineStr">
        <is>
          <t>JÄMTLANDS LÄN</t>
        </is>
      </c>
      <c r="E297" t="inlineStr">
        <is>
          <t>ÅRE</t>
        </is>
      </c>
      <c r="G297" t="n">
        <v>0.3</v>
      </c>
      <c r="H297" t="n">
        <v>0</v>
      </c>
      <c r="I297" t="n">
        <v>0</v>
      </c>
      <c r="J297" t="n">
        <v>0</v>
      </c>
      <c r="K297" t="n">
        <v>0</v>
      </c>
      <c r="L297" t="n">
        <v>0</v>
      </c>
      <c r="M297" t="n">
        <v>0</v>
      </c>
      <c r="N297" t="n">
        <v>0</v>
      </c>
      <c r="O297" t="n">
        <v>0</v>
      </c>
      <c r="P297" t="n">
        <v>0</v>
      </c>
      <c r="Q297" t="n">
        <v>0</v>
      </c>
      <c r="R297" s="2" t="inlineStr"/>
    </row>
    <row r="298" ht="15" customHeight="1">
      <c r="A298" t="inlineStr">
        <is>
          <t>A 61032-2025</t>
        </is>
      </c>
      <c r="B298" s="1" t="n">
        <v>45999.89533564815</v>
      </c>
      <c r="C298" s="1" t="n">
        <v>46092</v>
      </c>
      <c r="D298" t="inlineStr">
        <is>
          <t>JÄMTLANDS LÄN</t>
        </is>
      </c>
      <c r="E298" t="inlineStr">
        <is>
          <t>ÅRE</t>
        </is>
      </c>
      <c r="G298" t="n">
        <v>1.4</v>
      </c>
      <c r="H298" t="n">
        <v>0</v>
      </c>
      <c r="I298" t="n">
        <v>0</v>
      </c>
      <c r="J298" t="n">
        <v>0</v>
      </c>
      <c r="K298" t="n">
        <v>0</v>
      </c>
      <c r="L298" t="n">
        <v>0</v>
      </c>
      <c r="M298" t="n">
        <v>0</v>
      </c>
      <c r="N298" t="n">
        <v>0</v>
      </c>
      <c r="O298" t="n">
        <v>0</v>
      </c>
      <c r="P298" t="n">
        <v>0</v>
      </c>
      <c r="Q298" t="n">
        <v>0</v>
      </c>
      <c r="R298" s="2" t="inlineStr"/>
    </row>
    <row r="299" ht="15" customHeight="1">
      <c r="A299" t="inlineStr">
        <is>
          <t>A 15305-2021</t>
        </is>
      </c>
      <c r="B299" s="1" t="n">
        <v>44284</v>
      </c>
      <c r="C299" s="1" t="n">
        <v>46092</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60122-2021</t>
        </is>
      </c>
      <c r="B300" s="1" t="n">
        <v>44495</v>
      </c>
      <c r="C300" s="1" t="n">
        <v>46092</v>
      </c>
      <c r="D300" t="inlineStr">
        <is>
          <t>JÄMTLANDS LÄN</t>
        </is>
      </c>
      <c r="E300" t="inlineStr">
        <is>
          <t>ÅRE</t>
        </is>
      </c>
      <c r="G300" t="n">
        <v>46.7</v>
      </c>
      <c r="H300" t="n">
        <v>0</v>
      </c>
      <c r="I300" t="n">
        <v>0</v>
      </c>
      <c r="J300" t="n">
        <v>0</v>
      </c>
      <c r="K300" t="n">
        <v>0</v>
      </c>
      <c r="L300" t="n">
        <v>0</v>
      </c>
      <c r="M300" t="n">
        <v>0</v>
      </c>
      <c r="N300" t="n">
        <v>0</v>
      </c>
      <c r="O300" t="n">
        <v>0</v>
      </c>
      <c r="P300" t="n">
        <v>0</v>
      </c>
      <c r="Q300" t="n">
        <v>0</v>
      </c>
      <c r="R300" s="2" t="inlineStr"/>
    </row>
    <row r="301" ht="15" customHeight="1">
      <c r="A301" t="inlineStr">
        <is>
          <t>A 61355-2025</t>
        </is>
      </c>
      <c r="B301" s="1" t="n">
        <v>46001.39805555555</v>
      </c>
      <c r="C301" s="1" t="n">
        <v>46092</v>
      </c>
      <c r="D301" t="inlineStr">
        <is>
          <t>JÄMTLANDS LÄN</t>
        </is>
      </c>
      <c r="E301" t="inlineStr">
        <is>
          <t>ÅRE</t>
        </is>
      </c>
      <c r="G301" t="n">
        <v>6.7</v>
      </c>
      <c r="H301" t="n">
        <v>0</v>
      </c>
      <c r="I301" t="n">
        <v>0</v>
      </c>
      <c r="J301" t="n">
        <v>0</v>
      </c>
      <c r="K301" t="n">
        <v>0</v>
      </c>
      <c r="L301" t="n">
        <v>0</v>
      </c>
      <c r="M301" t="n">
        <v>0</v>
      </c>
      <c r="N301" t="n">
        <v>0</v>
      </c>
      <c r="O301" t="n">
        <v>0</v>
      </c>
      <c r="P301" t="n">
        <v>0</v>
      </c>
      <c r="Q301" t="n">
        <v>0</v>
      </c>
      <c r="R301" s="2" t="inlineStr"/>
    </row>
    <row r="302" ht="15" customHeight="1">
      <c r="A302" t="inlineStr">
        <is>
          <t>A 61024-2025</t>
        </is>
      </c>
      <c r="B302" s="1" t="n">
        <v>45999.87188657407</v>
      </c>
      <c r="C302" s="1" t="n">
        <v>46092</v>
      </c>
      <c r="D302" t="inlineStr">
        <is>
          <t>JÄMTLANDS LÄN</t>
        </is>
      </c>
      <c r="E302" t="inlineStr">
        <is>
          <t>ÅRE</t>
        </is>
      </c>
      <c r="G302" t="n">
        <v>5.6</v>
      </c>
      <c r="H302" t="n">
        <v>0</v>
      </c>
      <c r="I302" t="n">
        <v>0</v>
      </c>
      <c r="J302" t="n">
        <v>0</v>
      </c>
      <c r="K302" t="n">
        <v>0</v>
      </c>
      <c r="L302" t="n">
        <v>0</v>
      </c>
      <c r="M302" t="n">
        <v>0</v>
      </c>
      <c r="N302" t="n">
        <v>0</v>
      </c>
      <c r="O302" t="n">
        <v>0</v>
      </c>
      <c r="P302" t="n">
        <v>0</v>
      </c>
      <c r="Q302" t="n">
        <v>0</v>
      </c>
      <c r="R302" s="2" t="inlineStr"/>
    </row>
    <row r="303" ht="15" customHeight="1">
      <c r="A303" t="inlineStr">
        <is>
          <t>A 47075-2024</t>
        </is>
      </c>
      <c r="B303" s="1" t="n">
        <v>45586.5008912037</v>
      </c>
      <c r="C303" s="1" t="n">
        <v>46092</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51183-2025</t>
        </is>
      </c>
      <c r="B304" s="1" t="n">
        <v>45947.62087962963</v>
      </c>
      <c r="C304" s="1" t="n">
        <v>46092</v>
      </c>
      <c r="D304" t="inlineStr">
        <is>
          <t>JÄMTLANDS LÄN</t>
        </is>
      </c>
      <c r="E304" t="inlineStr">
        <is>
          <t>ÅRE</t>
        </is>
      </c>
      <c r="F304" t="inlineStr">
        <is>
          <t>Övriga statliga verk och myndigheter</t>
        </is>
      </c>
      <c r="G304" t="n">
        <v>2</v>
      </c>
      <c r="H304" t="n">
        <v>0</v>
      </c>
      <c r="I304" t="n">
        <v>0</v>
      </c>
      <c r="J304" t="n">
        <v>0</v>
      </c>
      <c r="K304" t="n">
        <v>0</v>
      </c>
      <c r="L304" t="n">
        <v>0</v>
      </c>
      <c r="M304" t="n">
        <v>0</v>
      </c>
      <c r="N304" t="n">
        <v>0</v>
      </c>
      <c r="O304" t="n">
        <v>0</v>
      </c>
      <c r="P304" t="n">
        <v>0</v>
      </c>
      <c r="Q304" t="n">
        <v>0</v>
      </c>
      <c r="R304" s="2" t="inlineStr"/>
    </row>
    <row r="305" ht="15" customHeight="1">
      <c r="A305" t="inlineStr">
        <is>
          <t>A 61996-2025</t>
        </is>
      </c>
      <c r="B305" s="1" t="n">
        <v>46003.64273148148</v>
      </c>
      <c r="C305" s="1" t="n">
        <v>46092</v>
      </c>
      <c r="D305" t="inlineStr">
        <is>
          <t>JÄMTLANDS LÄN</t>
        </is>
      </c>
      <c r="E305" t="inlineStr">
        <is>
          <t>ÅRE</t>
        </is>
      </c>
      <c r="G305" t="n">
        <v>4.5</v>
      </c>
      <c r="H305" t="n">
        <v>0</v>
      </c>
      <c r="I305" t="n">
        <v>0</v>
      </c>
      <c r="J305" t="n">
        <v>0</v>
      </c>
      <c r="K305" t="n">
        <v>0</v>
      </c>
      <c r="L305" t="n">
        <v>0</v>
      </c>
      <c r="M305" t="n">
        <v>0</v>
      </c>
      <c r="N305" t="n">
        <v>0</v>
      </c>
      <c r="O305" t="n">
        <v>0</v>
      </c>
      <c r="P305" t="n">
        <v>0</v>
      </c>
      <c r="Q305" t="n">
        <v>0</v>
      </c>
      <c r="R305" s="2" t="inlineStr"/>
    </row>
    <row r="306" ht="15" customHeight="1">
      <c r="A306" t="inlineStr">
        <is>
          <t>A 62532-2025</t>
        </is>
      </c>
      <c r="B306" s="1" t="n">
        <v>46007.63630787037</v>
      </c>
      <c r="C306" s="1" t="n">
        <v>46092</v>
      </c>
      <c r="D306" t="inlineStr">
        <is>
          <t>JÄMTLANDS LÄN</t>
        </is>
      </c>
      <c r="E306" t="inlineStr">
        <is>
          <t>ÅRE</t>
        </is>
      </c>
      <c r="G306" t="n">
        <v>5</v>
      </c>
      <c r="H306" t="n">
        <v>0</v>
      </c>
      <c r="I306" t="n">
        <v>0</v>
      </c>
      <c r="J306" t="n">
        <v>0</v>
      </c>
      <c r="K306" t="n">
        <v>0</v>
      </c>
      <c r="L306" t="n">
        <v>0</v>
      </c>
      <c r="M306" t="n">
        <v>0</v>
      </c>
      <c r="N306" t="n">
        <v>0</v>
      </c>
      <c r="O306" t="n">
        <v>0</v>
      </c>
      <c r="P306" t="n">
        <v>0</v>
      </c>
      <c r="Q306" t="n">
        <v>0</v>
      </c>
      <c r="R306" s="2" t="inlineStr"/>
    </row>
    <row r="307" ht="15" customHeight="1">
      <c r="A307" t="inlineStr">
        <is>
          <t>A 62218-2025</t>
        </is>
      </c>
      <c r="B307" s="1" t="n">
        <v>46006.58048611111</v>
      </c>
      <c r="C307" s="1" t="n">
        <v>46092</v>
      </c>
      <c r="D307" t="inlineStr">
        <is>
          <t>JÄMTLANDS LÄN</t>
        </is>
      </c>
      <c r="E307" t="inlineStr">
        <is>
          <t>ÅRE</t>
        </is>
      </c>
      <c r="G307" t="n">
        <v>15.6</v>
      </c>
      <c r="H307" t="n">
        <v>0</v>
      </c>
      <c r="I307" t="n">
        <v>0</v>
      </c>
      <c r="J307" t="n">
        <v>0</v>
      </c>
      <c r="K307" t="n">
        <v>0</v>
      </c>
      <c r="L307" t="n">
        <v>0</v>
      </c>
      <c r="M307" t="n">
        <v>0</v>
      </c>
      <c r="N307" t="n">
        <v>0</v>
      </c>
      <c r="O307" t="n">
        <v>0</v>
      </c>
      <c r="P307" t="n">
        <v>0</v>
      </c>
      <c r="Q307" t="n">
        <v>0</v>
      </c>
      <c r="R307" s="2" t="inlineStr"/>
    </row>
    <row r="308" ht="15" customHeight="1">
      <c r="A308" t="inlineStr">
        <is>
          <t>A 62259-2025</t>
        </is>
      </c>
      <c r="B308" s="1" t="n">
        <v>46006.61553240741</v>
      </c>
      <c r="C308" s="1" t="n">
        <v>46092</v>
      </c>
      <c r="D308" t="inlineStr">
        <is>
          <t>JÄMTLANDS LÄN</t>
        </is>
      </c>
      <c r="E308" t="inlineStr">
        <is>
          <t>ÅRE</t>
        </is>
      </c>
      <c r="G308" t="n">
        <v>7.1</v>
      </c>
      <c r="H308" t="n">
        <v>0</v>
      </c>
      <c r="I308" t="n">
        <v>0</v>
      </c>
      <c r="J308" t="n">
        <v>0</v>
      </c>
      <c r="K308" t="n">
        <v>0</v>
      </c>
      <c r="L308" t="n">
        <v>0</v>
      </c>
      <c r="M308" t="n">
        <v>0</v>
      </c>
      <c r="N308" t="n">
        <v>0</v>
      </c>
      <c r="O308" t="n">
        <v>0</v>
      </c>
      <c r="P308" t="n">
        <v>0</v>
      </c>
      <c r="Q308" t="n">
        <v>0</v>
      </c>
      <c r="R308" s="2" t="inlineStr"/>
    </row>
    <row r="309" ht="15" customHeight="1">
      <c r="A309" t="inlineStr">
        <is>
          <t>A 62189-2025</t>
        </is>
      </c>
      <c r="B309" s="1" t="n">
        <v>46006.54729166667</v>
      </c>
      <c r="C309" s="1" t="n">
        <v>46092</v>
      </c>
      <c r="D309" t="inlineStr">
        <is>
          <t>JÄMTLANDS LÄN</t>
        </is>
      </c>
      <c r="E309" t="inlineStr">
        <is>
          <t>ÅRE</t>
        </is>
      </c>
      <c r="G309" t="n">
        <v>0.6</v>
      </c>
      <c r="H309" t="n">
        <v>0</v>
      </c>
      <c r="I309" t="n">
        <v>0</v>
      </c>
      <c r="J309" t="n">
        <v>0</v>
      </c>
      <c r="K309" t="n">
        <v>0</v>
      </c>
      <c r="L309" t="n">
        <v>0</v>
      </c>
      <c r="M309" t="n">
        <v>0</v>
      </c>
      <c r="N309" t="n">
        <v>0</v>
      </c>
      <c r="O309" t="n">
        <v>0</v>
      </c>
      <c r="P309" t="n">
        <v>0</v>
      </c>
      <c r="Q309" t="n">
        <v>0</v>
      </c>
      <c r="R309" s="2" t="inlineStr"/>
    </row>
    <row r="310" ht="15" customHeight="1">
      <c r="A310" t="inlineStr">
        <is>
          <t>A 40653-2022</t>
        </is>
      </c>
      <c r="B310" s="1" t="n">
        <v>44818</v>
      </c>
      <c r="C310" s="1" t="n">
        <v>46092</v>
      </c>
      <c r="D310" t="inlineStr">
        <is>
          <t>JÄMTLANDS LÄN</t>
        </is>
      </c>
      <c r="E310" t="inlineStr">
        <is>
          <t>ÅRE</t>
        </is>
      </c>
      <c r="G310" t="n">
        <v>1.4</v>
      </c>
      <c r="H310" t="n">
        <v>0</v>
      </c>
      <c r="I310" t="n">
        <v>0</v>
      </c>
      <c r="J310" t="n">
        <v>0</v>
      </c>
      <c r="K310" t="n">
        <v>0</v>
      </c>
      <c r="L310" t="n">
        <v>0</v>
      </c>
      <c r="M310" t="n">
        <v>0</v>
      </c>
      <c r="N310" t="n">
        <v>0</v>
      </c>
      <c r="O310" t="n">
        <v>0</v>
      </c>
      <c r="P310" t="n">
        <v>0</v>
      </c>
      <c r="Q310" t="n">
        <v>0</v>
      </c>
      <c r="R310" s="2" t="inlineStr"/>
    </row>
    <row r="311" ht="15" customHeight="1">
      <c r="A311" t="inlineStr">
        <is>
          <t>A 62520-2025</t>
        </is>
      </c>
      <c r="B311" s="1" t="n">
        <v>46007.61498842593</v>
      </c>
      <c r="C311" s="1" t="n">
        <v>46092</v>
      </c>
      <c r="D311" t="inlineStr">
        <is>
          <t>JÄMTLANDS LÄN</t>
        </is>
      </c>
      <c r="E311" t="inlineStr">
        <is>
          <t>ÅRE</t>
        </is>
      </c>
      <c r="G311" t="n">
        <v>0.9</v>
      </c>
      <c r="H311" t="n">
        <v>0</v>
      </c>
      <c r="I311" t="n">
        <v>0</v>
      </c>
      <c r="J311" t="n">
        <v>0</v>
      </c>
      <c r="K311" t="n">
        <v>0</v>
      </c>
      <c r="L311" t="n">
        <v>0</v>
      </c>
      <c r="M311" t="n">
        <v>0</v>
      </c>
      <c r="N311" t="n">
        <v>0</v>
      </c>
      <c r="O311" t="n">
        <v>0</v>
      </c>
      <c r="P311" t="n">
        <v>0</v>
      </c>
      <c r="Q311" t="n">
        <v>0</v>
      </c>
      <c r="R311" s="2" t="inlineStr"/>
    </row>
    <row r="312" ht="15" customHeight="1">
      <c r="A312" t="inlineStr">
        <is>
          <t>A 62521-2025</t>
        </is>
      </c>
      <c r="B312" s="1" t="n">
        <v>46007.61506944444</v>
      </c>
      <c r="C312" s="1" t="n">
        <v>46092</v>
      </c>
      <c r="D312" t="inlineStr">
        <is>
          <t>JÄMTLANDS LÄN</t>
        </is>
      </c>
      <c r="E312" t="inlineStr">
        <is>
          <t>ÅRE</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62056-2025</t>
        </is>
      </c>
      <c r="B313" s="1" t="n">
        <v>46006</v>
      </c>
      <c r="C313" s="1" t="n">
        <v>46092</v>
      </c>
      <c r="D313" t="inlineStr">
        <is>
          <t>JÄMTLANDS LÄN</t>
        </is>
      </c>
      <c r="E313" t="inlineStr">
        <is>
          <t>ÅRE</t>
        </is>
      </c>
      <c r="G313" t="n">
        <v>3.5</v>
      </c>
      <c r="H313" t="n">
        <v>0</v>
      </c>
      <c r="I313" t="n">
        <v>0</v>
      </c>
      <c r="J313" t="n">
        <v>0</v>
      </c>
      <c r="K313" t="n">
        <v>0</v>
      </c>
      <c r="L313" t="n">
        <v>0</v>
      </c>
      <c r="M313" t="n">
        <v>0</v>
      </c>
      <c r="N313" t="n">
        <v>0</v>
      </c>
      <c r="O313" t="n">
        <v>0</v>
      </c>
      <c r="P313" t="n">
        <v>0</v>
      </c>
      <c r="Q313" t="n">
        <v>0</v>
      </c>
      <c r="R313" s="2" t="inlineStr"/>
    </row>
    <row r="314" ht="15" customHeight="1">
      <c r="A314" t="inlineStr">
        <is>
          <t>A 62210-2025</t>
        </is>
      </c>
      <c r="B314" s="1" t="n">
        <v>46006.5666087963</v>
      </c>
      <c r="C314" s="1" t="n">
        <v>46092</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62530-2025</t>
        </is>
      </c>
      <c r="B315" s="1" t="n">
        <v>46007.63618055556</v>
      </c>
      <c r="C315" s="1" t="n">
        <v>46092</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37758-2023</t>
        </is>
      </c>
      <c r="B316" s="1" t="n">
        <v>45159</v>
      </c>
      <c r="C316" s="1" t="n">
        <v>46092</v>
      </c>
      <c r="D316" t="inlineStr">
        <is>
          <t>JÄMTLANDS LÄN</t>
        </is>
      </c>
      <c r="E316" t="inlineStr">
        <is>
          <t>ÅRE</t>
        </is>
      </c>
      <c r="G316" t="n">
        <v>20.1</v>
      </c>
      <c r="H316" t="n">
        <v>0</v>
      </c>
      <c r="I316" t="n">
        <v>0</v>
      </c>
      <c r="J316" t="n">
        <v>0</v>
      </c>
      <c r="K316" t="n">
        <v>0</v>
      </c>
      <c r="L316" t="n">
        <v>0</v>
      </c>
      <c r="M316" t="n">
        <v>0</v>
      </c>
      <c r="N316" t="n">
        <v>0</v>
      </c>
      <c r="O316" t="n">
        <v>0</v>
      </c>
      <c r="P316" t="n">
        <v>0</v>
      </c>
      <c r="Q316" t="n">
        <v>0</v>
      </c>
      <c r="R316" s="2" t="inlineStr"/>
    </row>
    <row r="317" ht="15" customHeight="1">
      <c r="A317" t="inlineStr">
        <is>
          <t>A 24655-2023</t>
        </is>
      </c>
      <c r="B317" s="1" t="n">
        <v>45084.47790509259</v>
      </c>
      <c r="C317" s="1" t="n">
        <v>46092</v>
      </c>
      <c r="D317" t="inlineStr">
        <is>
          <t>JÄMTLANDS LÄN</t>
        </is>
      </c>
      <c r="E317" t="inlineStr">
        <is>
          <t>ÅRE</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56910-2022</t>
        </is>
      </c>
      <c r="B318" s="1" t="n">
        <v>44894.59936342593</v>
      </c>
      <c r="C318" s="1" t="n">
        <v>46092</v>
      </c>
      <c r="D318" t="inlineStr">
        <is>
          <t>JÄMTLANDS LÄN</t>
        </is>
      </c>
      <c r="E318" t="inlineStr">
        <is>
          <t>ÅRE</t>
        </is>
      </c>
      <c r="F318" t="inlineStr">
        <is>
          <t>Övriga Aktiebolag</t>
        </is>
      </c>
      <c r="G318" t="n">
        <v>4.9</v>
      </c>
      <c r="H318" t="n">
        <v>0</v>
      </c>
      <c r="I318" t="n">
        <v>0</v>
      </c>
      <c r="J318" t="n">
        <v>0</v>
      </c>
      <c r="K318" t="n">
        <v>0</v>
      </c>
      <c r="L318" t="n">
        <v>0</v>
      </c>
      <c r="M318" t="n">
        <v>0</v>
      </c>
      <c r="N318" t="n">
        <v>0</v>
      </c>
      <c r="O318" t="n">
        <v>0</v>
      </c>
      <c r="P318" t="n">
        <v>0</v>
      </c>
      <c r="Q318" t="n">
        <v>0</v>
      </c>
      <c r="R318" s="2" t="inlineStr"/>
    </row>
    <row r="319" ht="15" customHeight="1">
      <c r="A319" t="inlineStr">
        <is>
          <t>A 18264-2023</t>
        </is>
      </c>
      <c r="B319" s="1" t="n">
        <v>45041</v>
      </c>
      <c r="C319" s="1" t="n">
        <v>46092</v>
      </c>
      <c r="D319" t="inlineStr">
        <is>
          <t>JÄMTLANDS LÄN</t>
        </is>
      </c>
      <c r="E319" t="inlineStr">
        <is>
          <t>ÅRE</t>
        </is>
      </c>
      <c r="G319" t="n">
        <v>0.2</v>
      </c>
      <c r="H319" t="n">
        <v>0</v>
      </c>
      <c r="I319" t="n">
        <v>0</v>
      </c>
      <c r="J319" t="n">
        <v>0</v>
      </c>
      <c r="K319" t="n">
        <v>0</v>
      </c>
      <c r="L319" t="n">
        <v>0</v>
      </c>
      <c r="M319" t="n">
        <v>0</v>
      </c>
      <c r="N319" t="n">
        <v>0</v>
      </c>
      <c r="O319" t="n">
        <v>0</v>
      </c>
      <c r="P319" t="n">
        <v>0</v>
      </c>
      <c r="Q319" t="n">
        <v>0</v>
      </c>
      <c r="R319" s="2" t="inlineStr"/>
    </row>
    <row r="320" ht="15" customHeight="1">
      <c r="A320" t="inlineStr">
        <is>
          <t>A 52677-2024</t>
        </is>
      </c>
      <c r="B320" s="1" t="n">
        <v>45610.38560185185</v>
      </c>
      <c r="C320" s="1" t="n">
        <v>46092</v>
      </c>
      <c r="D320" t="inlineStr">
        <is>
          <t>JÄMTLANDS LÄN</t>
        </is>
      </c>
      <c r="E320" t="inlineStr">
        <is>
          <t>ÅRE</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63020-2025</t>
        </is>
      </c>
      <c r="B321" s="1" t="n">
        <v>46009.59424768519</v>
      </c>
      <c r="C321" s="1" t="n">
        <v>46092</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43307-2024</t>
        </is>
      </c>
      <c r="B322" s="1" t="n">
        <v>45568.44303240741</v>
      </c>
      <c r="C322" s="1" t="n">
        <v>46092</v>
      </c>
      <c r="D322" t="inlineStr">
        <is>
          <t>JÄMTLANDS LÄN</t>
        </is>
      </c>
      <c r="E322" t="inlineStr">
        <is>
          <t>ÅRE</t>
        </is>
      </c>
      <c r="F322" t="inlineStr">
        <is>
          <t>Övriga Aktiebolag</t>
        </is>
      </c>
      <c r="G322" t="n">
        <v>1.1</v>
      </c>
      <c r="H322" t="n">
        <v>0</v>
      </c>
      <c r="I322" t="n">
        <v>0</v>
      </c>
      <c r="J322" t="n">
        <v>0</v>
      </c>
      <c r="K322" t="n">
        <v>0</v>
      </c>
      <c r="L322" t="n">
        <v>0</v>
      </c>
      <c r="M322" t="n">
        <v>0</v>
      </c>
      <c r="N322" t="n">
        <v>0</v>
      </c>
      <c r="O322" t="n">
        <v>0</v>
      </c>
      <c r="P322" t="n">
        <v>0</v>
      </c>
      <c r="Q322" t="n">
        <v>0</v>
      </c>
      <c r="R322" s="2" t="inlineStr"/>
    </row>
    <row r="323" ht="15" customHeight="1">
      <c r="A323" t="inlineStr">
        <is>
          <t>A 54116-2023</t>
        </is>
      </c>
      <c r="B323" s="1" t="n">
        <v>45232</v>
      </c>
      <c r="C323" s="1" t="n">
        <v>46092</v>
      </c>
      <c r="D323" t="inlineStr">
        <is>
          <t>JÄMTLANDS LÄN</t>
        </is>
      </c>
      <c r="E323" t="inlineStr">
        <is>
          <t>ÅRE</t>
        </is>
      </c>
      <c r="G323" t="n">
        <v>3.8</v>
      </c>
      <c r="H323" t="n">
        <v>0</v>
      </c>
      <c r="I323" t="n">
        <v>0</v>
      </c>
      <c r="J323" t="n">
        <v>0</v>
      </c>
      <c r="K323" t="n">
        <v>0</v>
      </c>
      <c r="L323" t="n">
        <v>0</v>
      </c>
      <c r="M323" t="n">
        <v>0</v>
      </c>
      <c r="N323" t="n">
        <v>0</v>
      </c>
      <c r="O323" t="n">
        <v>0</v>
      </c>
      <c r="P323" t="n">
        <v>0</v>
      </c>
      <c r="Q323" t="n">
        <v>0</v>
      </c>
      <c r="R323" s="2" t="inlineStr"/>
    </row>
    <row r="324" ht="15" customHeight="1">
      <c r="A324" t="inlineStr">
        <is>
          <t>A 12292-2023</t>
        </is>
      </c>
      <c r="B324" s="1" t="n">
        <v>44998</v>
      </c>
      <c r="C324" s="1" t="n">
        <v>46092</v>
      </c>
      <c r="D324" t="inlineStr">
        <is>
          <t>JÄMTLANDS LÄN</t>
        </is>
      </c>
      <c r="E324" t="inlineStr">
        <is>
          <t>ÅRE</t>
        </is>
      </c>
      <c r="G324" t="n">
        <v>3.5</v>
      </c>
      <c r="H324" t="n">
        <v>0</v>
      </c>
      <c r="I324" t="n">
        <v>0</v>
      </c>
      <c r="J324" t="n">
        <v>0</v>
      </c>
      <c r="K324" t="n">
        <v>0</v>
      </c>
      <c r="L324" t="n">
        <v>0</v>
      </c>
      <c r="M324" t="n">
        <v>0</v>
      </c>
      <c r="N324" t="n">
        <v>0</v>
      </c>
      <c r="O324" t="n">
        <v>0</v>
      </c>
      <c r="P324" t="n">
        <v>0</v>
      </c>
      <c r="Q324" t="n">
        <v>0</v>
      </c>
      <c r="R324" s="2" t="inlineStr"/>
    </row>
    <row r="325" ht="15" customHeight="1">
      <c r="A325" t="inlineStr">
        <is>
          <t>A 12294-2023</t>
        </is>
      </c>
      <c r="B325" s="1" t="n">
        <v>44998.75266203703</v>
      </c>
      <c r="C325" s="1" t="n">
        <v>46092</v>
      </c>
      <c r="D325" t="inlineStr">
        <is>
          <t>JÄMTLANDS LÄN</t>
        </is>
      </c>
      <c r="E325" t="inlineStr">
        <is>
          <t>ÅRE</t>
        </is>
      </c>
      <c r="G325" t="n">
        <v>1.4</v>
      </c>
      <c r="H325" t="n">
        <v>0</v>
      </c>
      <c r="I325" t="n">
        <v>0</v>
      </c>
      <c r="J325" t="n">
        <v>0</v>
      </c>
      <c r="K325" t="n">
        <v>0</v>
      </c>
      <c r="L325" t="n">
        <v>0</v>
      </c>
      <c r="M325" t="n">
        <v>0</v>
      </c>
      <c r="N325" t="n">
        <v>0</v>
      </c>
      <c r="O325" t="n">
        <v>0</v>
      </c>
      <c r="P325" t="n">
        <v>0</v>
      </c>
      <c r="Q325" t="n">
        <v>0</v>
      </c>
      <c r="R325" s="2" t="inlineStr"/>
    </row>
    <row r="326" ht="15" customHeight="1">
      <c r="A326" t="inlineStr">
        <is>
          <t>A 5888-2026</t>
        </is>
      </c>
      <c r="B326" s="1" t="n">
        <v>46052.41568287037</v>
      </c>
      <c r="C326" s="1" t="n">
        <v>46092</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18531-2021</t>
        </is>
      </c>
      <c r="B327" s="1" t="n">
        <v>44306</v>
      </c>
      <c r="C327" s="1" t="n">
        <v>46092</v>
      </c>
      <c r="D327" t="inlineStr">
        <is>
          <t>JÄMTLANDS LÄN</t>
        </is>
      </c>
      <c r="E327" t="inlineStr">
        <is>
          <t>ÅRE</t>
        </is>
      </c>
      <c r="G327" t="n">
        <v>4</v>
      </c>
      <c r="H327" t="n">
        <v>0</v>
      </c>
      <c r="I327" t="n">
        <v>0</v>
      </c>
      <c r="J327" t="n">
        <v>0</v>
      </c>
      <c r="K327" t="n">
        <v>0</v>
      </c>
      <c r="L327" t="n">
        <v>0</v>
      </c>
      <c r="M327" t="n">
        <v>0</v>
      </c>
      <c r="N327" t="n">
        <v>0</v>
      </c>
      <c r="O327" t="n">
        <v>0</v>
      </c>
      <c r="P327" t="n">
        <v>0</v>
      </c>
      <c r="Q327" t="n">
        <v>0</v>
      </c>
      <c r="R327" s="2" t="inlineStr"/>
    </row>
    <row r="328" ht="15" customHeight="1">
      <c r="A328" t="inlineStr">
        <is>
          <t>A 6141-2026</t>
        </is>
      </c>
      <c r="B328" s="1" t="n">
        <v>46054.81873842593</v>
      </c>
      <c r="C328" s="1" t="n">
        <v>46092</v>
      </c>
      <c r="D328" t="inlineStr">
        <is>
          <t>JÄMTLANDS LÄN</t>
        </is>
      </c>
      <c r="E328" t="inlineStr">
        <is>
          <t>ÅRE</t>
        </is>
      </c>
      <c r="G328" t="n">
        <v>3</v>
      </c>
      <c r="H328" t="n">
        <v>0</v>
      </c>
      <c r="I328" t="n">
        <v>0</v>
      </c>
      <c r="J328" t="n">
        <v>0</v>
      </c>
      <c r="K328" t="n">
        <v>0</v>
      </c>
      <c r="L328" t="n">
        <v>0</v>
      </c>
      <c r="M328" t="n">
        <v>0</v>
      </c>
      <c r="N328" t="n">
        <v>0</v>
      </c>
      <c r="O328" t="n">
        <v>0</v>
      </c>
      <c r="P328" t="n">
        <v>0</v>
      </c>
      <c r="Q328" t="n">
        <v>0</v>
      </c>
      <c r="R328" s="2" t="inlineStr"/>
    </row>
    <row r="329" ht="15" customHeight="1">
      <c r="A329" t="inlineStr">
        <is>
          <t>A 44251-2025</t>
        </is>
      </c>
      <c r="B329" s="1" t="n">
        <v>45915.69837962963</v>
      </c>
      <c r="C329" s="1" t="n">
        <v>46092</v>
      </c>
      <c r="D329" t="inlineStr">
        <is>
          <t>JÄMTLANDS LÄN</t>
        </is>
      </c>
      <c r="E329" t="inlineStr">
        <is>
          <t>ÅRE</t>
        </is>
      </c>
      <c r="G329" t="n">
        <v>0.2</v>
      </c>
      <c r="H329" t="n">
        <v>0</v>
      </c>
      <c r="I329" t="n">
        <v>0</v>
      </c>
      <c r="J329" t="n">
        <v>0</v>
      </c>
      <c r="K329" t="n">
        <v>0</v>
      </c>
      <c r="L329" t="n">
        <v>0</v>
      </c>
      <c r="M329" t="n">
        <v>0</v>
      </c>
      <c r="N329" t="n">
        <v>0</v>
      </c>
      <c r="O329" t="n">
        <v>0</v>
      </c>
      <c r="P329" t="n">
        <v>0</v>
      </c>
      <c r="Q329" t="n">
        <v>0</v>
      </c>
      <c r="R329" s="2" t="inlineStr"/>
    </row>
    <row r="330" ht="15" customHeight="1">
      <c r="A330" t="inlineStr">
        <is>
          <t>A 43767-2025</t>
        </is>
      </c>
      <c r="B330" s="1" t="n">
        <v>45912.49256944445</v>
      </c>
      <c r="C330" s="1" t="n">
        <v>46092</v>
      </c>
      <c r="D330" t="inlineStr">
        <is>
          <t>JÄMTLANDS LÄN</t>
        </is>
      </c>
      <c r="E330" t="inlineStr">
        <is>
          <t>ÅRE</t>
        </is>
      </c>
      <c r="G330" t="n">
        <v>7.1</v>
      </c>
      <c r="H330" t="n">
        <v>0</v>
      </c>
      <c r="I330" t="n">
        <v>0</v>
      </c>
      <c r="J330" t="n">
        <v>0</v>
      </c>
      <c r="K330" t="n">
        <v>0</v>
      </c>
      <c r="L330" t="n">
        <v>0</v>
      </c>
      <c r="M330" t="n">
        <v>0</v>
      </c>
      <c r="N330" t="n">
        <v>0</v>
      </c>
      <c r="O330" t="n">
        <v>0</v>
      </c>
      <c r="P330" t="n">
        <v>0</v>
      </c>
      <c r="Q330" t="n">
        <v>0</v>
      </c>
      <c r="R330" s="2" t="inlineStr"/>
    </row>
    <row r="331" ht="15" customHeight="1">
      <c r="A331" t="inlineStr">
        <is>
          <t>A 43768-2025</t>
        </is>
      </c>
      <c r="B331" s="1" t="n">
        <v>45912.49289351852</v>
      </c>
      <c r="C331" s="1" t="n">
        <v>46092</v>
      </c>
      <c r="D331" t="inlineStr">
        <is>
          <t>JÄMTLANDS LÄN</t>
        </is>
      </c>
      <c r="E331" t="inlineStr">
        <is>
          <t>ÅRE</t>
        </is>
      </c>
      <c r="G331" t="n">
        <v>1.4</v>
      </c>
      <c r="H331" t="n">
        <v>0</v>
      </c>
      <c r="I331" t="n">
        <v>0</v>
      </c>
      <c r="J331" t="n">
        <v>0</v>
      </c>
      <c r="K331" t="n">
        <v>0</v>
      </c>
      <c r="L331" t="n">
        <v>0</v>
      </c>
      <c r="M331" t="n">
        <v>0</v>
      </c>
      <c r="N331" t="n">
        <v>0</v>
      </c>
      <c r="O331" t="n">
        <v>0</v>
      </c>
      <c r="P331" t="n">
        <v>0</v>
      </c>
      <c r="Q331" t="n">
        <v>0</v>
      </c>
      <c r="R331" s="2" t="inlineStr"/>
    </row>
    <row r="332" ht="15" customHeight="1">
      <c r="A332" t="inlineStr">
        <is>
          <t>A 43769-2025</t>
        </is>
      </c>
      <c r="B332" s="1" t="n">
        <v>45912.49420138889</v>
      </c>
      <c r="C332" s="1" t="n">
        <v>46092</v>
      </c>
      <c r="D332" t="inlineStr">
        <is>
          <t>JÄMTLANDS LÄN</t>
        </is>
      </c>
      <c r="E332" t="inlineStr">
        <is>
          <t>ÅRE</t>
        </is>
      </c>
      <c r="G332" t="n">
        <v>6.1</v>
      </c>
      <c r="H332" t="n">
        <v>0</v>
      </c>
      <c r="I332" t="n">
        <v>0</v>
      </c>
      <c r="J332" t="n">
        <v>0</v>
      </c>
      <c r="K332" t="n">
        <v>0</v>
      </c>
      <c r="L332" t="n">
        <v>0</v>
      </c>
      <c r="M332" t="n">
        <v>0</v>
      </c>
      <c r="N332" t="n">
        <v>0</v>
      </c>
      <c r="O332" t="n">
        <v>0</v>
      </c>
      <c r="P332" t="n">
        <v>0</v>
      </c>
      <c r="Q332" t="n">
        <v>0</v>
      </c>
      <c r="R332" s="2" t="inlineStr"/>
    </row>
    <row r="333" ht="15" customHeight="1">
      <c r="A333" t="inlineStr">
        <is>
          <t>A 49303-2024</t>
        </is>
      </c>
      <c r="B333" s="1" t="n">
        <v>45595</v>
      </c>
      <c r="C333" s="1" t="n">
        <v>46092</v>
      </c>
      <c r="D333" t="inlineStr">
        <is>
          <t>JÄMTLANDS LÄN</t>
        </is>
      </c>
      <c r="E333" t="inlineStr">
        <is>
          <t>ÅRE</t>
        </is>
      </c>
      <c r="G333" t="n">
        <v>1.2</v>
      </c>
      <c r="H333" t="n">
        <v>0</v>
      </c>
      <c r="I333" t="n">
        <v>0</v>
      </c>
      <c r="J333" t="n">
        <v>0</v>
      </c>
      <c r="K333" t="n">
        <v>0</v>
      </c>
      <c r="L333" t="n">
        <v>0</v>
      </c>
      <c r="M333" t="n">
        <v>0</v>
      </c>
      <c r="N333" t="n">
        <v>0</v>
      </c>
      <c r="O333" t="n">
        <v>0</v>
      </c>
      <c r="P333" t="n">
        <v>0</v>
      </c>
      <c r="Q333" t="n">
        <v>0</v>
      </c>
      <c r="R333" s="2" t="inlineStr"/>
    </row>
    <row r="334" ht="15" customHeight="1">
      <c r="A334" t="inlineStr">
        <is>
          <t>A 64758-2023</t>
        </is>
      </c>
      <c r="B334" s="1" t="n">
        <v>45281</v>
      </c>
      <c r="C334" s="1" t="n">
        <v>46092</v>
      </c>
      <c r="D334" t="inlineStr">
        <is>
          <t>JÄMTLANDS LÄN</t>
        </is>
      </c>
      <c r="E334" t="inlineStr">
        <is>
          <t>ÅRE</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61978-2023</t>
        </is>
      </c>
      <c r="B335" s="1" t="n">
        <v>45266.59711805556</v>
      </c>
      <c r="C335" s="1" t="n">
        <v>46092</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1112-2025</t>
        </is>
      </c>
      <c r="B336" s="1" t="n">
        <v>45666</v>
      </c>
      <c r="C336" s="1" t="n">
        <v>46092</v>
      </c>
      <c r="D336" t="inlineStr">
        <is>
          <t>JÄMTLANDS LÄN</t>
        </is>
      </c>
      <c r="E336" t="inlineStr">
        <is>
          <t>ÅRE</t>
        </is>
      </c>
      <c r="F336" t="inlineStr">
        <is>
          <t>Övriga Aktiebolag</t>
        </is>
      </c>
      <c r="G336" t="n">
        <v>17.7</v>
      </c>
      <c r="H336" t="n">
        <v>0</v>
      </c>
      <c r="I336" t="n">
        <v>0</v>
      </c>
      <c r="J336" t="n">
        <v>0</v>
      </c>
      <c r="K336" t="n">
        <v>0</v>
      </c>
      <c r="L336" t="n">
        <v>0</v>
      </c>
      <c r="M336" t="n">
        <v>0</v>
      </c>
      <c r="N336" t="n">
        <v>0</v>
      </c>
      <c r="O336" t="n">
        <v>0</v>
      </c>
      <c r="P336" t="n">
        <v>0</v>
      </c>
      <c r="Q336" t="n">
        <v>0</v>
      </c>
      <c r="R336" s="2" t="inlineStr"/>
    </row>
    <row r="337" ht="15" customHeight="1">
      <c r="A337" t="inlineStr">
        <is>
          <t>A 4777-2025</t>
        </is>
      </c>
      <c r="B337" s="1" t="n">
        <v>45688</v>
      </c>
      <c r="C337" s="1" t="n">
        <v>46092</v>
      </c>
      <c r="D337" t="inlineStr">
        <is>
          <t>JÄMTLANDS LÄN</t>
        </is>
      </c>
      <c r="E337" t="inlineStr">
        <is>
          <t>ÅRE</t>
        </is>
      </c>
      <c r="G337" t="n">
        <v>0.7</v>
      </c>
      <c r="H337" t="n">
        <v>0</v>
      </c>
      <c r="I337" t="n">
        <v>0</v>
      </c>
      <c r="J337" t="n">
        <v>0</v>
      </c>
      <c r="K337" t="n">
        <v>0</v>
      </c>
      <c r="L337" t="n">
        <v>0</v>
      </c>
      <c r="M337" t="n">
        <v>0</v>
      </c>
      <c r="N337" t="n">
        <v>0</v>
      </c>
      <c r="O337" t="n">
        <v>0</v>
      </c>
      <c r="P337" t="n">
        <v>0</v>
      </c>
      <c r="Q337" t="n">
        <v>0</v>
      </c>
      <c r="R337" s="2" t="inlineStr"/>
    </row>
    <row r="338" ht="15" customHeight="1">
      <c r="A338" t="inlineStr">
        <is>
          <t>A 63225-2025</t>
        </is>
      </c>
      <c r="B338" s="1" t="n">
        <v>46010.49605324074</v>
      </c>
      <c r="C338" s="1" t="n">
        <v>46092</v>
      </c>
      <c r="D338" t="inlineStr">
        <is>
          <t>JÄMTLANDS LÄN</t>
        </is>
      </c>
      <c r="E338" t="inlineStr">
        <is>
          <t>ÅRE</t>
        </is>
      </c>
      <c r="F338" t="inlineStr">
        <is>
          <t>Övriga Aktiebolag</t>
        </is>
      </c>
      <c r="G338" t="n">
        <v>12.1</v>
      </c>
      <c r="H338" t="n">
        <v>0</v>
      </c>
      <c r="I338" t="n">
        <v>0</v>
      </c>
      <c r="J338" t="n">
        <v>0</v>
      </c>
      <c r="K338" t="n">
        <v>0</v>
      </c>
      <c r="L338" t="n">
        <v>0</v>
      </c>
      <c r="M338" t="n">
        <v>0</v>
      </c>
      <c r="N338" t="n">
        <v>0</v>
      </c>
      <c r="O338" t="n">
        <v>0</v>
      </c>
      <c r="P338" t="n">
        <v>0</v>
      </c>
      <c r="Q338" t="n">
        <v>0</v>
      </c>
      <c r="R338" s="2" t="inlineStr"/>
    </row>
    <row r="339" ht="15" customHeight="1">
      <c r="A339" t="inlineStr">
        <is>
          <t>A 44418-2025</t>
        </is>
      </c>
      <c r="B339" s="1" t="n">
        <v>45916.54578703704</v>
      </c>
      <c r="C339" s="1" t="n">
        <v>46092</v>
      </c>
      <c r="D339" t="inlineStr">
        <is>
          <t>JÄMTLANDS LÄN</t>
        </is>
      </c>
      <c r="E339" t="inlineStr">
        <is>
          <t>ÅRE</t>
        </is>
      </c>
      <c r="G339" t="n">
        <v>3.3</v>
      </c>
      <c r="H339" t="n">
        <v>0</v>
      </c>
      <c r="I339" t="n">
        <v>0</v>
      </c>
      <c r="J339" t="n">
        <v>0</v>
      </c>
      <c r="K339" t="n">
        <v>0</v>
      </c>
      <c r="L339" t="n">
        <v>0</v>
      </c>
      <c r="M339" t="n">
        <v>0</v>
      </c>
      <c r="N339" t="n">
        <v>0</v>
      </c>
      <c r="O339" t="n">
        <v>0</v>
      </c>
      <c r="P339" t="n">
        <v>0</v>
      </c>
      <c r="Q339" t="n">
        <v>0</v>
      </c>
      <c r="R339" s="2" t="inlineStr"/>
    </row>
    <row r="340" ht="15" customHeight="1">
      <c r="A340" t="inlineStr">
        <is>
          <t>A 6219-2026</t>
        </is>
      </c>
      <c r="B340" s="1" t="n">
        <v>46055.43142361111</v>
      </c>
      <c r="C340" s="1" t="n">
        <v>46092</v>
      </c>
      <c r="D340" t="inlineStr">
        <is>
          <t>JÄMTLANDS LÄN</t>
        </is>
      </c>
      <c r="E340" t="inlineStr">
        <is>
          <t>ÅRE</t>
        </is>
      </c>
      <c r="G340" t="n">
        <v>3.2</v>
      </c>
      <c r="H340" t="n">
        <v>0</v>
      </c>
      <c r="I340" t="n">
        <v>0</v>
      </c>
      <c r="J340" t="n">
        <v>0</v>
      </c>
      <c r="K340" t="n">
        <v>0</v>
      </c>
      <c r="L340" t="n">
        <v>0</v>
      </c>
      <c r="M340" t="n">
        <v>0</v>
      </c>
      <c r="N340" t="n">
        <v>0</v>
      </c>
      <c r="O340" t="n">
        <v>0</v>
      </c>
      <c r="P340" t="n">
        <v>0</v>
      </c>
      <c r="Q340" t="n">
        <v>0</v>
      </c>
      <c r="R340" s="2" t="inlineStr"/>
    </row>
    <row r="341" ht="15" customHeight="1">
      <c r="A341" t="inlineStr">
        <is>
          <t>A 44644-2025</t>
        </is>
      </c>
      <c r="B341" s="1" t="n">
        <v>45917.53284722222</v>
      </c>
      <c r="C341" s="1" t="n">
        <v>46092</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12940-2024</t>
        </is>
      </c>
      <c r="B342" s="1" t="n">
        <v>45385.46263888889</v>
      </c>
      <c r="C342" s="1" t="n">
        <v>46092</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44668-2025</t>
        </is>
      </c>
      <c r="B343" s="1" t="n">
        <v>45917.56306712963</v>
      </c>
      <c r="C343" s="1" t="n">
        <v>46092</v>
      </c>
      <c r="D343" t="inlineStr">
        <is>
          <t>JÄMTLANDS LÄN</t>
        </is>
      </c>
      <c r="E343" t="inlineStr">
        <is>
          <t>ÅRE</t>
        </is>
      </c>
      <c r="G343" t="n">
        <v>3.6</v>
      </c>
      <c r="H343" t="n">
        <v>0</v>
      </c>
      <c r="I343" t="n">
        <v>0</v>
      </c>
      <c r="J343" t="n">
        <v>0</v>
      </c>
      <c r="K343" t="n">
        <v>0</v>
      </c>
      <c r="L343" t="n">
        <v>0</v>
      </c>
      <c r="M343" t="n">
        <v>0</v>
      </c>
      <c r="N343" t="n">
        <v>0</v>
      </c>
      <c r="O343" t="n">
        <v>0</v>
      </c>
      <c r="P343" t="n">
        <v>0</v>
      </c>
      <c r="Q343" t="n">
        <v>0</v>
      </c>
      <c r="R343" s="2" t="inlineStr"/>
    </row>
    <row r="344" ht="15" customHeight="1">
      <c r="A344" t="inlineStr">
        <is>
          <t>A 44685-2025</t>
        </is>
      </c>
      <c r="B344" s="1" t="n">
        <v>45917.58569444445</v>
      </c>
      <c r="C344" s="1" t="n">
        <v>46092</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58508-2023</t>
        </is>
      </c>
      <c r="B345" s="1" t="n">
        <v>45246</v>
      </c>
      <c r="C345" s="1" t="n">
        <v>46092</v>
      </c>
      <c r="D345" t="inlineStr">
        <is>
          <t>JÄMTLANDS LÄN</t>
        </is>
      </c>
      <c r="E345" t="inlineStr">
        <is>
          <t>ÅRE</t>
        </is>
      </c>
      <c r="G345" t="n">
        <v>21.8</v>
      </c>
      <c r="H345" t="n">
        <v>0</v>
      </c>
      <c r="I345" t="n">
        <v>0</v>
      </c>
      <c r="J345" t="n">
        <v>0</v>
      </c>
      <c r="K345" t="n">
        <v>0</v>
      </c>
      <c r="L345" t="n">
        <v>0</v>
      </c>
      <c r="M345" t="n">
        <v>0</v>
      </c>
      <c r="N345" t="n">
        <v>0</v>
      </c>
      <c r="O345" t="n">
        <v>0</v>
      </c>
      <c r="P345" t="n">
        <v>0</v>
      </c>
      <c r="Q345" t="n">
        <v>0</v>
      </c>
      <c r="R345" s="2" t="inlineStr"/>
    </row>
    <row r="346" ht="15" customHeight="1">
      <c r="A346" t="inlineStr">
        <is>
          <t>A 50574-2025</t>
        </is>
      </c>
      <c r="B346" s="1" t="n">
        <v>45945</v>
      </c>
      <c r="C346" s="1" t="n">
        <v>46092</v>
      </c>
      <c r="D346" t="inlineStr">
        <is>
          <t>JÄMTLANDS LÄN</t>
        </is>
      </c>
      <c r="E346" t="inlineStr">
        <is>
          <t>ÅRE</t>
        </is>
      </c>
      <c r="G346" t="n">
        <v>16.1</v>
      </c>
      <c r="H346" t="n">
        <v>0</v>
      </c>
      <c r="I346" t="n">
        <v>0</v>
      </c>
      <c r="J346" t="n">
        <v>0</v>
      </c>
      <c r="K346" t="n">
        <v>0</v>
      </c>
      <c r="L346" t="n">
        <v>0</v>
      </c>
      <c r="M346" t="n">
        <v>0</v>
      </c>
      <c r="N346" t="n">
        <v>0</v>
      </c>
      <c r="O346" t="n">
        <v>0</v>
      </c>
      <c r="P346" t="n">
        <v>0</v>
      </c>
      <c r="Q346" t="n">
        <v>0</v>
      </c>
      <c r="R346" s="2" t="inlineStr"/>
    </row>
    <row r="347" ht="15" customHeight="1">
      <c r="A347" t="inlineStr">
        <is>
          <t>A 45378-2025</t>
        </is>
      </c>
      <c r="B347" s="1" t="n">
        <v>45922</v>
      </c>
      <c r="C347" s="1" t="n">
        <v>46092</v>
      </c>
      <c r="D347" t="inlineStr">
        <is>
          <t>JÄMTLANDS LÄN</t>
        </is>
      </c>
      <c r="E347" t="inlineStr">
        <is>
          <t>ÅRE</t>
        </is>
      </c>
      <c r="G347" t="n">
        <v>15.7</v>
      </c>
      <c r="H347" t="n">
        <v>0</v>
      </c>
      <c r="I347" t="n">
        <v>0</v>
      </c>
      <c r="J347" t="n">
        <v>0</v>
      </c>
      <c r="K347" t="n">
        <v>0</v>
      </c>
      <c r="L347" t="n">
        <v>0</v>
      </c>
      <c r="M347" t="n">
        <v>0</v>
      </c>
      <c r="N347" t="n">
        <v>0</v>
      </c>
      <c r="O347" t="n">
        <v>0</v>
      </c>
      <c r="P347" t="n">
        <v>0</v>
      </c>
      <c r="Q347" t="n">
        <v>0</v>
      </c>
      <c r="R347" s="2" t="inlineStr"/>
    </row>
    <row r="348" ht="15" customHeight="1">
      <c r="A348" t="inlineStr">
        <is>
          <t>A 39069-2024</t>
        </is>
      </c>
      <c r="B348" s="1" t="n">
        <v>45548.53166666667</v>
      </c>
      <c r="C348" s="1" t="n">
        <v>46092</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42876-2025</t>
        </is>
      </c>
      <c r="B349" s="1" t="n">
        <v>45908</v>
      </c>
      <c r="C349" s="1" t="n">
        <v>46092</v>
      </c>
      <c r="D349" t="inlineStr">
        <is>
          <t>JÄMTLANDS LÄN</t>
        </is>
      </c>
      <c r="E349" t="inlineStr">
        <is>
          <t>ÅRE</t>
        </is>
      </c>
      <c r="G349" t="n">
        <v>0.3</v>
      </c>
      <c r="H349" t="n">
        <v>0</v>
      </c>
      <c r="I349" t="n">
        <v>0</v>
      </c>
      <c r="J349" t="n">
        <v>0</v>
      </c>
      <c r="K349" t="n">
        <v>0</v>
      </c>
      <c r="L349" t="n">
        <v>0</v>
      </c>
      <c r="M349" t="n">
        <v>0</v>
      </c>
      <c r="N349" t="n">
        <v>0</v>
      </c>
      <c r="O349" t="n">
        <v>0</v>
      </c>
      <c r="P349" t="n">
        <v>0</v>
      </c>
      <c r="Q349" t="n">
        <v>0</v>
      </c>
      <c r="R349" s="2" t="inlineStr"/>
    </row>
    <row r="350" ht="15" customHeight="1">
      <c r="A350" t="inlineStr">
        <is>
          <t>A 60913-2025</t>
        </is>
      </c>
      <c r="B350" s="1" t="n">
        <v>45999</v>
      </c>
      <c r="C350" s="1" t="n">
        <v>46092</v>
      </c>
      <c r="D350" t="inlineStr">
        <is>
          <t>JÄMTLANDS LÄN</t>
        </is>
      </c>
      <c r="E350" t="inlineStr">
        <is>
          <t>ÅRE</t>
        </is>
      </c>
      <c r="F350" t="inlineStr">
        <is>
          <t>Övriga Aktiebolag</t>
        </is>
      </c>
      <c r="G350" t="n">
        <v>19.9</v>
      </c>
      <c r="H350" t="n">
        <v>0</v>
      </c>
      <c r="I350" t="n">
        <v>0</v>
      </c>
      <c r="J350" t="n">
        <v>0</v>
      </c>
      <c r="K350" t="n">
        <v>0</v>
      </c>
      <c r="L350" t="n">
        <v>0</v>
      </c>
      <c r="M350" t="n">
        <v>0</v>
      </c>
      <c r="N350" t="n">
        <v>0</v>
      </c>
      <c r="O350" t="n">
        <v>0</v>
      </c>
      <c r="P350" t="n">
        <v>0</v>
      </c>
      <c r="Q350" t="n">
        <v>0</v>
      </c>
      <c r="R350" s="2" t="inlineStr"/>
    </row>
    <row r="351" ht="15" customHeight="1">
      <c r="A351" t="inlineStr">
        <is>
          <t>A 12944-2024</t>
        </is>
      </c>
      <c r="B351" s="1" t="n">
        <v>45385</v>
      </c>
      <c r="C351" s="1" t="n">
        <v>46092</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55129-2025</t>
        </is>
      </c>
      <c r="B352" s="1" t="n">
        <v>45968</v>
      </c>
      <c r="C352" s="1" t="n">
        <v>46092</v>
      </c>
      <c r="D352" t="inlineStr">
        <is>
          <t>JÄMTLANDS LÄN</t>
        </is>
      </c>
      <c r="E352" t="inlineStr">
        <is>
          <t>ÅRE</t>
        </is>
      </c>
      <c r="F352" t="inlineStr">
        <is>
          <t>Övriga Aktiebolag</t>
        </is>
      </c>
      <c r="G352" t="n">
        <v>103.3</v>
      </c>
      <c r="H352" t="n">
        <v>0</v>
      </c>
      <c r="I352" t="n">
        <v>0</v>
      </c>
      <c r="J352" t="n">
        <v>0</v>
      </c>
      <c r="K352" t="n">
        <v>0</v>
      </c>
      <c r="L352" t="n">
        <v>0</v>
      </c>
      <c r="M352" t="n">
        <v>0</v>
      </c>
      <c r="N352" t="n">
        <v>0</v>
      </c>
      <c r="O352" t="n">
        <v>0</v>
      </c>
      <c r="P352" t="n">
        <v>0</v>
      </c>
      <c r="Q352" t="n">
        <v>0</v>
      </c>
      <c r="R352" s="2" t="inlineStr"/>
    </row>
    <row r="353" ht="15" customHeight="1">
      <c r="A353" t="inlineStr">
        <is>
          <t>A 58395-2025</t>
        </is>
      </c>
      <c r="B353" s="1" t="n">
        <v>45985</v>
      </c>
      <c r="C353" s="1" t="n">
        <v>46092</v>
      </c>
      <c r="D353" t="inlineStr">
        <is>
          <t>JÄMTLANDS LÄN</t>
        </is>
      </c>
      <c r="E353" t="inlineStr">
        <is>
          <t>ÅRE</t>
        </is>
      </c>
      <c r="F353" t="inlineStr">
        <is>
          <t>Övriga Aktiebolag</t>
        </is>
      </c>
      <c r="G353" t="n">
        <v>4.1</v>
      </c>
      <c r="H353" t="n">
        <v>0</v>
      </c>
      <c r="I353" t="n">
        <v>0</v>
      </c>
      <c r="J353" t="n">
        <v>0</v>
      </c>
      <c r="K353" t="n">
        <v>0</v>
      </c>
      <c r="L353" t="n">
        <v>0</v>
      </c>
      <c r="M353" t="n">
        <v>0</v>
      </c>
      <c r="N353" t="n">
        <v>0</v>
      </c>
      <c r="O353" t="n">
        <v>0</v>
      </c>
      <c r="P353" t="n">
        <v>0</v>
      </c>
      <c r="Q353" t="n">
        <v>0</v>
      </c>
      <c r="R353" s="2" t="inlineStr"/>
    </row>
    <row r="354" ht="15" customHeight="1">
      <c r="A354" t="inlineStr">
        <is>
          <t>A 59698-2025</t>
        </is>
      </c>
      <c r="B354" s="1" t="n">
        <v>45992</v>
      </c>
      <c r="C354" s="1" t="n">
        <v>46092</v>
      </c>
      <c r="D354" t="inlineStr">
        <is>
          <t>JÄMTLANDS LÄN</t>
        </is>
      </c>
      <c r="E354" t="inlineStr">
        <is>
          <t>ÅRE</t>
        </is>
      </c>
      <c r="F354" t="inlineStr">
        <is>
          <t>Övriga Aktiebolag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64237-2021</t>
        </is>
      </c>
      <c r="B355" s="1" t="n">
        <v>44510</v>
      </c>
      <c r="C355" s="1" t="n">
        <v>46092</v>
      </c>
      <c r="D355" t="inlineStr">
        <is>
          <t>JÄMTLANDS LÄN</t>
        </is>
      </c>
      <c r="E355" t="inlineStr">
        <is>
          <t>ÅRE</t>
        </is>
      </c>
      <c r="G355" t="n">
        <v>2.7</v>
      </c>
      <c r="H355" t="n">
        <v>0</v>
      </c>
      <c r="I355" t="n">
        <v>0</v>
      </c>
      <c r="J355" t="n">
        <v>0</v>
      </c>
      <c r="K355" t="n">
        <v>0</v>
      </c>
      <c r="L355" t="n">
        <v>0</v>
      </c>
      <c r="M355" t="n">
        <v>0</v>
      </c>
      <c r="N355" t="n">
        <v>0</v>
      </c>
      <c r="O355" t="n">
        <v>0</v>
      </c>
      <c r="P355" t="n">
        <v>0</v>
      </c>
      <c r="Q355" t="n">
        <v>0</v>
      </c>
      <c r="R355" s="2" t="inlineStr"/>
    </row>
    <row r="356" ht="15" customHeight="1">
      <c r="A356" t="inlineStr">
        <is>
          <t>A 30263-2023</t>
        </is>
      </c>
      <c r="B356" s="1" t="n">
        <v>45099</v>
      </c>
      <c r="C356" s="1" t="n">
        <v>46092</v>
      </c>
      <c r="D356" t="inlineStr">
        <is>
          <t>JÄMTLANDS LÄN</t>
        </is>
      </c>
      <c r="E356" t="inlineStr">
        <is>
          <t>ÅRE</t>
        </is>
      </c>
      <c r="G356" t="n">
        <v>15.9</v>
      </c>
      <c r="H356" t="n">
        <v>0</v>
      </c>
      <c r="I356" t="n">
        <v>0</v>
      </c>
      <c r="J356" t="n">
        <v>0</v>
      </c>
      <c r="K356" t="n">
        <v>0</v>
      </c>
      <c r="L356" t="n">
        <v>0</v>
      </c>
      <c r="M356" t="n">
        <v>0</v>
      </c>
      <c r="N356" t="n">
        <v>0</v>
      </c>
      <c r="O356" t="n">
        <v>0</v>
      </c>
      <c r="P356" t="n">
        <v>0</v>
      </c>
      <c r="Q356" t="n">
        <v>0</v>
      </c>
      <c r="R356" s="2" t="inlineStr"/>
    </row>
    <row r="357" ht="15" customHeight="1">
      <c r="A357" t="inlineStr">
        <is>
          <t>A 23651-2025</t>
        </is>
      </c>
      <c r="B357" s="1" t="n">
        <v>45792</v>
      </c>
      <c r="C357" s="1" t="n">
        <v>46092</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45605-2025</t>
        </is>
      </c>
      <c r="B358" s="1" t="n">
        <v>45922.69826388889</v>
      </c>
      <c r="C358" s="1" t="n">
        <v>46092</v>
      </c>
      <c r="D358" t="inlineStr">
        <is>
          <t>JÄMTLANDS LÄN</t>
        </is>
      </c>
      <c r="E358" t="inlineStr">
        <is>
          <t>ÅRE</t>
        </is>
      </c>
      <c r="G358" t="n">
        <v>1.9</v>
      </c>
      <c r="H358" t="n">
        <v>0</v>
      </c>
      <c r="I358" t="n">
        <v>0</v>
      </c>
      <c r="J358" t="n">
        <v>0</v>
      </c>
      <c r="K358" t="n">
        <v>0</v>
      </c>
      <c r="L358" t="n">
        <v>0</v>
      </c>
      <c r="M358" t="n">
        <v>0</v>
      </c>
      <c r="N358" t="n">
        <v>0</v>
      </c>
      <c r="O358" t="n">
        <v>0</v>
      </c>
      <c r="P358" t="n">
        <v>0</v>
      </c>
      <c r="Q358" t="n">
        <v>0</v>
      </c>
      <c r="R358" s="2" t="inlineStr"/>
    </row>
    <row r="359" ht="15" customHeight="1">
      <c r="A359" t="inlineStr">
        <is>
          <t>A 54225-2025</t>
        </is>
      </c>
      <c r="B359" s="1" t="n">
        <v>45964.60839120371</v>
      </c>
      <c r="C359" s="1" t="n">
        <v>46092</v>
      </c>
      <c r="D359" t="inlineStr">
        <is>
          <t>JÄMTLANDS LÄN</t>
        </is>
      </c>
      <c r="E359" t="inlineStr">
        <is>
          <t>ÅRE</t>
        </is>
      </c>
      <c r="G359" t="n">
        <v>0.8</v>
      </c>
      <c r="H359" t="n">
        <v>0</v>
      </c>
      <c r="I359" t="n">
        <v>0</v>
      </c>
      <c r="J359" t="n">
        <v>0</v>
      </c>
      <c r="K359" t="n">
        <v>0</v>
      </c>
      <c r="L359" t="n">
        <v>0</v>
      </c>
      <c r="M359" t="n">
        <v>0</v>
      </c>
      <c r="N359" t="n">
        <v>0</v>
      </c>
      <c r="O359" t="n">
        <v>0</v>
      </c>
      <c r="P359" t="n">
        <v>0</v>
      </c>
      <c r="Q359" t="n">
        <v>0</v>
      </c>
      <c r="R359" s="2" t="inlineStr"/>
    </row>
    <row r="360" ht="15" customHeight="1">
      <c r="A360" t="inlineStr">
        <is>
          <t>A 45796-2025</t>
        </is>
      </c>
      <c r="B360" s="1" t="n">
        <v>45923.57418981481</v>
      </c>
      <c r="C360" s="1" t="n">
        <v>46092</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61183-2023</t>
        </is>
      </c>
      <c r="B361" s="1" t="n">
        <v>45263</v>
      </c>
      <c r="C361" s="1" t="n">
        <v>46092</v>
      </c>
      <c r="D361" t="inlineStr">
        <is>
          <t>JÄMTLANDS LÄN</t>
        </is>
      </c>
      <c r="E361" t="inlineStr">
        <is>
          <t>ÅRE</t>
        </is>
      </c>
      <c r="G361" t="n">
        <v>8.4</v>
      </c>
      <c r="H361" t="n">
        <v>0</v>
      </c>
      <c r="I361" t="n">
        <v>0</v>
      </c>
      <c r="J361" t="n">
        <v>0</v>
      </c>
      <c r="K361" t="n">
        <v>0</v>
      </c>
      <c r="L361" t="n">
        <v>0</v>
      </c>
      <c r="M361" t="n">
        <v>0</v>
      </c>
      <c r="N361" t="n">
        <v>0</v>
      </c>
      <c r="O361" t="n">
        <v>0</v>
      </c>
      <c r="P361" t="n">
        <v>0</v>
      </c>
      <c r="Q361" t="n">
        <v>0</v>
      </c>
      <c r="R361" s="2" t="inlineStr"/>
    </row>
    <row r="362" ht="15" customHeight="1">
      <c r="A362" t="inlineStr">
        <is>
          <t>A 57816-2025</t>
        </is>
      </c>
      <c r="B362" s="1" t="n">
        <v>45981.59471064815</v>
      </c>
      <c r="C362" s="1" t="n">
        <v>46092</v>
      </c>
      <c r="D362" t="inlineStr">
        <is>
          <t>JÄMTLANDS LÄN</t>
        </is>
      </c>
      <c r="E362" t="inlineStr">
        <is>
          <t>ÅRE</t>
        </is>
      </c>
      <c r="G362" t="n">
        <v>5.8</v>
      </c>
      <c r="H362" t="n">
        <v>0</v>
      </c>
      <c r="I362" t="n">
        <v>0</v>
      </c>
      <c r="J362" t="n">
        <v>0</v>
      </c>
      <c r="K362" t="n">
        <v>0</v>
      </c>
      <c r="L362" t="n">
        <v>0</v>
      </c>
      <c r="M362" t="n">
        <v>0</v>
      </c>
      <c r="N362" t="n">
        <v>0</v>
      </c>
      <c r="O362" t="n">
        <v>0</v>
      </c>
      <c r="P362" t="n">
        <v>0</v>
      </c>
      <c r="Q362" t="n">
        <v>0</v>
      </c>
      <c r="R362" s="2" t="inlineStr"/>
    </row>
    <row r="363" ht="15" customHeight="1">
      <c r="A363" t="inlineStr">
        <is>
          <t>A 18849-2022</t>
        </is>
      </c>
      <c r="B363" s="1" t="n">
        <v>44690</v>
      </c>
      <c r="C363" s="1" t="n">
        <v>46092</v>
      </c>
      <c r="D363" t="inlineStr">
        <is>
          <t>JÄMTLANDS LÄN</t>
        </is>
      </c>
      <c r="E363" t="inlineStr">
        <is>
          <t>ÅRE</t>
        </is>
      </c>
      <c r="G363" t="n">
        <v>12.8</v>
      </c>
      <c r="H363" t="n">
        <v>0</v>
      </c>
      <c r="I363" t="n">
        <v>0</v>
      </c>
      <c r="J363" t="n">
        <v>0</v>
      </c>
      <c r="K363" t="n">
        <v>0</v>
      </c>
      <c r="L363" t="n">
        <v>0</v>
      </c>
      <c r="M363" t="n">
        <v>0</v>
      </c>
      <c r="N363" t="n">
        <v>0</v>
      </c>
      <c r="O363" t="n">
        <v>0</v>
      </c>
      <c r="P363" t="n">
        <v>0</v>
      </c>
      <c r="Q363" t="n">
        <v>0</v>
      </c>
      <c r="R363" s="2" t="inlineStr"/>
    </row>
    <row r="364" ht="15" customHeight="1">
      <c r="A364" t="inlineStr">
        <is>
          <t>A 7089-2026</t>
        </is>
      </c>
      <c r="B364" s="1" t="n">
        <v>46058.34428240741</v>
      </c>
      <c r="C364" s="1" t="n">
        <v>46092</v>
      </c>
      <c r="D364" t="inlineStr">
        <is>
          <t>JÄMTLANDS LÄN</t>
        </is>
      </c>
      <c r="E364" t="inlineStr">
        <is>
          <t>ÅRE</t>
        </is>
      </c>
      <c r="G364" t="n">
        <v>3.2</v>
      </c>
      <c r="H364" t="n">
        <v>0</v>
      </c>
      <c r="I364" t="n">
        <v>0</v>
      </c>
      <c r="J364" t="n">
        <v>0</v>
      </c>
      <c r="K364" t="n">
        <v>0</v>
      </c>
      <c r="L364" t="n">
        <v>0</v>
      </c>
      <c r="M364" t="n">
        <v>0</v>
      </c>
      <c r="N364" t="n">
        <v>0</v>
      </c>
      <c r="O364" t="n">
        <v>0</v>
      </c>
      <c r="P364" t="n">
        <v>0</v>
      </c>
      <c r="Q364" t="n">
        <v>0</v>
      </c>
      <c r="R364" s="2" t="inlineStr"/>
    </row>
    <row r="365" ht="15" customHeight="1">
      <c r="A365" t="inlineStr">
        <is>
          <t>A 25224-2025</t>
        </is>
      </c>
      <c r="B365" s="1" t="n">
        <v>45800.48087962963</v>
      </c>
      <c r="C365" s="1" t="n">
        <v>46092</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25200-2025</t>
        </is>
      </c>
      <c r="B366" s="1" t="n">
        <v>45800.4615625</v>
      </c>
      <c r="C366" s="1" t="n">
        <v>46092</v>
      </c>
      <c r="D366" t="inlineStr">
        <is>
          <t>JÄMTLANDS LÄN</t>
        </is>
      </c>
      <c r="E366" t="inlineStr">
        <is>
          <t>ÅRE</t>
        </is>
      </c>
      <c r="G366" t="n">
        <v>3.3</v>
      </c>
      <c r="H366" t="n">
        <v>0</v>
      </c>
      <c r="I366" t="n">
        <v>0</v>
      </c>
      <c r="J366" t="n">
        <v>0</v>
      </c>
      <c r="K366" t="n">
        <v>0</v>
      </c>
      <c r="L366" t="n">
        <v>0</v>
      </c>
      <c r="M366" t="n">
        <v>0</v>
      </c>
      <c r="N366" t="n">
        <v>0</v>
      </c>
      <c r="O366" t="n">
        <v>0</v>
      </c>
      <c r="P366" t="n">
        <v>0</v>
      </c>
      <c r="Q366" t="n">
        <v>0</v>
      </c>
      <c r="R366" s="2" t="inlineStr"/>
    </row>
    <row r="367" ht="15" customHeight="1">
      <c r="A367" t="inlineStr">
        <is>
          <t>A 7297-2026</t>
        </is>
      </c>
      <c r="B367" s="1" t="n">
        <v>46058.64458333333</v>
      </c>
      <c r="C367" s="1" t="n">
        <v>46092</v>
      </c>
      <c r="D367" t="inlineStr">
        <is>
          <t>JÄMTLANDS LÄN</t>
        </is>
      </c>
      <c r="E367" t="inlineStr">
        <is>
          <t>ÅRE</t>
        </is>
      </c>
      <c r="F367" t="inlineStr">
        <is>
          <t>Övriga Aktiebolag</t>
        </is>
      </c>
      <c r="G367" t="n">
        <v>19.1</v>
      </c>
      <c r="H367" t="n">
        <v>0</v>
      </c>
      <c r="I367" t="n">
        <v>0</v>
      </c>
      <c r="J367" t="n">
        <v>0</v>
      </c>
      <c r="K367" t="n">
        <v>0</v>
      </c>
      <c r="L367" t="n">
        <v>0</v>
      </c>
      <c r="M367" t="n">
        <v>0</v>
      </c>
      <c r="N367" t="n">
        <v>0</v>
      </c>
      <c r="O367" t="n">
        <v>0</v>
      </c>
      <c r="P367" t="n">
        <v>0</v>
      </c>
      <c r="Q367" t="n">
        <v>0</v>
      </c>
      <c r="R367" s="2" t="inlineStr"/>
    </row>
    <row r="368" ht="15" customHeight="1">
      <c r="A368" t="inlineStr">
        <is>
          <t>A 45614-2025</t>
        </is>
      </c>
      <c r="B368" s="1" t="n">
        <v>45922.719375</v>
      </c>
      <c r="C368" s="1" t="n">
        <v>46092</v>
      </c>
      <c r="D368" t="inlineStr">
        <is>
          <t>JÄMTLANDS LÄN</t>
        </is>
      </c>
      <c r="E368" t="inlineStr">
        <is>
          <t>ÅRE</t>
        </is>
      </c>
      <c r="G368" t="n">
        <v>2.4</v>
      </c>
      <c r="H368" t="n">
        <v>0</v>
      </c>
      <c r="I368" t="n">
        <v>0</v>
      </c>
      <c r="J368" t="n">
        <v>0</v>
      </c>
      <c r="K368" t="n">
        <v>0</v>
      </c>
      <c r="L368" t="n">
        <v>0</v>
      </c>
      <c r="M368" t="n">
        <v>0</v>
      </c>
      <c r="N368" t="n">
        <v>0</v>
      </c>
      <c r="O368" t="n">
        <v>0</v>
      </c>
      <c r="P368" t="n">
        <v>0</v>
      </c>
      <c r="Q368" t="n">
        <v>0</v>
      </c>
      <c r="R368" s="2" t="inlineStr"/>
    </row>
    <row r="369" ht="15" customHeight="1">
      <c r="A369" t="inlineStr">
        <is>
          <t>A 52676-2023</t>
        </is>
      </c>
      <c r="B369" s="1" t="n">
        <v>45225.6890625</v>
      </c>
      <c r="C369" s="1" t="n">
        <v>46092</v>
      </c>
      <c r="D369" t="inlineStr">
        <is>
          <t>JÄMTLANDS LÄN</t>
        </is>
      </c>
      <c r="E369" t="inlineStr">
        <is>
          <t>ÅRE</t>
        </is>
      </c>
      <c r="F369" t="inlineStr">
        <is>
          <t>Övriga Aktiebolag</t>
        </is>
      </c>
      <c r="G369" t="n">
        <v>11</v>
      </c>
      <c r="H369" t="n">
        <v>0</v>
      </c>
      <c r="I369" t="n">
        <v>0</v>
      </c>
      <c r="J369" t="n">
        <v>0</v>
      </c>
      <c r="K369" t="n">
        <v>0</v>
      </c>
      <c r="L369" t="n">
        <v>0</v>
      </c>
      <c r="M369" t="n">
        <v>0</v>
      </c>
      <c r="N369" t="n">
        <v>0</v>
      </c>
      <c r="O369" t="n">
        <v>0</v>
      </c>
      <c r="P369" t="n">
        <v>0</v>
      </c>
      <c r="Q369" t="n">
        <v>0</v>
      </c>
      <c r="R369" s="2" t="inlineStr"/>
    </row>
    <row r="370" ht="15" customHeight="1">
      <c r="A370" t="inlineStr">
        <is>
          <t>A 63838-2025</t>
        </is>
      </c>
      <c r="B370" s="1" t="n">
        <v>46020.4169212963</v>
      </c>
      <c r="C370" s="1" t="n">
        <v>46092</v>
      </c>
      <c r="D370" t="inlineStr">
        <is>
          <t>JÄMTLANDS LÄN</t>
        </is>
      </c>
      <c r="E370" t="inlineStr">
        <is>
          <t>ÅRE</t>
        </is>
      </c>
      <c r="G370" t="n">
        <v>3.7</v>
      </c>
      <c r="H370" t="n">
        <v>0</v>
      </c>
      <c r="I370" t="n">
        <v>0</v>
      </c>
      <c r="J370" t="n">
        <v>0</v>
      </c>
      <c r="K370" t="n">
        <v>0</v>
      </c>
      <c r="L370" t="n">
        <v>0</v>
      </c>
      <c r="M370" t="n">
        <v>0</v>
      </c>
      <c r="N370" t="n">
        <v>0</v>
      </c>
      <c r="O370" t="n">
        <v>0</v>
      </c>
      <c r="P370" t="n">
        <v>0</v>
      </c>
      <c r="Q370" t="n">
        <v>0</v>
      </c>
      <c r="R370" s="2" t="inlineStr"/>
    </row>
    <row r="371" ht="15" customHeight="1">
      <c r="A371" t="inlineStr">
        <is>
          <t>A 25208-2025</t>
        </is>
      </c>
      <c r="B371" s="1" t="n">
        <v>45800.46927083333</v>
      </c>
      <c r="C371" s="1" t="n">
        <v>46092</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50344-2024</t>
        </is>
      </c>
      <c r="B372" s="1" t="n">
        <v>45600</v>
      </c>
      <c r="C372" s="1" t="n">
        <v>46092</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12290-2023</t>
        </is>
      </c>
      <c r="B373" s="1" t="n">
        <v>44998.73545138889</v>
      </c>
      <c r="C373" s="1" t="n">
        <v>46092</v>
      </c>
      <c r="D373" t="inlineStr">
        <is>
          <t>JÄMTLANDS LÄN</t>
        </is>
      </c>
      <c r="E373" t="inlineStr">
        <is>
          <t>ÅRE</t>
        </is>
      </c>
      <c r="G373" t="n">
        <v>2.8</v>
      </c>
      <c r="H373" t="n">
        <v>0</v>
      </c>
      <c r="I373" t="n">
        <v>0</v>
      </c>
      <c r="J373" t="n">
        <v>0</v>
      </c>
      <c r="K373" t="n">
        <v>0</v>
      </c>
      <c r="L373" t="n">
        <v>0</v>
      </c>
      <c r="M373" t="n">
        <v>0</v>
      </c>
      <c r="N373" t="n">
        <v>0</v>
      </c>
      <c r="O373" t="n">
        <v>0</v>
      </c>
      <c r="P373" t="n">
        <v>0</v>
      </c>
      <c r="Q373" t="n">
        <v>0</v>
      </c>
      <c r="R373" s="2" t="inlineStr"/>
    </row>
    <row r="374" ht="15" customHeight="1">
      <c r="A374" t="inlineStr">
        <is>
          <t>A 12291-2023</t>
        </is>
      </c>
      <c r="B374" s="1" t="n">
        <v>44998.74140046296</v>
      </c>
      <c r="C374" s="1" t="n">
        <v>46092</v>
      </c>
      <c r="D374" t="inlineStr">
        <is>
          <t>JÄMTLANDS LÄN</t>
        </is>
      </c>
      <c r="E374" t="inlineStr">
        <is>
          <t>ÅRE</t>
        </is>
      </c>
      <c r="G374" t="n">
        <v>6</v>
      </c>
      <c r="H374" t="n">
        <v>0</v>
      </c>
      <c r="I374" t="n">
        <v>0</v>
      </c>
      <c r="J374" t="n">
        <v>0</v>
      </c>
      <c r="K374" t="n">
        <v>0</v>
      </c>
      <c r="L374" t="n">
        <v>0</v>
      </c>
      <c r="M374" t="n">
        <v>0</v>
      </c>
      <c r="N374" t="n">
        <v>0</v>
      </c>
      <c r="O374" t="n">
        <v>0</v>
      </c>
      <c r="P374" t="n">
        <v>0</v>
      </c>
      <c r="Q374" t="n">
        <v>0</v>
      </c>
      <c r="R374" s="2" t="inlineStr"/>
    </row>
    <row r="375" ht="15" customHeight="1">
      <c r="A375" t="inlineStr">
        <is>
          <t>A 46041-2025</t>
        </is>
      </c>
      <c r="B375" s="1" t="n">
        <v>45924</v>
      </c>
      <c r="C375" s="1" t="n">
        <v>46092</v>
      </c>
      <c r="D375" t="inlineStr">
        <is>
          <t>JÄMTLANDS LÄN</t>
        </is>
      </c>
      <c r="E375" t="inlineStr">
        <is>
          <t>ÅRE</t>
        </is>
      </c>
      <c r="G375" t="n">
        <v>3.5</v>
      </c>
      <c r="H375" t="n">
        <v>0</v>
      </c>
      <c r="I375" t="n">
        <v>0</v>
      </c>
      <c r="J375" t="n">
        <v>0</v>
      </c>
      <c r="K375" t="n">
        <v>0</v>
      </c>
      <c r="L375" t="n">
        <v>0</v>
      </c>
      <c r="M375" t="n">
        <v>0</v>
      </c>
      <c r="N375" t="n">
        <v>0</v>
      </c>
      <c r="O375" t="n">
        <v>0</v>
      </c>
      <c r="P375" t="n">
        <v>0</v>
      </c>
      <c r="Q375" t="n">
        <v>0</v>
      </c>
      <c r="R375" s="2" t="inlineStr"/>
    </row>
    <row r="376" ht="15" customHeight="1">
      <c r="A376" t="inlineStr">
        <is>
          <t>A 63860-2025</t>
        </is>
      </c>
      <c r="B376" s="1" t="n">
        <v>46020.48969907407</v>
      </c>
      <c r="C376" s="1" t="n">
        <v>46092</v>
      </c>
      <c r="D376" t="inlineStr">
        <is>
          <t>JÄMTLANDS LÄN</t>
        </is>
      </c>
      <c r="E376" t="inlineStr">
        <is>
          <t>ÅRE</t>
        </is>
      </c>
      <c r="G376" t="n">
        <v>4.1</v>
      </c>
      <c r="H376" t="n">
        <v>0</v>
      </c>
      <c r="I376" t="n">
        <v>0</v>
      </c>
      <c r="J376" t="n">
        <v>0</v>
      </c>
      <c r="K376" t="n">
        <v>0</v>
      </c>
      <c r="L376" t="n">
        <v>0</v>
      </c>
      <c r="M376" t="n">
        <v>0</v>
      </c>
      <c r="N376" t="n">
        <v>0</v>
      </c>
      <c r="O376" t="n">
        <v>0</v>
      </c>
      <c r="P376" t="n">
        <v>0</v>
      </c>
      <c r="Q376" t="n">
        <v>0</v>
      </c>
      <c r="R376" s="2" t="inlineStr"/>
    </row>
    <row r="377" ht="15" customHeight="1">
      <c r="A377" t="inlineStr">
        <is>
          <t>A 39509-2025</t>
        </is>
      </c>
      <c r="B377" s="1" t="n">
        <v>45890.40737268519</v>
      </c>
      <c r="C377" s="1" t="n">
        <v>46092</v>
      </c>
      <c r="D377" t="inlineStr">
        <is>
          <t>JÄMTLANDS LÄN</t>
        </is>
      </c>
      <c r="E377" t="inlineStr">
        <is>
          <t>ÅRE</t>
        </is>
      </c>
      <c r="G377" t="n">
        <v>5.6</v>
      </c>
      <c r="H377" t="n">
        <v>0</v>
      </c>
      <c r="I377" t="n">
        <v>0</v>
      </c>
      <c r="J377" t="n">
        <v>0</v>
      </c>
      <c r="K377" t="n">
        <v>0</v>
      </c>
      <c r="L377" t="n">
        <v>0</v>
      </c>
      <c r="M377" t="n">
        <v>0</v>
      </c>
      <c r="N377" t="n">
        <v>0</v>
      </c>
      <c r="O377" t="n">
        <v>0</v>
      </c>
      <c r="P377" t="n">
        <v>0</v>
      </c>
      <c r="Q377" t="n">
        <v>0</v>
      </c>
      <c r="R377" s="2" t="inlineStr"/>
    </row>
    <row r="378" ht="15" customHeight="1">
      <c r="A378" t="inlineStr">
        <is>
          <t>A 63863-2025</t>
        </is>
      </c>
      <c r="B378" s="1" t="n">
        <v>46020.49924768518</v>
      </c>
      <c r="C378" s="1" t="n">
        <v>46092</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45796-2024</t>
        </is>
      </c>
      <c r="B379" s="1" t="n">
        <v>45579.67354166666</v>
      </c>
      <c r="C379" s="1" t="n">
        <v>46092</v>
      </c>
      <c r="D379" t="inlineStr">
        <is>
          <t>JÄMTLANDS LÄN</t>
        </is>
      </c>
      <c r="E379" t="inlineStr">
        <is>
          <t>ÅRE</t>
        </is>
      </c>
      <c r="G379" t="n">
        <v>5</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46092</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32241-2021</t>
        </is>
      </c>
      <c r="B381" s="1" t="n">
        <v>44371</v>
      </c>
      <c r="C381" s="1" t="n">
        <v>46092</v>
      </c>
      <c r="D381" t="inlineStr">
        <is>
          <t>JÄMTLANDS LÄN</t>
        </is>
      </c>
      <c r="E381" t="inlineStr">
        <is>
          <t>ÅRE</t>
        </is>
      </c>
      <c r="G381" t="n">
        <v>2.3</v>
      </c>
      <c r="H381" t="n">
        <v>0</v>
      </c>
      <c r="I381" t="n">
        <v>0</v>
      </c>
      <c r="J381" t="n">
        <v>0</v>
      </c>
      <c r="K381" t="n">
        <v>0</v>
      </c>
      <c r="L381" t="n">
        <v>0</v>
      </c>
      <c r="M381" t="n">
        <v>0</v>
      </c>
      <c r="N381" t="n">
        <v>0</v>
      </c>
      <c r="O381" t="n">
        <v>0</v>
      </c>
      <c r="P381" t="n">
        <v>0</v>
      </c>
      <c r="Q381" t="n">
        <v>0</v>
      </c>
      <c r="R381" s="2" t="inlineStr"/>
    </row>
    <row r="382" ht="15" customHeight="1">
      <c r="A382" t="inlineStr">
        <is>
          <t>A 59916-2023</t>
        </is>
      </c>
      <c r="B382" s="1" t="n">
        <v>45257.64270833333</v>
      </c>
      <c r="C382" s="1" t="n">
        <v>46092</v>
      </c>
      <c r="D382" t="inlineStr">
        <is>
          <t>JÄMTLANDS LÄN</t>
        </is>
      </c>
      <c r="E382" t="inlineStr">
        <is>
          <t>ÅRE</t>
        </is>
      </c>
      <c r="G382" t="n">
        <v>0.7</v>
      </c>
      <c r="H382" t="n">
        <v>0</v>
      </c>
      <c r="I382" t="n">
        <v>0</v>
      </c>
      <c r="J382" t="n">
        <v>0</v>
      </c>
      <c r="K382" t="n">
        <v>0</v>
      </c>
      <c r="L382" t="n">
        <v>0</v>
      </c>
      <c r="M382" t="n">
        <v>0</v>
      </c>
      <c r="N382" t="n">
        <v>0</v>
      </c>
      <c r="O382" t="n">
        <v>0</v>
      </c>
      <c r="P382" t="n">
        <v>0</v>
      </c>
      <c r="Q382" t="n">
        <v>0</v>
      </c>
      <c r="R382" s="2" t="inlineStr"/>
    </row>
    <row r="383" ht="15" customHeight="1">
      <c r="A383" t="inlineStr">
        <is>
          <t>A 48211-2025</t>
        </is>
      </c>
      <c r="B383" s="1" t="n">
        <v>45931</v>
      </c>
      <c r="C383" s="1" t="n">
        <v>46092</v>
      </c>
      <c r="D383" t="inlineStr">
        <is>
          <t>JÄMTLANDS LÄN</t>
        </is>
      </c>
      <c r="E383" t="inlineStr">
        <is>
          <t>ÅRE</t>
        </is>
      </c>
      <c r="G383" t="n">
        <v>6.6</v>
      </c>
      <c r="H383" t="n">
        <v>0</v>
      </c>
      <c r="I383" t="n">
        <v>0</v>
      </c>
      <c r="J383" t="n">
        <v>0</v>
      </c>
      <c r="K383" t="n">
        <v>0</v>
      </c>
      <c r="L383" t="n">
        <v>0</v>
      </c>
      <c r="M383" t="n">
        <v>0</v>
      </c>
      <c r="N383" t="n">
        <v>0</v>
      </c>
      <c r="O383" t="n">
        <v>0</v>
      </c>
      <c r="P383" t="n">
        <v>0</v>
      </c>
      <c r="Q383" t="n">
        <v>0</v>
      </c>
      <c r="R383" s="2" t="inlineStr"/>
    </row>
    <row r="384" ht="15" customHeight="1">
      <c r="A384" t="inlineStr">
        <is>
          <t>A 12288-2023</t>
        </is>
      </c>
      <c r="B384" s="1" t="n">
        <v>44998.73143518518</v>
      </c>
      <c r="C384" s="1" t="n">
        <v>46092</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58917-2022</t>
        </is>
      </c>
      <c r="B385" s="1" t="n">
        <v>44903</v>
      </c>
      <c r="C385" s="1" t="n">
        <v>46092</v>
      </c>
      <c r="D385" t="inlineStr">
        <is>
          <t>JÄMTLANDS LÄN</t>
        </is>
      </c>
      <c r="E385" t="inlineStr">
        <is>
          <t>ÅRE</t>
        </is>
      </c>
      <c r="F385" t="inlineStr">
        <is>
          <t>Övriga Aktiebolag</t>
        </is>
      </c>
      <c r="G385" t="n">
        <v>3.3</v>
      </c>
      <c r="H385" t="n">
        <v>0</v>
      </c>
      <c r="I385" t="n">
        <v>0</v>
      </c>
      <c r="J385" t="n">
        <v>0</v>
      </c>
      <c r="K385" t="n">
        <v>0</v>
      </c>
      <c r="L385" t="n">
        <v>0</v>
      </c>
      <c r="M385" t="n">
        <v>0</v>
      </c>
      <c r="N385" t="n">
        <v>0</v>
      </c>
      <c r="O385" t="n">
        <v>0</v>
      </c>
      <c r="P385" t="n">
        <v>0</v>
      </c>
      <c r="Q385" t="n">
        <v>0</v>
      </c>
      <c r="R385" s="2" t="inlineStr"/>
    </row>
    <row r="386" ht="15" customHeight="1">
      <c r="A386" t="inlineStr">
        <is>
          <t>A 9224-2026</t>
        </is>
      </c>
      <c r="B386" s="1" t="n">
        <v>46070.44868055556</v>
      </c>
      <c r="C386" s="1" t="n">
        <v>46092</v>
      </c>
      <c r="D386" t="inlineStr">
        <is>
          <t>JÄMTLANDS LÄN</t>
        </is>
      </c>
      <c r="E386" t="inlineStr">
        <is>
          <t>ÅRE</t>
        </is>
      </c>
      <c r="G386" t="n">
        <v>0.9</v>
      </c>
      <c r="H386" t="n">
        <v>0</v>
      </c>
      <c r="I386" t="n">
        <v>0</v>
      </c>
      <c r="J386" t="n">
        <v>0</v>
      </c>
      <c r="K386" t="n">
        <v>0</v>
      </c>
      <c r="L386" t="n">
        <v>0</v>
      </c>
      <c r="M386" t="n">
        <v>0</v>
      </c>
      <c r="N386" t="n">
        <v>0</v>
      </c>
      <c r="O386" t="n">
        <v>0</v>
      </c>
      <c r="P386" t="n">
        <v>0</v>
      </c>
      <c r="Q386" t="n">
        <v>0</v>
      </c>
      <c r="R386" s="2" t="inlineStr"/>
    </row>
    <row r="387" ht="15" customHeight="1">
      <c r="A387" t="inlineStr">
        <is>
          <t>A 25275-2025</t>
        </is>
      </c>
      <c r="B387" s="1" t="n">
        <v>45800</v>
      </c>
      <c r="C387" s="1" t="n">
        <v>46092</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8872-2026</t>
        </is>
      </c>
      <c r="B388" s="1" t="n">
        <v>46066</v>
      </c>
      <c r="C388" s="1" t="n">
        <v>46092</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500-2026</t>
        </is>
      </c>
      <c r="B389" s="1" t="n">
        <v>46029.43557870371</v>
      </c>
      <c r="C389" s="1" t="n">
        <v>46092</v>
      </c>
      <c r="D389" t="inlineStr">
        <is>
          <t>JÄMTLANDS LÄN</t>
        </is>
      </c>
      <c r="E389" t="inlineStr">
        <is>
          <t>ÅRE</t>
        </is>
      </c>
      <c r="F389" t="inlineStr">
        <is>
          <t>Övriga Aktiebolag</t>
        </is>
      </c>
      <c r="G389" t="n">
        <v>8.5</v>
      </c>
      <c r="H389" t="n">
        <v>0</v>
      </c>
      <c r="I389" t="n">
        <v>0</v>
      </c>
      <c r="J389" t="n">
        <v>0</v>
      </c>
      <c r="K389" t="n">
        <v>0</v>
      </c>
      <c r="L389" t="n">
        <v>0</v>
      </c>
      <c r="M389" t="n">
        <v>0</v>
      </c>
      <c r="N389" t="n">
        <v>0</v>
      </c>
      <c r="O389" t="n">
        <v>0</v>
      </c>
      <c r="P389" t="n">
        <v>0</v>
      </c>
      <c r="Q389" t="n">
        <v>0</v>
      </c>
      <c r="R389" s="2" t="inlineStr"/>
    </row>
    <row r="390" ht="15" customHeight="1">
      <c r="A390" t="inlineStr">
        <is>
          <t>A 39744-2025</t>
        </is>
      </c>
      <c r="B390" s="1" t="n">
        <v>45891</v>
      </c>
      <c r="C390" s="1" t="n">
        <v>46092</v>
      </c>
      <c r="D390" t="inlineStr">
        <is>
          <t>JÄMTLANDS LÄN</t>
        </is>
      </c>
      <c r="E390" t="inlineStr">
        <is>
          <t>ÅRE</t>
        </is>
      </c>
      <c r="F390" t="inlineStr">
        <is>
          <t>Övriga statliga verk och myndigheter</t>
        </is>
      </c>
      <c r="G390" t="n">
        <v>14.4</v>
      </c>
      <c r="H390" t="n">
        <v>0</v>
      </c>
      <c r="I390" t="n">
        <v>0</v>
      </c>
      <c r="J390" t="n">
        <v>0</v>
      </c>
      <c r="K390" t="n">
        <v>0</v>
      </c>
      <c r="L390" t="n">
        <v>0</v>
      </c>
      <c r="M390" t="n">
        <v>0</v>
      </c>
      <c r="N390" t="n">
        <v>0</v>
      </c>
      <c r="O390" t="n">
        <v>0</v>
      </c>
      <c r="P390" t="n">
        <v>0</v>
      </c>
      <c r="Q390" t="n">
        <v>0</v>
      </c>
      <c r="R390" s="2" t="inlineStr"/>
    </row>
    <row r="391" ht="15" customHeight="1">
      <c r="A391" t="inlineStr">
        <is>
          <t>A 9212-2026</t>
        </is>
      </c>
      <c r="B391" s="1" t="n">
        <v>46070.43201388889</v>
      </c>
      <c r="C391" s="1" t="n">
        <v>46092</v>
      </c>
      <c r="D391" t="inlineStr">
        <is>
          <t>JÄMTLANDS LÄN</t>
        </is>
      </c>
      <c r="E391" t="inlineStr">
        <is>
          <t>ÅRE</t>
        </is>
      </c>
      <c r="G391" t="n">
        <v>3.5</v>
      </c>
      <c r="H391" t="n">
        <v>0</v>
      </c>
      <c r="I391" t="n">
        <v>0</v>
      </c>
      <c r="J391" t="n">
        <v>0</v>
      </c>
      <c r="K391" t="n">
        <v>0</v>
      </c>
      <c r="L391" t="n">
        <v>0</v>
      </c>
      <c r="M391" t="n">
        <v>0</v>
      </c>
      <c r="N391" t="n">
        <v>0</v>
      </c>
      <c r="O391" t="n">
        <v>0</v>
      </c>
      <c r="P391" t="n">
        <v>0</v>
      </c>
      <c r="Q391" t="n">
        <v>0</v>
      </c>
      <c r="R391" s="2" t="inlineStr"/>
    </row>
    <row r="392" ht="15" customHeight="1">
      <c r="A392" t="inlineStr">
        <is>
          <t>A 9326-2026</t>
        </is>
      </c>
      <c r="B392" s="1" t="n">
        <v>46070.6487037037</v>
      </c>
      <c r="C392" s="1" t="n">
        <v>46092</v>
      </c>
      <c r="D392" t="inlineStr">
        <is>
          <t>JÄMTLANDS LÄN</t>
        </is>
      </c>
      <c r="E392" t="inlineStr">
        <is>
          <t>ÅRE</t>
        </is>
      </c>
      <c r="F392" t="inlineStr">
        <is>
          <t>Övriga Aktiebolag</t>
        </is>
      </c>
      <c r="G392" t="n">
        <v>14.2</v>
      </c>
      <c r="H392" t="n">
        <v>0</v>
      </c>
      <c r="I392" t="n">
        <v>0</v>
      </c>
      <c r="J392" t="n">
        <v>0</v>
      </c>
      <c r="K392" t="n">
        <v>0</v>
      </c>
      <c r="L392" t="n">
        <v>0</v>
      </c>
      <c r="M392" t="n">
        <v>0</v>
      </c>
      <c r="N392" t="n">
        <v>0</v>
      </c>
      <c r="O392" t="n">
        <v>0</v>
      </c>
      <c r="P392" t="n">
        <v>0</v>
      </c>
      <c r="Q392" t="n">
        <v>0</v>
      </c>
      <c r="R392" s="2" t="inlineStr"/>
    </row>
    <row r="393" ht="15" customHeight="1">
      <c r="A393" t="inlineStr">
        <is>
          <t>A 39742-2025</t>
        </is>
      </c>
      <c r="B393" s="1" t="n">
        <v>45891</v>
      </c>
      <c r="C393" s="1" t="n">
        <v>46092</v>
      </c>
      <c r="D393" t="inlineStr">
        <is>
          <t>JÄMTLANDS LÄN</t>
        </is>
      </c>
      <c r="E393" t="inlineStr">
        <is>
          <t>ÅRE</t>
        </is>
      </c>
      <c r="F393" t="inlineStr">
        <is>
          <t>Övriga statliga verk och myndigheter</t>
        </is>
      </c>
      <c r="G393" t="n">
        <v>6.2</v>
      </c>
      <c r="H393" t="n">
        <v>0</v>
      </c>
      <c r="I393" t="n">
        <v>0</v>
      </c>
      <c r="J393" t="n">
        <v>0</v>
      </c>
      <c r="K393" t="n">
        <v>0</v>
      </c>
      <c r="L393" t="n">
        <v>0</v>
      </c>
      <c r="M393" t="n">
        <v>0</v>
      </c>
      <c r="N393" t="n">
        <v>0</v>
      </c>
      <c r="O393" t="n">
        <v>0</v>
      </c>
      <c r="P393" t="n">
        <v>0</v>
      </c>
      <c r="Q393" t="n">
        <v>0</v>
      </c>
      <c r="R393" s="2" t="inlineStr"/>
    </row>
    <row r="394" ht="15" customHeight="1">
      <c r="A394" t="inlineStr">
        <is>
          <t>A 13370-2024</t>
        </is>
      </c>
      <c r="B394" s="1" t="n">
        <v>45387</v>
      </c>
      <c r="C394" s="1" t="n">
        <v>46092</v>
      </c>
      <c r="D394" t="inlineStr">
        <is>
          <t>JÄMTLANDS LÄN</t>
        </is>
      </c>
      <c r="E394" t="inlineStr">
        <is>
          <t>ÅRE</t>
        </is>
      </c>
      <c r="G394" t="n">
        <v>8.5</v>
      </c>
      <c r="H394" t="n">
        <v>0</v>
      </c>
      <c r="I394" t="n">
        <v>0</v>
      </c>
      <c r="J394" t="n">
        <v>0</v>
      </c>
      <c r="K394" t="n">
        <v>0</v>
      </c>
      <c r="L394" t="n">
        <v>0</v>
      </c>
      <c r="M394" t="n">
        <v>0</v>
      </c>
      <c r="N394" t="n">
        <v>0</v>
      </c>
      <c r="O394" t="n">
        <v>0</v>
      </c>
      <c r="P394" t="n">
        <v>0</v>
      </c>
      <c r="Q394" t="n">
        <v>0</v>
      </c>
      <c r="R394" s="2" t="inlineStr"/>
    </row>
    <row r="395" ht="15" customHeight="1">
      <c r="A395" t="inlineStr">
        <is>
          <t>A 9219-2026</t>
        </is>
      </c>
      <c r="B395" s="1" t="n">
        <v>46070.4453125</v>
      </c>
      <c r="C395" s="1" t="n">
        <v>46092</v>
      </c>
      <c r="D395" t="inlineStr">
        <is>
          <t>JÄMTLANDS LÄN</t>
        </is>
      </c>
      <c r="E395" t="inlineStr">
        <is>
          <t>ÅRE</t>
        </is>
      </c>
      <c r="G395" t="n">
        <v>12.4</v>
      </c>
      <c r="H395" t="n">
        <v>0</v>
      </c>
      <c r="I395" t="n">
        <v>0</v>
      </c>
      <c r="J395" t="n">
        <v>0</v>
      </c>
      <c r="K395" t="n">
        <v>0</v>
      </c>
      <c r="L395" t="n">
        <v>0</v>
      </c>
      <c r="M395" t="n">
        <v>0</v>
      </c>
      <c r="N395" t="n">
        <v>0</v>
      </c>
      <c r="O395" t="n">
        <v>0</v>
      </c>
      <c r="P395" t="n">
        <v>0</v>
      </c>
      <c r="Q395" t="n">
        <v>0</v>
      </c>
      <c r="R395" s="2" t="inlineStr"/>
    </row>
    <row r="396" ht="15" customHeight="1">
      <c r="A396" t="inlineStr">
        <is>
          <t>A 45834-2024</t>
        </is>
      </c>
      <c r="B396" s="1" t="n">
        <v>45579.91509259259</v>
      </c>
      <c r="C396" s="1" t="n">
        <v>46092</v>
      </c>
      <c r="D396" t="inlineStr">
        <is>
          <t>JÄMTLANDS LÄN</t>
        </is>
      </c>
      <c r="E396" t="inlineStr">
        <is>
          <t>ÅRE</t>
        </is>
      </c>
      <c r="G396" t="n">
        <v>3.9</v>
      </c>
      <c r="H396" t="n">
        <v>0</v>
      </c>
      <c r="I396" t="n">
        <v>0</v>
      </c>
      <c r="J396" t="n">
        <v>0</v>
      </c>
      <c r="K396" t="n">
        <v>0</v>
      </c>
      <c r="L396" t="n">
        <v>0</v>
      </c>
      <c r="M396" t="n">
        <v>0</v>
      </c>
      <c r="N396" t="n">
        <v>0</v>
      </c>
      <c r="O396" t="n">
        <v>0</v>
      </c>
      <c r="P396" t="n">
        <v>0</v>
      </c>
      <c r="Q396" t="n">
        <v>0</v>
      </c>
      <c r="R396" s="2" t="inlineStr"/>
    </row>
    <row r="397" ht="15" customHeight="1">
      <c r="A397" t="inlineStr">
        <is>
          <t>A 13559-2025</t>
        </is>
      </c>
      <c r="B397" s="1" t="n">
        <v>45736</v>
      </c>
      <c r="C397" s="1" t="n">
        <v>46092</v>
      </c>
      <c r="D397" t="inlineStr">
        <is>
          <t>JÄMTLANDS LÄN</t>
        </is>
      </c>
      <c r="E397" t="inlineStr">
        <is>
          <t>ÅRE</t>
        </is>
      </c>
      <c r="F397" t="inlineStr">
        <is>
          <t>Övriga statliga verk och myndigheter</t>
        </is>
      </c>
      <c r="G397" t="n">
        <v>0.4</v>
      </c>
      <c r="H397" t="n">
        <v>0</v>
      </c>
      <c r="I397" t="n">
        <v>0</v>
      </c>
      <c r="J397" t="n">
        <v>0</v>
      </c>
      <c r="K397" t="n">
        <v>0</v>
      </c>
      <c r="L397" t="n">
        <v>0</v>
      </c>
      <c r="M397" t="n">
        <v>0</v>
      </c>
      <c r="N397" t="n">
        <v>0</v>
      </c>
      <c r="O397" t="n">
        <v>0</v>
      </c>
      <c r="P397" t="n">
        <v>0</v>
      </c>
      <c r="Q397" t="n">
        <v>0</v>
      </c>
      <c r="R397" s="2" t="inlineStr"/>
    </row>
    <row r="398" ht="15" customHeight="1">
      <c r="A398" t="inlineStr">
        <is>
          <t>A 13561-2025</t>
        </is>
      </c>
      <c r="B398" s="1" t="n">
        <v>45736</v>
      </c>
      <c r="C398" s="1" t="n">
        <v>46092</v>
      </c>
      <c r="D398" t="inlineStr">
        <is>
          <t>JÄMTLANDS LÄN</t>
        </is>
      </c>
      <c r="E398" t="inlineStr">
        <is>
          <t>ÅRE</t>
        </is>
      </c>
      <c r="F398" t="inlineStr">
        <is>
          <t>Övriga statliga verk och myndigheter</t>
        </is>
      </c>
      <c r="G398" t="n">
        <v>3.8</v>
      </c>
      <c r="H398" t="n">
        <v>0</v>
      </c>
      <c r="I398" t="n">
        <v>0</v>
      </c>
      <c r="J398" t="n">
        <v>0</v>
      </c>
      <c r="K398" t="n">
        <v>0</v>
      </c>
      <c r="L398" t="n">
        <v>0</v>
      </c>
      <c r="M398" t="n">
        <v>0</v>
      </c>
      <c r="N398" t="n">
        <v>0</v>
      </c>
      <c r="O398" t="n">
        <v>0</v>
      </c>
      <c r="P398" t="n">
        <v>0</v>
      </c>
      <c r="Q398" t="n">
        <v>0</v>
      </c>
      <c r="R398" s="2" t="inlineStr"/>
    </row>
    <row r="399" ht="15" customHeight="1">
      <c r="A399" t="inlineStr">
        <is>
          <t>A 39115-2025</t>
        </is>
      </c>
      <c r="B399" s="1" t="n">
        <v>45888</v>
      </c>
      <c r="C399" s="1" t="n">
        <v>46092</v>
      </c>
      <c r="D399" t="inlineStr">
        <is>
          <t>JÄMTLANDS LÄN</t>
        </is>
      </c>
      <c r="E399" t="inlineStr">
        <is>
          <t>ÅRE</t>
        </is>
      </c>
      <c r="F399" t="inlineStr">
        <is>
          <t>Övriga statliga verk och myndigheter</t>
        </is>
      </c>
      <c r="G399" t="n">
        <v>11.4</v>
      </c>
      <c r="H399" t="n">
        <v>0</v>
      </c>
      <c r="I399" t="n">
        <v>0</v>
      </c>
      <c r="J399" t="n">
        <v>0</v>
      </c>
      <c r="K399" t="n">
        <v>0</v>
      </c>
      <c r="L399" t="n">
        <v>0</v>
      </c>
      <c r="M399" t="n">
        <v>0</v>
      </c>
      <c r="N399" t="n">
        <v>0</v>
      </c>
      <c r="O399" t="n">
        <v>0</v>
      </c>
      <c r="P399" t="n">
        <v>0</v>
      </c>
      <c r="Q399" t="n">
        <v>0</v>
      </c>
      <c r="R399" s="2" t="inlineStr"/>
    </row>
    <row r="400" ht="15" customHeight="1">
      <c r="A400" t="inlineStr">
        <is>
          <t>A 5651-2023</t>
        </is>
      </c>
      <c r="B400" s="1" t="n">
        <v>44958</v>
      </c>
      <c r="C400" s="1" t="n">
        <v>46092</v>
      </c>
      <c r="D400" t="inlineStr">
        <is>
          <t>JÄMTLANDS LÄN</t>
        </is>
      </c>
      <c r="E400" t="inlineStr">
        <is>
          <t>ÅRE</t>
        </is>
      </c>
      <c r="G400" t="n">
        <v>5.7</v>
      </c>
      <c r="H400" t="n">
        <v>0</v>
      </c>
      <c r="I400" t="n">
        <v>0</v>
      </c>
      <c r="J400" t="n">
        <v>0</v>
      </c>
      <c r="K400" t="n">
        <v>0</v>
      </c>
      <c r="L400" t="n">
        <v>0</v>
      </c>
      <c r="M400" t="n">
        <v>0</v>
      </c>
      <c r="N400" t="n">
        <v>0</v>
      </c>
      <c r="O400" t="n">
        <v>0</v>
      </c>
      <c r="P400" t="n">
        <v>0</v>
      </c>
      <c r="Q400" t="n">
        <v>0</v>
      </c>
      <c r="R400" s="2" t="inlineStr"/>
    </row>
    <row r="401" ht="15" customHeight="1">
      <c r="A401" t="inlineStr">
        <is>
          <t>A 48178-2025</t>
        </is>
      </c>
      <c r="B401" s="1" t="n">
        <v>45933.44865740741</v>
      </c>
      <c r="C401" s="1" t="n">
        <v>46092</v>
      </c>
      <c r="D401" t="inlineStr">
        <is>
          <t>JÄMTLANDS LÄN</t>
        </is>
      </c>
      <c r="E401" t="inlineStr">
        <is>
          <t>ÅRE</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9766-2026</t>
        </is>
      </c>
      <c r="B402" s="1" t="n">
        <v>46072.56284722222</v>
      </c>
      <c r="C402" s="1" t="n">
        <v>46092</v>
      </c>
      <c r="D402" t="inlineStr">
        <is>
          <t>JÄMTLANDS LÄN</t>
        </is>
      </c>
      <c r="E402" t="inlineStr">
        <is>
          <t>ÅRE</t>
        </is>
      </c>
      <c r="F402" t="inlineStr">
        <is>
          <t>Övriga Aktiebolag</t>
        </is>
      </c>
      <c r="G402" t="n">
        <v>14.1</v>
      </c>
      <c r="H402" t="n">
        <v>0</v>
      </c>
      <c r="I402" t="n">
        <v>0</v>
      </c>
      <c r="J402" t="n">
        <v>0</v>
      </c>
      <c r="K402" t="n">
        <v>0</v>
      </c>
      <c r="L402" t="n">
        <v>0</v>
      </c>
      <c r="M402" t="n">
        <v>0</v>
      </c>
      <c r="N402" t="n">
        <v>0</v>
      </c>
      <c r="O402" t="n">
        <v>0</v>
      </c>
      <c r="P402" t="n">
        <v>0</v>
      </c>
      <c r="Q402" t="n">
        <v>0</v>
      </c>
      <c r="R402" s="2" t="inlineStr"/>
    </row>
    <row r="403" ht="15" customHeight="1">
      <c r="A403" t="inlineStr">
        <is>
          <t>A 25379-2024</t>
        </is>
      </c>
      <c r="B403" s="1" t="n">
        <v>45462</v>
      </c>
      <c r="C403" s="1" t="n">
        <v>46092</v>
      </c>
      <c r="D403" t="inlineStr">
        <is>
          <t>JÄMTLANDS LÄN</t>
        </is>
      </c>
      <c r="E403" t="inlineStr">
        <is>
          <t>ÅRE</t>
        </is>
      </c>
      <c r="G403" t="n">
        <v>4.5</v>
      </c>
      <c r="H403" t="n">
        <v>0</v>
      </c>
      <c r="I403" t="n">
        <v>0</v>
      </c>
      <c r="J403" t="n">
        <v>0</v>
      </c>
      <c r="K403" t="n">
        <v>0</v>
      </c>
      <c r="L403" t="n">
        <v>0</v>
      </c>
      <c r="M403" t="n">
        <v>0</v>
      </c>
      <c r="N403" t="n">
        <v>0</v>
      </c>
      <c r="O403" t="n">
        <v>0</v>
      </c>
      <c r="P403" t="n">
        <v>0</v>
      </c>
      <c r="Q403" t="n">
        <v>0</v>
      </c>
      <c r="R403" s="2" t="inlineStr"/>
    </row>
    <row r="404" ht="15" customHeight="1">
      <c r="A404" t="inlineStr">
        <is>
          <t>A 36048-2023</t>
        </is>
      </c>
      <c r="B404" s="1" t="n">
        <v>45149.42868055555</v>
      </c>
      <c r="C404" s="1" t="n">
        <v>46092</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46452-2025</t>
        </is>
      </c>
      <c r="B405" s="1" t="n">
        <v>45925.65625</v>
      </c>
      <c r="C405" s="1" t="n">
        <v>46092</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46457-2025</t>
        </is>
      </c>
      <c r="B406" s="1" t="n">
        <v>45925.66126157407</v>
      </c>
      <c r="C406" s="1" t="n">
        <v>46092</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21464-2022</t>
        </is>
      </c>
      <c r="B407" s="1" t="n">
        <v>44706</v>
      </c>
      <c r="C407" s="1" t="n">
        <v>46092</v>
      </c>
      <c r="D407" t="inlineStr">
        <is>
          <t>JÄMTLANDS LÄN</t>
        </is>
      </c>
      <c r="E407" t="inlineStr">
        <is>
          <t>ÅRE</t>
        </is>
      </c>
      <c r="G407" t="n">
        <v>10.9</v>
      </c>
      <c r="H407" t="n">
        <v>0</v>
      </c>
      <c r="I407" t="n">
        <v>0</v>
      </c>
      <c r="J407" t="n">
        <v>0</v>
      </c>
      <c r="K407" t="n">
        <v>0</v>
      </c>
      <c r="L407" t="n">
        <v>0</v>
      </c>
      <c r="M407" t="n">
        <v>0</v>
      </c>
      <c r="N407" t="n">
        <v>0</v>
      </c>
      <c r="O407" t="n">
        <v>0</v>
      </c>
      <c r="P407" t="n">
        <v>0</v>
      </c>
      <c r="Q407" t="n">
        <v>0</v>
      </c>
      <c r="R407" s="2" t="inlineStr"/>
    </row>
    <row r="408" ht="15" customHeight="1">
      <c r="A408" t="inlineStr">
        <is>
          <t>A 25710-2024</t>
        </is>
      </c>
      <c r="B408" s="1" t="n">
        <v>45463</v>
      </c>
      <c r="C408" s="1" t="n">
        <v>46092</v>
      </c>
      <c r="D408" t="inlineStr">
        <is>
          <t>JÄMTLANDS LÄN</t>
        </is>
      </c>
      <c r="E408" t="inlineStr">
        <is>
          <t>ÅRE</t>
        </is>
      </c>
      <c r="G408" t="n">
        <v>4.5</v>
      </c>
      <c r="H408" t="n">
        <v>0</v>
      </c>
      <c r="I408" t="n">
        <v>0</v>
      </c>
      <c r="J408" t="n">
        <v>0</v>
      </c>
      <c r="K408" t="n">
        <v>0</v>
      </c>
      <c r="L408" t="n">
        <v>0</v>
      </c>
      <c r="M408" t="n">
        <v>0</v>
      </c>
      <c r="N408" t="n">
        <v>0</v>
      </c>
      <c r="O408" t="n">
        <v>0</v>
      </c>
      <c r="P408" t="n">
        <v>0</v>
      </c>
      <c r="Q408" t="n">
        <v>0</v>
      </c>
      <c r="R408" s="2" t="inlineStr"/>
    </row>
    <row r="409" ht="15" customHeight="1">
      <c r="A409" t="inlineStr">
        <is>
          <t>A 48571-2025</t>
        </is>
      </c>
      <c r="B409" s="1" t="n">
        <v>45936.44934027778</v>
      </c>
      <c r="C409" s="1" t="n">
        <v>46092</v>
      </c>
      <c r="D409" t="inlineStr">
        <is>
          <t>JÄMTLANDS LÄN</t>
        </is>
      </c>
      <c r="E409" t="inlineStr">
        <is>
          <t>ÅRE</t>
        </is>
      </c>
      <c r="G409" t="n">
        <v>5.2</v>
      </c>
      <c r="H409" t="n">
        <v>0</v>
      </c>
      <c r="I409" t="n">
        <v>0</v>
      </c>
      <c r="J409" t="n">
        <v>0</v>
      </c>
      <c r="K409" t="n">
        <v>0</v>
      </c>
      <c r="L409" t="n">
        <v>0</v>
      </c>
      <c r="M409" t="n">
        <v>0</v>
      </c>
      <c r="N409" t="n">
        <v>0</v>
      </c>
      <c r="O409" t="n">
        <v>0</v>
      </c>
      <c r="P409" t="n">
        <v>0</v>
      </c>
      <c r="Q409" t="n">
        <v>0</v>
      </c>
      <c r="R409" s="2" t="inlineStr"/>
    </row>
    <row r="410" ht="15" customHeight="1">
      <c r="A410" t="inlineStr">
        <is>
          <t>A 49571-2025</t>
        </is>
      </c>
      <c r="B410" s="1" t="n">
        <v>45939.48998842593</v>
      </c>
      <c r="C410" s="1" t="n">
        <v>46092</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34538-2023</t>
        </is>
      </c>
      <c r="B411" s="1" t="n">
        <v>45134</v>
      </c>
      <c r="C411" s="1" t="n">
        <v>46092</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5410-2026</t>
        </is>
      </c>
      <c r="B412" s="1" t="n">
        <v>46050</v>
      </c>
      <c r="C412" s="1" t="n">
        <v>46092</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54904-2022</t>
        </is>
      </c>
      <c r="B413" s="1" t="n">
        <v>44886</v>
      </c>
      <c r="C413" s="1" t="n">
        <v>46092</v>
      </c>
      <c r="D413" t="inlineStr">
        <is>
          <t>JÄMTLANDS LÄN</t>
        </is>
      </c>
      <c r="E413" t="inlineStr">
        <is>
          <t>ÅRE</t>
        </is>
      </c>
      <c r="F413" t="inlineStr">
        <is>
          <t>Övriga Aktiebolag</t>
        </is>
      </c>
      <c r="G413" t="n">
        <v>12.2</v>
      </c>
      <c r="H413" t="n">
        <v>0</v>
      </c>
      <c r="I413" t="n">
        <v>0</v>
      </c>
      <c r="J413" t="n">
        <v>0</v>
      </c>
      <c r="K413" t="n">
        <v>0</v>
      </c>
      <c r="L413" t="n">
        <v>0</v>
      </c>
      <c r="M413" t="n">
        <v>0</v>
      </c>
      <c r="N413" t="n">
        <v>0</v>
      </c>
      <c r="O413" t="n">
        <v>0</v>
      </c>
      <c r="P413" t="n">
        <v>0</v>
      </c>
      <c r="Q413" t="n">
        <v>0</v>
      </c>
      <c r="R413" s="2" t="inlineStr"/>
    </row>
    <row r="414" ht="15" customHeight="1">
      <c r="A414" t="inlineStr">
        <is>
          <t>A 49593-2025</t>
        </is>
      </c>
      <c r="B414" s="1" t="n">
        <v>45939.53186342592</v>
      </c>
      <c r="C414" s="1" t="n">
        <v>46092</v>
      </c>
      <c r="D414" t="inlineStr">
        <is>
          <t>JÄMTLANDS LÄN</t>
        </is>
      </c>
      <c r="E414" t="inlineStr">
        <is>
          <t>ÅRE</t>
        </is>
      </c>
      <c r="G414" t="n">
        <v>7.9</v>
      </c>
      <c r="H414" t="n">
        <v>0</v>
      </c>
      <c r="I414" t="n">
        <v>0</v>
      </c>
      <c r="J414" t="n">
        <v>0</v>
      </c>
      <c r="K414" t="n">
        <v>0</v>
      </c>
      <c r="L414" t="n">
        <v>0</v>
      </c>
      <c r="M414" t="n">
        <v>0</v>
      </c>
      <c r="N414" t="n">
        <v>0</v>
      </c>
      <c r="O414" t="n">
        <v>0</v>
      </c>
      <c r="P414" t="n">
        <v>0</v>
      </c>
      <c r="Q414" t="n">
        <v>0</v>
      </c>
      <c r="R414" s="2" t="inlineStr"/>
    </row>
    <row r="415" ht="15" customHeight="1">
      <c r="A415" t="inlineStr">
        <is>
          <t>A 1603-2026</t>
        </is>
      </c>
      <c r="B415" s="1" t="n">
        <v>46034.45974537037</v>
      </c>
      <c r="C415" s="1" t="n">
        <v>46092</v>
      </c>
      <c r="D415" t="inlineStr">
        <is>
          <t>JÄMTLANDS LÄN</t>
        </is>
      </c>
      <c r="E415" t="inlineStr">
        <is>
          <t>ÅRE</t>
        </is>
      </c>
      <c r="G415" t="n">
        <v>3.3</v>
      </c>
      <c r="H415" t="n">
        <v>0</v>
      </c>
      <c r="I415" t="n">
        <v>0</v>
      </c>
      <c r="J415" t="n">
        <v>0</v>
      </c>
      <c r="K415" t="n">
        <v>0</v>
      </c>
      <c r="L415" t="n">
        <v>0</v>
      </c>
      <c r="M415" t="n">
        <v>0</v>
      </c>
      <c r="N415" t="n">
        <v>0</v>
      </c>
      <c r="O415" t="n">
        <v>0</v>
      </c>
      <c r="P415" t="n">
        <v>0</v>
      </c>
      <c r="Q415" t="n">
        <v>0</v>
      </c>
      <c r="R415" s="2" t="inlineStr"/>
    </row>
    <row r="416" ht="15" customHeight="1">
      <c r="A416" t="inlineStr">
        <is>
          <t>A 49493-2025</t>
        </is>
      </c>
      <c r="B416" s="1" t="n">
        <v>45939.36626157408</v>
      </c>
      <c r="C416" s="1" t="n">
        <v>46092</v>
      </c>
      <c r="D416" t="inlineStr">
        <is>
          <t>JÄMTLANDS LÄN</t>
        </is>
      </c>
      <c r="E416" t="inlineStr">
        <is>
          <t>ÅRE</t>
        </is>
      </c>
      <c r="G416" t="n">
        <v>2.4</v>
      </c>
      <c r="H416" t="n">
        <v>0</v>
      </c>
      <c r="I416" t="n">
        <v>0</v>
      </c>
      <c r="J416" t="n">
        <v>0</v>
      </c>
      <c r="K416" t="n">
        <v>0</v>
      </c>
      <c r="L416" t="n">
        <v>0</v>
      </c>
      <c r="M416" t="n">
        <v>0</v>
      </c>
      <c r="N416" t="n">
        <v>0</v>
      </c>
      <c r="O416" t="n">
        <v>0</v>
      </c>
      <c r="P416" t="n">
        <v>0</v>
      </c>
      <c r="Q416" t="n">
        <v>0</v>
      </c>
      <c r="R416" s="2" t="inlineStr"/>
    </row>
    <row r="417" ht="15" customHeight="1">
      <c r="A417" t="inlineStr">
        <is>
          <t>A 5460-2023</t>
        </is>
      </c>
      <c r="B417" s="1" t="n">
        <v>44960</v>
      </c>
      <c r="C417" s="1" t="n">
        <v>46092</v>
      </c>
      <c r="D417" t="inlineStr">
        <is>
          <t>JÄMTLANDS LÄN</t>
        </is>
      </c>
      <c r="E417" t="inlineStr">
        <is>
          <t>ÅRE</t>
        </is>
      </c>
      <c r="G417" t="n">
        <v>9.4</v>
      </c>
      <c r="H417" t="n">
        <v>0</v>
      </c>
      <c r="I417" t="n">
        <v>0</v>
      </c>
      <c r="J417" t="n">
        <v>0</v>
      </c>
      <c r="K417" t="n">
        <v>0</v>
      </c>
      <c r="L417" t="n">
        <v>0</v>
      </c>
      <c r="M417" t="n">
        <v>0</v>
      </c>
      <c r="N417" t="n">
        <v>0</v>
      </c>
      <c r="O417" t="n">
        <v>0</v>
      </c>
      <c r="P417" t="n">
        <v>0</v>
      </c>
      <c r="Q417" t="n">
        <v>0</v>
      </c>
      <c r="R417" s="2" t="inlineStr"/>
    </row>
    <row r="418" ht="15" customHeight="1">
      <c r="A418" t="inlineStr">
        <is>
          <t>A 3263-2023</t>
        </is>
      </c>
      <c r="B418" s="1" t="n">
        <v>44948.98751157407</v>
      </c>
      <c r="C418" s="1" t="n">
        <v>46092</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50203-2025</t>
        </is>
      </c>
      <c r="B419" s="1" t="n">
        <v>45943.65641203704</v>
      </c>
      <c r="C419" s="1" t="n">
        <v>46092</v>
      </c>
      <c r="D419" t="inlineStr">
        <is>
          <t>JÄMTLANDS LÄN</t>
        </is>
      </c>
      <c r="E419" t="inlineStr">
        <is>
          <t>ÅRE</t>
        </is>
      </c>
      <c r="G419" t="n">
        <v>7.2</v>
      </c>
      <c r="H419" t="n">
        <v>0</v>
      </c>
      <c r="I419" t="n">
        <v>0</v>
      </c>
      <c r="J419" t="n">
        <v>0</v>
      </c>
      <c r="K419" t="n">
        <v>0</v>
      </c>
      <c r="L419" t="n">
        <v>0</v>
      </c>
      <c r="M419" t="n">
        <v>0</v>
      </c>
      <c r="N419" t="n">
        <v>0</v>
      </c>
      <c r="O419" t="n">
        <v>0</v>
      </c>
      <c r="P419" t="n">
        <v>0</v>
      </c>
      <c r="Q419" t="n">
        <v>0</v>
      </c>
      <c r="R419" s="2" t="inlineStr"/>
    </row>
    <row r="420" ht="15" customHeight="1">
      <c r="A420" t="inlineStr">
        <is>
          <t>A 43446-2023</t>
        </is>
      </c>
      <c r="B420" s="1" t="n">
        <v>45184.35760416667</v>
      </c>
      <c r="C420" s="1" t="n">
        <v>46092</v>
      </c>
      <c r="D420" t="inlineStr">
        <is>
          <t>JÄMTLANDS LÄN</t>
        </is>
      </c>
      <c r="E420" t="inlineStr">
        <is>
          <t>ÅRE</t>
        </is>
      </c>
      <c r="F420" t="inlineStr">
        <is>
          <t>Övriga Aktiebolag</t>
        </is>
      </c>
      <c r="G420" t="n">
        <v>6.4</v>
      </c>
      <c r="H420" t="n">
        <v>0</v>
      </c>
      <c r="I420" t="n">
        <v>0</v>
      </c>
      <c r="J420" t="n">
        <v>0</v>
      </c>
      <c r="K420" t="n">
        <v>0</v>
      </c>
      <c r="L420" t="n">
        <v>0</v>
      </c>
      <c r="M420" t="n">
        <v>0</v>
      </c>
      <c r="N420" t="n">
        <v>0</v>
      </c>
      <c r="O420" t="n">
        <v>0</v>
      </c>
      <c r="P420" t="n">
        <v>0</v>
      </c>
      <c r="Q420" t="n">
        <v>0</v>
      </c>
      <c r="R420" s="2" t="inlineStr"/>
    </row>
    <row r="421" ht="15" customHeight="1">
      <c r="A421" t="inlineStr">
        <is>
          <t>A 26722-2021</t>
        </is>
      </c>
      <c r="B421" s="1" t="n">
        <v>44349</v>
      </c>
      <c r="C421" s="1" t="n">
        <v>46092</v>
      </c>
      <c r="D421" t="inlineStr">
        <is>
          <t>JÄMTLANDS LÄN</t>
        </is>
      </c>
      <c r="E421" t="inlineStr">
        <is>
          <t>ÅRE</t>
        </is>
      </c>
      <c r="G421" t="n">
        <v>11.4</v>
      </c>
      <c r="H421" t="n">
        <v>0</v>
      </c>
      <c r="I421" t="n">
        <v>0</v>
      </c>
      <c r="J421" t="n">
        <v>0</v>
      </c>
      <c r="K421" t="n">
        <v>0</v>
      </c>
      <c r="L421" t="n">
        <v>0</v>
      </c>
      <c r="M421" t="n">
        <v>0</v>
      </c>
      <c r="N421" t="n">
        <v>0</v>
      </c>
      <c r="O421" t="n">
        <v>0</v>
      </c>
      <c r="P421" t="n">
        <v>0</v>
      </c>
      <c r="Q421" t="n">
        <v>0</v>
      </c>
      <c r="R421" s="2" t="inlineStr"/>
    </row>
    <row r="422" ht="15" customHeight="1">
      <c r="A422" t="inlineStr">
        <is>
          <t>A 45161-2024</t>
        </is>
      </c>
      <c r="B422" s="1" t="n">
        <v>45575.64982638889</v>
      </c>
      <c r="C422" s="1" t="n">
        <v>46092</v>
      </c>
      <c r="D422" t="inlineStr">
        <is>
          <t>JÄMTLANDS LÄN</t>
        </is>
      </c>
      <c r="E422" t="inlineStr">
        <is>
          <t>ÅRE</t>
        </is>
      </c>
      <c r="G422" t="n">
        <v>6.9</v>
      </c>
      <c r="H422" t="n">
        <v>0</v>
      </c>
      <c r="I422" t="n">
        <v>0</v>
      </c>
      <c r="J422" t="n">
        <v>0</v>
      </c>
      <c r="K422" t="n">
        <v>0</v>
      </c>
      <c r="L422" t="n">
        <v>0</v>
      </c>
      <c r="M422" t="n">
        <v>0</v>
      </c>
      <c r="N422" t="n">
        <v>0</v>
      </c>
      <c r="O422" t="n">
        <v>0</v>
      </c>
      <c r="P422" t="n">
        <v>0</v>
      </c>
      <c r="Q422" t="n">
        <v>0</v>
      </c>
      <c r="R422" s="2" t="inlineStr"/>
    </row>
    <row r="423" ht="15" customHeight="1">
      <c r="A423" t="inlineStr">
        <is>
          <t>A 50488-2025</t>
        </is>
      </c>
      <c r="B423" s="1" t="n">
        <v>45945.39144675926</v>
      </c>
      <c r="C423" s="1" t="n">
        <v>46092</v>
      </c>
      <c r="D423" t="inlineStr">
        <is>
          <t>JÄMTLANDS LÄN</t>
        </is>
      </c>
      <c r="E423" t="inlineStr">
        <is>
          <t>ÅRE</t>
        </is>
      </c>
      <c r="G423" t="n">
        <v>3.8</v>
      </c>
      <c r="H423" t="n">
        <v>0</v>
      </c>
      <c r="I423" t="n">
        <v>0</v>
      </c>
      <c r="J423" t="n">
        <v>0</v>
      </c>
      <c r="K423" t="n">
        <v>0</v>
      </c>
      <c r="L423" t="n">
        <v>0</v>
      </c>
      <c r="M423" t="n">
        <v>0</v>
      </c>
      <c r="N423" t="n">
        <v>0</v>
      </c>
      <c r="O423" t="n">
        <v>0</v>
      </c>
      <c r="P423" t="n">
        <v>0</v>
      </c>
      <c r="Q423" t="n">
        <v>0</v>
      </c>
      <c r="R423" s="2" t="inlineStr"/>
    </row>
    <row r="424" ht="15" customHeight="1">
      <c r="A424" t="inlineStr">
        <is>
          <t>A 2105-2026</t>
        </is>
      </c>
      <c r="B424" s="1" t="n">
        <v>46036.3758912037</v>
      </c>
      <c r="C424" s="1" t="n">
        <v>46092</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49702-2024</t>
        </is>
      </c>
      <c r="B425" s="1" t="n">
        <v>45596</v>
      </c>
      <c r="C425" s="1" t="n">
        <v>46092</v>
      </c>
      <c r="D425" t="inlineStr">
        <is>
          <t>JÄMTLANDS LÄN</t>
        </is>
      </c>
      <c r="E425" t="inlineStr">
        <is>
          <t>ÅRE</t>
        </is>
      </c>
      <c r="F425" t="inlineStr">
        <is>
          <t>Övriga Aktiebolag</t>
        </is>
      </c>
      <c r="G425" t="n">
        <v>1.6</v>
      </c>
      <c r="H425" t="n">
        <v>0</v>
      </c>
      <c r="I425" t="n">
        <v>0</v>
      </c>
      <c r="J425" t="n">
        <v>0</v>
      </c>
      <c r="K425" t="n">
        <v>0</v>
      </c>
      <c r="L425" t="n">
        <v>0</v>
      </c>
      <c r="M425" t="n">
        <v>0</v>
      </c>
      <c r="N425" t="n">
        <v>0</v>
      </c>
      <c r="O425" t="n">
        <v>0</v>
      </c>
      <c r="P425" t="n">
        <v>0</v>
      </c>
      <c r="Q425" t="n">
        <v>0</v>
      </c>
      <c r="R425" s="2" t="inlineStr"/>
    </row>
    <row r="426" ht="15" customHeight="1">
      <c r="A426" t="inlineStr">
        <is>
          <t>A 47076-2024</t>
        </is>
      </c>
      <c r="B426" s="1" t="n">
        <v>45586.50180555556</v>
      </c>
      <c r="C426" s="1" t="n">
        <v>46092</v>
      </c>
      <c r="D426" t="inlineStr">
        <is>
          <t>JÄMTLANDS LÄN</t>
        </is>
      </c>
      <c r="E426" t="inlineStr">
        <is>
          <t>ÅRE</t>
        </is>
      </c>
      <c r="G426" t="n">
        <v>6.5</v>
      </c>
      <c r="H426" t="n">
        <v>0</v>
      </c>
      <c r="I426" t="n">
        <v>0</v>
      </c>
      <c r="J426" t="n">
        <v>0</v>
      </c>
      <c r="K426" t="n">
        <v>0</v>
      </c>
      <c r="L426" t="n">
        <v>0</v>
      </c>
      <c r="M426" t="n">
        <v>0</v>
      </c>
      <c r="N426" t="n">
        <v>0</v>
      </c>
      <c r="O426" t="n">
        <v>0</v>
      </c>
      <c r="P426" t="n">
        <v>0</v>
      </c>
      <c r="Q426" t="n">
        <v>0</v>
      </c>
      <c r="R426" s="2" t="inlineStr"/>
    </row>
    <row r="427" ht="15" customHeight="1">
      <c r="A427" t="inlineStr">
        <is>
          <t>A 13301-2024</t>
        </is>
      </c>
      <c r="B427" s="1" t="n">
        <v>45386</v>
      </c>
      <c r="C427" s="1" t="n">
        <v>46092</v>
      </c>
      <c r="D427" t="inlineStr">
        <is>
          <t>JÄMTLANDS LÄN</t>
        </is>
      </c>
      <c r="E427" t="inlineStr">
        <is>
          <t>ÅRE</t>
        </is>
      </c>
      <c r="G427" t="n">
        <v>9</v>
      </c>
      <c r="H427" t="n">
        <v>0</v>
      </c>
      <c r="I427" t="n">
        <v>0</v>
      </c>
      <c r="J427" t="n">
        <v>0</v>
      </c>
      <c r="K427" t="n">
        <v>0</v>
      </c>
      <c r="L427" t="n">
        <v>0</v>
      </c>
      <c r="M427" t="n">
        <v>0</v>
      </c>
      <c r="N427" t="n">
        <v>0</v>
      </c>
      <c r="O427" t="n">
        <v>0</v>
      </c>
      <c r="P427" t="n">
        <v>0</v>
      </c>
      <c r="Q427" t="n">
        <v>0</v>
      </c>
      <c r="R427" s="2" t="inlineStr"/>
    </row>
    <row r="428" ht="15" customHeight="1">
      <c r="A428" t="inlineStr">
        <is>
          <t>A 2520-2026</t>
        </is>
      </c>
      <c r="B428" s="1" t="n">
        <v>46037.42578703703</v>
      </c>
      <c r="C428" s="1" t="n">
        <v>46092</v>
      </c>
      <c r="D428" t="inlineStr">
        <is>
          <t>JÄMTLANDS LÄN</t>
        </is>
      </c>
      <c r="E428" t="inlineStr">
        <is>
          <t>ÅRE</t>
        </is>
      </c>
      <c r="G428" t="n">
        <v>3.3</v>
      </c>
      <c r="H428" t="n">
        <v>0</v>
      </c>
      <c r="I428" t="n">
        <v>0</v>
      </c>
      <c r="J428" t="n">
        <v>0</v>
      </c>
      <c r="K428" t="n">
        <v>0</v>
      </c>
      <c r="L428" t="n">
        <v>0</v>
      </c>
      <c r="M428" t="n">
        <v>0</v>
      </c>
      <c r="N428" t="n">
        <v>0</v>
      </c>
      <c r="O428" t="n">
        <v>0</v>
      </c>
      <c r="P428" t="n">
        <v>0</v>
      </c>
      <c r="Q428" t="n">
        <v>0</v>
      </c>
      <c r="R428" s="2" t="inlineStr"/>
    </row>
    <row r="429" ht="15" customHeight="1">
      <c r="A429" t="inlineStr">
        <is>
          <t>A 51277-2023</t>
        </is>
      </c>
      <c r="B429" s="1" t="n">
        <v>45219</v>
      </c>
      <c r="C429" s="1" t="n">
        <v>46092</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51282-2023</t>
        </is>
      </c>
      <c r="B430" s="1" t="n">
        <v>45219</v>
      </c>
      <c r="C430" s="1" t="n">
        <v>46092</v>
      </c>
      <c r="D430" t="inlineStr">
        <is>
          <t>JÄMTLANDS LÄN</t>
        </is>
      </c>
      <c r="E430" t="inlineStr">
        <is>
          <t>ÅRE</t>
        </is>
      </c>
      <c r="G430" t="n">
        <v>2.3</v>
      </c>
      <c r="H430" t="n">
        <v>0</v>
      </c>
      <c r="I430" t="n">
        <v>0</v>
      </c>
      <c r="J430" t="n">
        <v>0</v>
      </c>
      <c r="K430" t="n">
        <v>0</v>
      </c>
      <c r="L430" t="n">
        <v>0</v>
      </c>
      <c r="M430" t="n">
        <v>0</v>
      </c>
      <c r="N430" t="n">
        <v>0</v>
      </c>
      <c r="O430" t="n">
        <v>0</v>
      </c>
      <c r="P430" t="n">
        <v>0</v>
      </c>
      <c r="Q430" t="n">
        <v>0</v>
      </c>
      <c r="R430" s="2" t="inlineStr"/>
    </row>
    <row r="431" ht="15" customHeight="1">
      <c r="A431" t="inlineStr">
        <is>
          <t>A 10957-2026</t>
        </is>
      </c>
      <c r="B431" s="1" t="n">
        <v>46079.40486111111</v>
      </c>
      <c r="C431" s="1" t="n">
        <v>46092</v>
      </c>
      <c r="D431" t="inlineStr">
        <is>
          <t>JÄMTLANDS LÄN</t>
        </is>
      </c>
      <c r="E431" t="inlineStr">
        <is>
          <t>ÅRE</t>
        </is>
      </c>
      <c r="G431" t="n">
        <v>1</v>
      </c>
      <c r="H431" t="n">
        <v>0</v>
      </c>
      <c r="I431" t="n">
        <v>0</v>
      </c>
      <c r="J431" t="n">
        <v>0</v>
      </c>
      <c r="K431" t="n">
        <v>0</v>
      </c>
      <c r="L431" t="n">
        <v>0</v>
      </c>
      <c r="M431" t="n">
        <v>0</v>
      </c>
      <c r="N431" t="n">
        <v>0</v>
      </c>
      <c r="O431" t="n">
        <v>0</v>
      </c>
      <c r="P431" t="n">
        <v>0</v>
      </c>
      <c r="Q431" t="n">
        <v>0</v>
      </c>
      <c r="R431" s="2" t="inlineStr"/>
    </row>
    <row r="432" ht="15" customHeight="1">
      <c r="A432" t="inlineStr">
        <is>
          <t>A 11436-2026</t>
        </is>
      </c>
      <c r="B432" s="1" t="n">
        <v>46083.50047453704</v>
      </c>
      <c r="C432" s="1" t="n">
        <v>46092</v>
      </c>
      <c r="D432" t="inlineStr">
        <is>
          <t>JÄMTLANDS LÄN</t>
        </is>
      </c>
      <c r="E432" t="inlineStr">
        <is>
          <t>ÅRE</t>
        </is>
      </c>
      <c r="G432" t="n">
        <v>4.3</v>
      </c>
      <c r="H432" t="n">
        <v>0</v>
      </c>
      <c r="I432" t="n">
        <v>0</v>
      </c>
      <c r="J432" t="n">
        <v>0</v>
      </c>
      <c r="K432" t="n">
        <v>0</v>
      </c>
      <c r="L432" t="n">
        <v>0</v>
      </c>
      <c r="M432" t="n">
        <v>0</v>
      </c>
      <c r="N432" t="n">
        <v>0</v>
      </c>
      <c r="O432" t="n">
        <v>0</v>
      </c>
      <c r="P432" t="n">
        <v>0</v>
      </c>
      <c r="Q432" t="n">
        <v>0</v>
      </c>
      <c r="R432" s="2" t="inlineStr"/>
    </row>
    <row r="433" ht="15" customHeight="1">
      <c r="A433" t="inlineStr">
        <is>
          <t>A 6049-2025</t>
        </is>
      </c>
      <c r="B433" s="1" t="n">
        <v>45695</v>
      </c>
      <c r="C433" s="1" t="n">
        <v>46092</v>
      </c>
      <c r="D433" t="inlineStr">
        <is>
          <t>JÄMTLANDS LÄN</t>
        </is>
      </c>
      <c r="E433" t="inlineStr">
        <is>
          <t>ÅRE</t>
        </is>
      </c>
      <c r="G433" t="n">
        <v>58.3</v>
      </c>
      <c r="H433" t="n">
        <v>0</v>
      </c>
      <c r="I433" t="n">
        <v>0</v>
      </c>
      <c r="J433" t="n">
        <v>0</v>
      </c>
      <c r="K433" t="n">
        <v>0</v>
      </c>
      <c r="L433" t="n">
        <v>0</v>
      </c>
      <c r="M433" t="n">
        <v>0</v>
      </c>
      <c r="N433" t="n">
        <v>0</v>
      </c>
      <c r="O433" t="n">
        <v>0</v>
      </c>
      <c r="P433" t="n">
        <v>0</v>
      </c>
      <c r="Q433" t="n">
        <v>0</v>
      </c>
      <c r="R433" s="2" t="inlineStr"/>
    </row>
    <row r="434" ht="15" customHeight="1">
      <c r="A434" t="inlineStr">
        <is>
          <t>A 51876-2025</t>
        </is>
      </c>
      <c r="B434" s="1" t="n">
        <v>45952.39850694445</v>
      </c>
      <c r="C434" s="1" t="n">
        <v>46092</v>
      </c>
      <c r="D434" t="inlineStr">
        <is>
          <t>JÄMTLANDS LÄN</t>
        </is>
      </c>
      <c r="E434" t="inlineStr">
        <is>
          <t>ÅRE</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3018-2026</t>
        </is>
      </c>
      <c r="B435" s="1" t="n">
        <v>46038.66943287037</v>
      </c>
      <c r="C435" s="1" t="n">
        <v>46092</v>
      </c>
      <c r="D435" t="inlineStr">
        <is>
          <t>JÄMTLANDS LÄN</t>
        </is>
      </c>
      <c r="E435" t="inlineStr">
        <is>
          <t>ÅRE</t>
        </is>
      </c>
      <c r="G435" t="n">
        <v>4.8</v>
      </c>
      <c r="H435" t="n">
        <v>0</v>
      </c>
      <c r="I435" t="n">
        <v>0</v>
      </c>
      <c r="J435" t="n">
        <v>0</v>
      </c>
      <c r="K435" t="n">
        <v>0</v>
      </c>
      <c r="L435" t="n">
        <v>0</v>
      </c>
      <c r="M435" t="n">
        <v>0</v>
      </c>
      <c r="N435" t="n">
        <v>0</v>
      </c>
      <c r="O435" t="n">
        <v>0</v>
      </c>
      <c r="P435" t="n">
        <v>0</v>
      </c>
      <c r="Q435" t="n">
        <v>0</v>
      </c>
      <c r="R435" s="2" t="inlineStr"/>
    </row>
    <row r="436" ht="15" customHeight="1">
      <c r="A436" t="inlineStr">
        <is>
          <t>A 1159-2023</t>
        </is>
      </c>
      <c r="B436" s="1" t="n">
        <v>44935.66199074074</v>
      </c>
      <c r="C436" s="1" t="n">
        <v>46092</v>
      </c>
      <c r="D436" t="inlineStr">
        <is>
          <t>JÄMTLANDS LÄN</t>
        </is>
      </c>
      <c r="E436" t="inlineStr">
        <is>
          <t>ÅRE</t>
        </is>
      </c>
      <c r="G436" t="n">
        <v>6.4</v>
      </c>
      <c r="H436" t="n">
        <v>0</v>
      </c>
      <c r="I436" t="n">
        <v>0</v>
      </c>
      <c r="J436" t="n">
        <v>0</v>
      </c>
      <c r="K436" t="n">
        <v>0</v>
      </c>
      <c r="L436" t="n">
        <v>0</v>
      </c>
      <c r="M436" t="n">
        <v>0</v>
      </c>
      <c r="N436" t="n">
        <v>0</v>
      </c>
      <c r="O436" t="n">
        <v>0</v>
      </c>
      <c r="P436" t="n">
        <v>0</v>
      </c>
      <c r="Q436" t="n">
        <v>0</v>
      </c>
      <c r="R436" s="2" t="inlineStr"/>
    </row>
    <row r="437" ht="15" customHeight="1">
      <c r="A437" t="inlineStr">
        <is>
          <t>A 52946-2025</t>
        </is>
      </c>
      <c r="B437" s="1" t="n">
        <v>45957.64819444445</v>
      </c>
      <c r="C437" s="1" t="n">
        <v>46092</v>
      </c>
      <c r="D437" t="inlineStr">
        <is>
          <t>JÄMTLANDS LÄN</t>
        </is>
      </c>
      <c r="E437" t="inlineStr">
        <is>
          <t>ÅRE</t>
        </is>
      </c>
      <c r="G437" t="n">
        <v>2.6</v>
      </c>
      <c r="H437" t="n">
        <v>0</v>
      </c>
      <c r="I437" t="n">
        <v>0</v>
      </c>
      <c r="J437" t="n">
        <v>0</v>
      </c>
      <c r="K437" t="n">
        <v>0</v>
      </c>
      <c r="L437" t="n">
        <v>0</v>
      </c>
      <c r="M437" t="n">
        <v>0</v>
      </c>
      <c r="N437" t="n">
        <v>0</v>
      </c>
      <c r="O437" t="n">
        <v>0</v>
      </c>
      <c r="P437" t="n">
        <v>0</v>
      </c>
      <c r="Q437" t="n">
        <v>0</v>
      </c>
      <c r="R437" s="2" t="inlineStr"/>
    </row>
    <row r="438" ht="15" customHeight="1">
      <c r="A438" t="inlineStr">
        <is>
          <t>A 11439-2026</t>
        </is>
      </c>
      <c r="B438" s="1" t="n">
        <v>46083.51054398148</v>
      </c>
      <c r="C438" s="1" t="n">
        <v>46092</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52607-2025</t>
        </is>
      </c>
      <c r="B439" s="1" t="n">
        <v>45954.66291666667</v>
      </c>
      <c r="C439" s="1" t="n">
        <v>46092</v>
      </c>
      <c r="D439" t="inlineStr">
        <is>
          <t>JÄMTLANDS LÄN</t>
        </is>
      </c>
      <c r="E439" t="inlineStr">
        <is>
          <t>ÅRE</t>
        </is>
      </c>
      <c r="G439" t="n">
        <v>1</v>
      </c>
      <c r="H439" t="n">
        <v>0</v>
      </c>
      <c r="I439" t="n">
        <v>0</v>
      </c>
      <c r="J439" t="n">
        <v>0</v>
      </c>
      <c r="K439" t="n">
        <v>0</v>
      </c>
      <c r="L439" t="n">
        <v>0</v>
      </c>
      <c r="M439" t="n">
        <v>0</v>
      </c>
      <c r="N439" t="n">
        <v>0</v>
      </c>
      <c r="O439" t="n">
        <v>0</v>
      </c>
      <c r="P439" t="n">
        <v>0</v>
      </c>
      <c r="Q439" t="n">
        <v>0</v>
      </c>
      <c r="R439" s="2" t="inlineStr"/>
    </row>
    <row r="440" ht="15" customHeight="1">
      <c r="A440" t="inlineStr">
        <is>
          <t>A 47664-2022</t>
        </is>
      </c>
      <c r="B440" s="1" t="n">
        <v>44854.46388888889</v>
      </c>
      <c r="C440" s="1" t="n">
        <v>46092</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52944-2025</t>
        </is>
      </c>
      <c r="B441" s="1" t="n">
        <v>45957.6437037037</v>
      </c>
      <c r="C441" s="1" t="n">
        <v>46092</v>
      </c>
      <c r="D441" t="inlineStr">
        <is>
          <t>JÄMTLANDS LÄN</t>
        </is>
      </c>
      <c r="E441" t="inlineStr">
        <is>
          <t>ÅRE</t>
        </is>
      </c>
      <c r="G441" t="n">
        <v>1.5</v>
      </c>
      <c r="H441" t="n">
        <v>0</v>
      </c>
      <c r="I441" t="n">
        <v>0</v>
      </c>
      <c r="J441" t="n">
        <v>0</v>
      </c>
      <c r="K441" t="n">
        <v>0</v>
      </c>
      <c r="L441" t="n">
        <v>0</v>
      </c>
      <c r="M441" t="n">
        <v>0</v>
      </c>
      <c r="N441" t="n">
        <v>0</v>
      </c>
      <c r="O441" t="n">
        <v>0</v>
      </c>
      <c r="P441" t="n">
        <v>0</v>
      </c>
      <c r="Q441" t="n">
        <v>0</v>
      </c>
      <c r="R441" s="2" t="inlineStr"/>
    </row>
    <row r="442" ht="15" customHeight="1">
      <c r="A442" t="inlineStr">
        <is>
          <t>A 46444-2024</t>
        </is>
      </c>
      <c r="B442" s="1" t="n">
        <v>45582</v>
      </c>
      <c r="C442" s="1" t="n">
        <v>46092</v>
      </c>
      <c r="D442" t="inlineStr">
        <is>
          <t>JÄMTLANDS LÄN</t>
        </is>
      </c>
      <c r="E442" t="inlineStr">
        <is>
          <t>ÅRE</t>
        </is>
      </c>
      <c r="G442" t="n">
        <v>19.6</v>
      </c>
      <c r="H442" t="n">
        <v>0</v>
      </c>
      <c r="I442" t="n">
        <v>0</v>
      </c>
      <c r="J442" t="n">
        <v>0</v>
      </c>
      <c r="K442" t="n">
        <v>0</v>
      </c>
      <c r="L442" t="n">
        <v>0</v>
      </c>
      <c r="M442" t="n">
        <v>0</v>
      </c>
      <c r="N442" t="n">
        <v>0</v>
      </c>
      <c r="O442" t="n">
        <v>0</v>
      </c>
      <c r="P442" t="n">
        <v>0</v>
      </c>
      <c r="Q442" t="n">
        <v>0</v>
      </c>
      <c r="R442" s="2" t="inlineStr"/>
    </row>
    <row r="443" ht="15" customHeight="1">
      <c r="A443" t="inlineStr">
        <is>
          <t>A 14204-2021</t>
        </is>
      </c>
      <c r="B443" s="1" t="n">
        <v>44278</v>
      </c>
      <c r="C443" s="1" t="n">
        <v>46092</v>
      </c>
      <c r="D443" t="inlineStr">
        <is>
          <t>JÄMTLANDS LÄN</t>
        </is>
      </c>
      <c r="E443" t="inlineStr">
        <is>
          <t>ÅRE</t>
        </is>
      </c>
      <c r="G443" t="n">
        <v>24.6</v>
      </c>
      <c r="H443" t="n">
        <v>0</v>
      </c>
      <c r="I443" t="n">
        <v>0</v>
      </c>
      <c r="J443" t="n">
        <v>0</v>
      </c>
      <c r="K443" t="n">
        <v>0</v>
      </c>
      <c r="L443" t="n">
        <v>0</v>
      </c>
      <c r="M443" t="n">
        <v>0</v>
      </c>
      <c r="N443" t="n">
        <v>0</v>
      </c>
      <c r="O443" t="n">
        <v>0</v>
      </c>
      <c r="P443" t="n">
        <v>0</v>
      </c>
      <c r="Q443" t="n">
        <v>0</v>
      </c>
      <c r="R443" s="2" t="inlineStr"/>
    </row>
    <row r="444" ht="15" customHeight="1">
      <c r="A444" t="inlineStr">
        <is>
          <t>A 52604-2025</t>
        </is>
      </c>
      <c r="B444" s="1" t="n">
        <v>45954.65774305556</v>
      </c>
      <c r="C444" s="1" t="n">
        <v>46092</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3394-2026</t>
        </is>
      </c>
      <c r="B445" s="1" t="n">
        <v>46042.37641203704</v>
      </c>
      <c r="C445" s="1" t="n">
        <v>46092</v>
      </c>
      <c r="D445" t="inlineStr">
        <is>
          <t>JÄMTLANDS LÄN</t>
        </is>
      </c>
      <c r="E445" t="inlineStr">
        <is>
          <t>ÅRE</t>
        </is>
      </c>
      <c r="F445" t="inlineStr">
        <is>
          <t>Övriga Aktiebolag</t>
        </is>
      </c>
      <c r="G445" t="n">
        <v>11.2</v>
      </c>
      <c r="H445" t="n">
        <v>0</v>
      </c>
      <c r="I445" t="n">
        <v>0</v>
      </c>
      <c r="J445" t="n">
        <v>0</v>
      </c>
      <c r="K445" t="n">
        <v>0</v>
      </c>
      <c r="L445" t="n">
        <v>0</v>
      </c>
      <c r="M445" t="n">
        <v>0</v>
      </c>
      <c r="N445" t="n">
        <v>0</v>
      </c>
      <c r="O445" t="n">
        <v>0</v>
      </c>
      <c r="P445" t="n">
        <v>0</v>
      </c>
      <c r="Q445" t="n">
        <v>0</v>
      </c>
      <c r="R445" s="2" t="inlineStr"/>
    </row>
    <row r="446" ht="15" customHeight="1">
      <c r="A446" t="inlineStr">
        <is>
          <t>A 52597-2025</t>
        </is>
      </c>
      <c r="B446" s="1" t="n">
        <v>45954.65364583334</v>
      </c>
      <c r="C446" s="1" t="n">
        <v>46092</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52606-2025</t>
        </is>
      </c>
      <c r="B447" s="1" t="n">
        <v>45954.66020833333</v>
      </c>
      <c r="C447" s="1" t="n">
        <v>46092</v>
      </c>
      <c r="D447" t="inlineStr">
        <is>
          <t>JÄMTLANDS LÄN</t>
        </is>
      </c>
      <c r="E447" t="inlineStr">
        <is>
          <t>ÅRE</t>
        </is>
      </c>
      <c r="G447" t="n">
        <v>1.3</v>
      </c>
      <c r="H447" t="n">
        <v>0</v>
      </c>
      <c r="I447" t="n">
        <v>0</v>
      </c>
      <c r="J447" t="n">
        <v>0</v>
      </c>
      <c r="K447" t="n">
        <v>0</v>
      </c>
      <c r="L447" t="n">
        <v>0</v>
      </c>
      <c r="M447" t="n">
        <v>0</v>
      </c>
      <c r="N447" t="n">
        <v>0</v>
      </c>
      <c r="O447" t="n">
        <v>0</v>
      </c>
      <c r="P447" t="n">
        <v>0</v>
      </c>
      <c r="Q447" t="n">
        <v>0</v>
      </c>
      <c r="R447" s="2" t="inlineStr"/>
    </row>
    <row r="448" ht="15" customHeight="1">
      <c r="A448" t="inlineStr">
        <is>
          <t>A 53156-2025</t>
        </is>
      </c>
      <c r="B448" s="1" t="n">
        <v>45958.49030092593</v>
      </c>
      <c r="C448" s="1" t="n">
        <v>46092</v>
      </c>
      <c r="D448" t="inlineStr">
        <is>
          <t>JÄMTLANDS LÄN</t>
        </is>
      </c>
      <c r="E448" t="inlineStr">
        <is>
          <t>ÅRE</t>
        </is>
      </c>
      <c r="G448" t="n">
        <v>1.6</v>
      </c>
      <c r="H448" t="n">
        <v>0</v>
      </c>
      <c r="I448" t="n">
        <v>0</v>
      </c>
      <c r="J448" t="n">
        <v>0</v>
      </c>
      <c r="K448" t="n">
        <v>0</v>
      </c>
      <c r="L448" t="n">
        <v>0</v>
      </c>
      <c r="M448" t="n">
        <v>0</v>
      </c>
      <c r="N448" t="n">
        <v>0</v>
      </c>
      <c r="O448" t="n">
        <v>0</v>
      </c>
      <c r="P448" t="n">
        <v>0</v>
      </c>
      <c r="Q448" t="n">
        <v>0</v>
      </c>
      <c r="R448" s="2" t="inlineStr"/>
    </row>
    <row r="449" ht="15" customHeight="1">
      <c r="A449" t="inlineStr">
        <is>
          <t>A 11377-2025</t>
        </is>
      </c>
      <c r="B449" s="1" t="n">
        <v>45726</v>
      </c>
      <c r="C449" s="1" t="n">
        <v>46092</v>
      </c>
      <c r="D449" t="inlineStr">
        <is>
          <t>JÄMTLANDS LÄN</t>
        </is>
      </c>
      <c r="E449" t="inlineStr">
        <is>
          <t>ÅRE</t>
        </is>
      </c>
      <c r="G449" t="n">
        <v>7.1</v>
      </c>
      <c r="H449" t="n">
        <v>0</v>
      </c>
      <c r="I449" t="n">
        <v>0</v>
      </c>
      <c r="J449" t="n">
        <v>0</v>
      </c>
      <c r="K449" t="n">
        <v>0</v>
      </c>
      <c r="L449" t="n">
        <v>0</v>
      </c>
      <c r="M449" t="n">
        <v>0</v>
      </c>
      <c r="N449" t="n">
        <v>0</v>
      </c>
      <c r="O449" t="n">
        <v>0</v>
      </c>
      <c r="P449" t="n">
        <v>0</v>
      </c>
      <c r="Q449" t="n">
        <v>0</v>
      </c>
      <c r="R449" s="2" t="inlineStr"/>
    </row>
    <row r="450" ht="15" customHeight="1">
      <c r="A450" t="inlineStr">
        <is>
          <t>A 27375-2021</t>
        </is>
      </c>
      <c r="B450" s="1" t="n">
        <v>44351</v>
      </c>
      <c r="C450" s="1" t="n">
        <v>46092</v>
      </c>
      <c r="D450" t="inlineStr">
        <is>
          <t>JÄMTLANDS LÄN</t>
        </is>
      </c>
      <c r="E450" t="inlineStr">
        <is>
          <t>ÅRE</t>
        </is>
      </c>
      <c r="G450" t="n">
        <v>7.4</v>
      </c>
      <c r="H450" t="n">
        <v>0</v>
      </c>
      <c r="I450" t="n">
        <v>0</v>
      </c>
      <c r="J450" t="n">
        <v>0</v>
      </c>
      <c r="K450" t="n">
        <v>0</v>
      </c>
      <c r="L450" t="n">
        <v>0</v>
      </c>
      <c r="M450" t="n">
        <v>0</v>
      </c>
      <c r="N450" t="n">
        <v>0</v>
      </c>
      <c r="O450" t="n">
        <v>0</v>
      </c>
      <c r="P450" t="n">
        <v>0</v>
      </c>
      <c r="Q450" t="n">
        <v>0</v>
      </c>
      <c r="R450" s="2" t="inlineStr"/>
    </row>
    <row r="451" ht="15" customHeight="1">
      <c r="A451" t="inlineStr">
        <is>
          <t>A 53134-2025</t>
        </is>
      </c>
      <c r="B451" s="1" t="n">
        <v>45958.46826388889</v>
      </c>
      <c r="C451" s="1" t="n">
        <v>46092</v>
      </c>
      <c r="D451" t="inlineStr">
        <is>
          <t>JÄMTLANDS LÄN</t>
        </is>
      </c>
      <c r="E451" t="inlineStr">
        <is>
          <t>ÅRE</t>
        </is>
      </c>
      <c r="G451" t="n">
        <v>13.8</v>
      </c>
      <c r="H451" t="n">
        <v>0</v>
      </c>
      <c r="I451" t="n">
        <v>0</v>
      </c>
      <c r="J451" t="n">
        <v>0</v>
      </c>
      <c r="K451" t="n">
        <v>0</v>
      </c>
      <c r="L451" t="n">
        <v>0</v>
      </c>
      <c r="M451" t="n">
        <v>0</v>
      </c>
      <c r="N451" t="n">
        <v>0</v>
      </c>
      <c r="O451" t="n">
        <v>0</v>
      </c>
      <c r="P451" t="n">
        <v>0</v>
      </c>
      <c r="Q451" t="n">
        <v>0</v>
      </c>
      <c r="R451" s="2" t="inlineStr"/>
    </row>
    <row r="452" ht="15" customHeight="1">
      <c r="A452" t="inlineStr">
        <is>
          <t>A 61109-2025</t>
        </is>
      </c>
      <c r="B452" s="1" t="n">
        <v>46000.45017361111</v>
      </c>
      <c r="C452" s="1" t="n">
        <v>46092</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53133-2025</t>
        </is>
      </c>
      <c r="B453" s="1" t="n">
        <v>45958.46806712963</v>
      </c>
      <c r="C453" s="1" t="n">
        <v>46092</v>
      </c>
      <c r="D453" t="inlineStr">
        <is>
          <t>JÄMTLANDS LÄN</t>
        </is>
      </c>
      <c r="E453" t="inlineStr">
        <is>
          <t>ÅRE</t>
        </is>
      </c>
      <c r="G453" t="n">
        <v>13.8</v>
      </c>
      <c r="H453" t="n">
        <v>0</v>
      </c>
      <c r="I453" t="n">
        <v>0</v>
      </c>
      <c r="J453" t="n">
        <v>0</v>
      </c>
      <c r="K453" t="n">
        <v>0</v>
      </c>
      <c r="L453" t="n">
        <v>0</v>
      </c>
      <c r="M453" t="n">
        <v>0</v>
      </c>
      <c r="N453" t="n">
        <v>0</v>
      </c>
      <c r="O453" t="n">
        <v>0</v>
      </c>
      <c r="P453" t="n">
        <v>0</v>
      </c>
      <c r="Q453" t="n">
        <v>0</v>
      </c>
      <c r="R453" s="2" t="inlineStr"/>
    </row>
    <row r="454" ht="15" customHeight="1">
      <c r="A454" t="inlineStr">
        <is>
          <t>A 53862-2025</t>
        </is>
      </c>
      <c r="B454" s="1" t="n">
        <v>45961.38105324074</v>
      </c>
      <c r="C454" s="1" t="n">
        <v>46092</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43456-2023</t>
        </is>
      </c>
      <c r="B455" s="1" t="n">
        <v>45184.37474537037</v>
      </c>
      <c r="C455" s="1" t="n">
        <v>46092</v>
      </c>
      <c r="D455" t="inlineStr">
        <is>
          <t>JÄMTLANDS LÄN</t>
        </is>
      </c>
      <c r="E455" t="inlineStr">
        <is>
          <t>ÅRE</t>
        </is>
      </c>
      <c r="F455" t="inlineStr">
        <is>
          <t>Övriga Aktiebolag</t>
        </is>
      </c>
      <c r="G455" t="n">
        <v>8.9</v>
      </c>
      <c r="H455" t="n">
        <v>0</v>
      </c>
      <c r="I455" t="n">
        <v>0</v>
      </c>
      <c r="J455" t="n">
        <v>0</v>
      </c>
      <c r="K455" t="n">
        <v>0</v>
      </c>
      <c r="L455" t="n">
        <v>0</v>
      </c>
      <c r="M455" t="n">
        <v>0</v>
      </c>
      <c r="N455" t="n">
        <v>0</v>
      </c>
      <c r="O455" t="n">
        <v>0</v>
      </c>
      <c r="P455" t="n">
        <v>0</v>
      </c>
      <c r="Q455" t="n">
        <v>0</v>
      </c>
      <c r="R455" s="2" t="inlineStr"/>
    </row>
    <row r="456" ht="15" customHeight="1">
      <c r="A456" t="inlineStr">
        <is>
          <t>A 54164-2023</t>
        </is>
      </c>
      <c r="B456" s="1" t="n">
        <v>45232.47815972222</v>
      </c>
      <c r="C456" s="1" t="n">
        <v>46092</v>
      </c>
      <c r="D456" t="inlineStr">
        <is>
          <t>JÄMTLANDS LÄN</t>
        </is>
      </c>
      <c r="E456" t="inlineStr">
        <is>
          <t>ÅRE</t>
        </is>
      </c>
      <c r="G456" t="n">
        <v>2.6</v>
      </c>
      <c r="H456" t="n">
        <v>0</v>
      </c>
      <c r="I456" t="n">
        <v>0</v>
      </c>
      <c r="J456" t="n">
        <v>0</v>
      </c>
      <c r="K456" t="n">
        <v>0</v>
      </c>
      <c r="L456" t="n">
        <v>0</v>
      </c>
      <c r="M456" t="n">
        <v>0</v>
      </c>
      <c r="N456" t="n">
        <v>0</v>
      </c>
      <c r="O456" t="n">
        <v>0</v>
      </c>
      <c r="P456" t="n">
        <v>0</v>
      </c>
      <c r="Q456" t="n">
        <v>0</v>
      </c>
      <c r="R456" s="2" t="inlineStr"/>
    </row>
    <row r="457" ht="15" customHeight="1">
      <c r="A457" t="inlineStr">
        <is>
          <t>A 57150-2021</t>
        </is>
      </c>
      <c r="B457" s="1" t="n">
        <v>44482</v>
      </c>
      <c r="C457" s="1" t="n">
        <v>46092</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50951-2023</t>
        </is>
      </c>
      <c r="B458" s="1" t="n">
        <v>45218</v>
      </c>
      <c r="C458" s="1" t="n">
        <v>46092</v>
      </c>
      <c r="D458" t="inlineStr">
        <is>
          <t>JÄMTLANDS LÄN</t>
        </is>
      </c>
      <c r="E458" t="inlineStr">
        <is>
          <t>ÅRE</t>
        </is>
      </c>
      <c r="G458" t="n">
        <v>1</v>
      </c>
      <c r="H458" t="n">
        <v>0</v>
      </c>
      <c r="I458" t="n">
        <v>0</v>
      </c>
      <c r="J458" t="n">
        <v>0</v>
      </c>
      <c r="K458" t="n">
        <v>0</v>
      </c>
      <c r="L458" t="n">
        <v>0</v>
      </c>
      <c r="M458" t="n">
        <v>0</v>
      </c>
      <c r="N458" t="n">
        <v>0</v>
      </c>
      <c r="O458" t="n">
        <v>0</v>
      </c>
      <c r="P458" t="n">
        <v>0</v>
      </c>
      <c r="Q458" t="n">
        <v>0</v>
      </c>
      <c r="R458" s="2" t="inlineStr"/>
    </row>
    <row r="459" ht="15" customHeight="1">
      <c r="A459" t="inlineStr">
        <is>
          <t>A 2374-2023</t>
        </is>
      </c>
      <c r="B459" s="1" t="n">
        <v>44942.69005787037</v>
      </c>
      <c r="C459" s="1" t="n">
        <v>46092</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53873-2025</t>
        </is>
      </c>
      <c r="B460" s="1" t="n">
        <v>45961.39340277778</v>
      </c>
      <c r="C460" s="1" t="n">
        <v>46092</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59397-2021</t>
        </is>
      </c>
      <c r="B461" s="1" t="n">
        <v>44491</v>
      </c>
      <c r="C461" s="1" t="n">
        <v>46092</v>
      </c>
      <c r="D461" t="inlineStr">
        <is>
          <t>JÄMTLANDS LÄN</t>
        </is>
      </c>
      <c r="E461" t="inlineStr">
        <is>
          <t>ÅRE</t>
        </is>
      </c>
      <c r="F461" t="inlineStr">
        <is>
          <t>Övriga Aktiebolag</t>
        </is>
      </c>
      <c r="G461" t="n">
        <v>7.6</v>
      </c>
      <c r="H461" t="n">
        <v>0</v>
      </c>
      <c r="I461" t="n">
        <v>0</v>
      </c>
      <c r="J461" t="n">
        <v>0</v>
      </c>
      <c r="K461" t="n">
        <v>0</v>
      </c>
      <c r="L461" t="n">
        <v>0</v>
      </c>
      <c r="M461" t="n">
        <v>0</v>
      </c>
      <c r="N461" t="n">
        <v>0</v>
      </c>
      <c r="O461" t="n">
        <v>0</v>
      </c>
      <c r="P461" t="n">
        <v>0</v>
      </c>
      <c r="Q461" t="n">
        <v>0</v>
      </c>
      <c r="R461" s="2" t="inlineStr"/>
    </row>
    <row r="462" ht="15" customHeight="1">
      <c r="A462" t="inlineStr">
        <is>
          <t>A 54137-2025</t>
        </is>
      </c>
      <c r="B462" s="1" t="n">
        <v>45964.47275462963</v>
      </c>
      <c r="C462" s="1" t="n">
        <v>46092</v>
      </c>
      <c r="D462" t="inlineStr">
        <is>
          <t>JÄMTLANDS LÄN</t>
        </is>
      </c>
      <c r="E462" t="inlineStr">
        <is>
          <t>ÅRE</t>
        </is>
      </c>
      <c r="G462" t="n">
        <v>0.7</v>
      </c>
      <c r="H462" t="n">
        <v>0</v>
      </c>
      <c r="I462" t="n">
        <v>0</v>
      </c>
      <c r="J462" t="n">
        <v>0</v>
      </c>
      <c r="K462" t="n">
        <v>0</v>
      </c>
      <c r="L462" t="n">
        <v>0</v>
      </c>
      <c r="M462" t="n">
        <v>0</v>
      </c>
      <c r="N462" t="n">
        <v>0</v>
      </c>
      <c r="O462" t="n">
        <v>0</v>
      </c>
      <c r="P462" t="n">
        <v>0</v>
      </c>
      <c r="Q462" t="n">
        <v>0</v>
      </c>
      <c r="R462" s="2" t="inlineStr"/>
    </row>
    <row r="463" ht="15" customHeight="1">
      <c r="A463" t="inlineStr">
        <is>
          <t>A 54131-2025</t>
        </is>
      </c>
      <c r="B463" s="1" t="n">
        <v>45964.46167824074</v>
      </c>
      <c r="C463" s="1" t="n">
        <v>46092</v>
      </c>
      <c r="D463" t="inlineStr">
        <is>
          <t>JÄMTLANDS LÄN</t>
        </is>
      </c>
      <c r="E463" t="inlineStr">
        <is>
          <t>ÅRE</t>
        </is>
      </c>
      <c r="G463" t="n">
        <v>1.1</v>
      </c>
      <c r="H463" t="n">
        <v>0</v>
      </c>
      <c r="I463" t="n">
        <v>0</v>
      </c>
      <c r="J463" t="n">
        <v>0</v>
      </c>
      <c r="K463" t="n">
        <v>0</v>
      </c>
      <c r="L463" t="n">
        <v>0</v>
      </c>
      <c r="M463" t="n">
        <v>0</v>
      </c>
      <c r="N463" t="n">
        <v>0</v>
      </c>
      <c r="O463" t="n">
        <v>0</v>
      </c>
      <c r="P463" t="n">
        <v>0</v>
      </c>
      <c r="Q463" t="n">
        <v>0</v>
      </c>
      <c r="R463" s="2" t="inlineStr"/>
    </row>
    <row r="464" ht="15" customHeight="1">
      <c r="A464" t="inlineStr">
        <is>
          <t>A 54136-2025</t>
        </is>
      </c>
      <c r="B464" s="1" t="n">
        <v>45964.47177083333</v>
      </c>
      <c r="C464" s="1" t="n">
        <v>46092</v>
      </c>
      <c r="D464" t="inlineStr">
        <is>
          <t>JÄMTLANDS LÄN</t>
        </is>
      </c>
      <c r="E464" t="inlineStr">
        <is>
          <t>ÅRE</t>
        </is>
      </c>
      <c r="G464" t="n">
        <v>7.2</v>
      </c>
      <c r="H464" t="n">
        <v>0</v>
      </c>
      <c r="I464" t="n">
        <v>0</v>
      </c>
      <c r="J464" t="n">
        <v>0</v>
      </c>
      <c r="K464" t="n">
        <v>0</v>
      </c>
      <c r="L464" t="n">
        <v>0</v>
      </c>
      <c r="M464" t="n">
        <v>0</v>
      </c>
      <c r="N464" t="n">
        <v>0</v>
      </c>
      <c r="O464" t="n">
        <v>0</v>
      </c>
      <c r="P464" t="n">
        <v>0</v>
      </c>
      <c r="Q464" t="n">
        <v>0</v>
      </c>
      <c r="R464" s="2" t="inlineStr"/>
    </row>
    <row r="465" ht="15" customHeight="1">
      <c r="A465" t="inlineStr">
        <is>
          <t>A 54139-2025</t>
        </is>
      </c>
      <c r="B465" s="1" t="n">
        <v>45964.47564814815</v>
      </c>
      <c r="C465" s="1" t="n">
        <v>46092</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39202-2025</t>
        </is>
      </c>
      <c r="B466" s="1" t="n">
        <v>45888.72116898148</v>
      </c>
      <c r="C466" s="1" t="n">
        <v>46092</v>
      </c>
      <c r="D466" t="inlineStr">
        <is>
          <t>JÄMTLANDS LÄN</t>
        </is>
      </c>
      <c r="E466" t="inlineStr">
        <is>
          <t>ÅRE</t>
        </is>
      </c>
      <c r="G466" t="n">
        <v>4.4</v>
      </c>
      <c r="H466" t="n">
        <v>0</v>
      </c>
      <c r="I466" t="n">
        <v>0</v>
      </c>
      <c r="J466" t="n">
        <v>0</v>
      </c>
      <c r="K466" t="n">
        <v>0</v>
      </c>
      <c r="L466" t="n">
        <v>0</v>
      </c>
      <c r="M466" t="n">
        <v>0</v>
      </c>
      <c r="N466" t="n">
        <v>0</v>
      </c>
      <c r="O466" t="n">
        <v>0</v>
      </c>
      <c r="P466" t="n">
        <v>0</v>
      </c>
      <c r="Q466" t="n">
        <v>0</v>
      </c>
      <c r="R466" s="2" t="inlineStr"/>
    </row>
    <row r="467" ht="15" customHeight="1">
      <c r="A467" t="inlineStr">
        <is>
          <t>A 54213-2025</t>
        </is>
      </c>
      <c r="B467" s="1" t="n">
        <v>45964.59420138889</v>
      </c>
      <c r="C467" s="1" t="n">
        <v>46092</v>
      </c>
      <c r="D467" t="inlineStr">
        <is>
          <t>JÄMTLANDS LÄN</t>
        </is>
      </c>
      <c r="E467" t="inlineStr">
        <is>
          <t>ÅRE</t>
        </is>
      </c>
      <c r="F467" t="inlineStr">
        <is>
          <t>Övriga Aktiebolag</t>
        </is>
      </c>
      <c r="G467" t="n">
        <v>2.1</v>
      </c>
      <c r="H467" t="n">
        <v>0</v>
      </c>
      <c r="I467" t="n">
        <v>0</v>
      </c>
      <c r="J467" t="n">
        <v>0</v>
      </c>
      <c r="K467" t="n">
        <v>0</v>
      </c>
      <c r="L467" t="n">
        <v>0</v>
      </c>
      <c r="M467" t="n">
        <v>0</v>
      </c>
      <c r="N467" t="n">
        <v>0</v>
      </c>
      <c r="O467" t="n">
        <v>0</v>
      </c>
      <c r="P467" t="n">
        <v>0</v>
      </c>
      <c r="Q467" t="n">
        <v>0</v>
      </c>
      <c r="R467" s="2" t="inlineStr"/>
    </row>
    <row r="468" ht="15" customHeight="1">
      <c r="A468" t="inlineStr">
        <is>
          <t>A 35058-2025</t>
        </is>
      </c>
      <c r="B468" s="1" t="n">
        <v>45849</v>
      </c>
      <c r="C468" s="1" t="n">
        <v>46092</v>
      </c>
      <c r="D468" t="inlineStr">
        <is>
          <t>JÄMTLANDS LÄN</t>
        </is>
      </c>
      <c r="E468" t="inlineStr">
        <is>
          <t>ÅRE</t>
        </is>
      </c>
      <c r="G468" t="n">
        <v>2.5</v>
      </c>
      <c r="H468" t="n">
        <v>0</v>
      </c>
      <c r="I468" t="n">
        <v>0</v>
      </c>
      <c r="J468" t="n">
        <v>0</v>
      </c>
      <c r="K468" t="n">
        <v>0</v>
      </c>
      <c r="L468" t="n">
        <v>0</v>
      </c>
      <c r="M468" t="n">
        <v>0</v>
      </c>
      <c r="N468" t="n">
        <v>0</v>
      </c>
      <c r="O468" t="n">
        <v>0</v>
      </c>
      <c r="P468" t="n">
        <v>0</v>
      </c>
      <c r="Q468" t="n">
        <v>0</v>
      </c>
      <c r="R468" s="2" t="inlineStr"/>
    </row>
    <row r="469" ht="15" customHeight="1">
      <c r="A469" t="inlineStr">
        <is>
          <t>A 34897-2025</t>
        </is>
      </c>
      <c r="B469" s="1" t="n">
        <v>45849</v>
      </c>
      <c r="C469" s="1" t="n">
        <v>46092</v>
      </c>
      <c r="D469" t="inlineStr">
        <is>
          <t>JÄMTLANDS LÄN</t>
        </is>
      </c>
      <c r="E469" t="inlineStr">
        <is>
          <t>ÅRE</t>
        </is>
      </c>
      <c r="G469" t="n">
        <v>1.6</v>
      </c>
      <c r="H469" t="n">
        <v>0</v>
      </c>
      <c r="I469" t="n">
        <v>0</v>
      </c>
      <c r="J469" t="n">
        <v>0</v>
      </c>
      <c r="K469" t="n">
        <v>0</v>
      </c>
      <c r="L469" t="n">
        <v>0</v>
      </c>
      <c r="M469" t="n">
        <v>0</v>
      </c>
      <c r="N469" t="n">
        <v>0</v>
      </c>
      <c r="O469" t="n">
        <v>0</v>
      </c>
      <c r="P469" t="n">
        <v>0</v>
      </c>
      <c r="Q469" t="n">
        <v>0</v>
      </c>
      <c r="R469" s="2" t="inlineStr"/>
    </row>
    <row r="470" ht="15" customHeight="1">
      <c r="A470" t="inlineStr">
        <is>
          <t>A 34925-2025</t>
        </is>
      </c>
      <c r="B470" s="1" t="n">
        <v>45849</v>
      </c>
      <c r="C470" s="1" t="n">
        <v>46092</v>
      </c>
      <c r="D470" t="inlineStr">
        <is>
          <t>JÄMTLANDS LÄN</t>
        </is>
      </c>
      <c r="E470" t="inlineStr">
        <is>
          <t>ÅRE</t>
        </is>
      </c>
      <c r="G470" t="n">
        <v>1.9</v>
      </c>
      <c r="H470" t="n">
        <v>0</v>
      </c>
      <c r="I470" t="n">
        <v>0</v>
      </c>
      <c r="J470" t="n">
        <v>0</v>
      </c>
      <c r="K470" t="n">
        <v>0</v>
      </c>
      <c r="L470" t="n">
        <v>0</v>
      </c>
      <c r="M470" t="n">
        <v>0</v>
      </c>
      <c r="N470" t="n">
        <v>0</v>
      </c>
      <c r="O470" t="n">
        <v>0</v>
      </c>
      <c r="P470" t="n">
        <v>0</v>
      </c>
      <c r="Q470" t="n">
        <v>0</v>
      </c>
      <c r="R470" s="2" t="inlineStr"/>
    </row>
    <row r="471" ht="15" customHeight="1">
      <c r="A471" t="inlineStr">
        <is>
          <t>A 34805-2025</t>
        </is>
      </c>
      <c r="B471" s="1" t="n">
        <v>45849.33071759259</v>
      </c>
      <c r="C471" s="1" t="n">
        <v>46092</v>
      </c>
      <c r="D471" t="inlineStr">
        <is>
          <t>JÄMTLANDS LÄN</t>
        </is>
      </c>
      <c r="E471" t="inlineStr">
        <is>
          <t>ÅRE</t>
        </is>
      </c>
      <c r="G471" t="n">
        <v>2.2</v>
      </c>
      <c r="H471" t="n">
        <v>0</v>
      </c>
      <c r="I471" t="n">
        <v>0</v>
      </c>
      <c r="J471" t="n">
        <v>0</v>
      </c>
      <c r="K471" t="n">
        <v>0</v>
      </c>
      <c r="L471" t="n">
        <v>0</v>
      </c>
      <c r="M471" t="n">
        <v>0</v>
      </c>
      <c r="N471" t="n">
        <v>0</v>
      </c>
      <c r="O471" t="n">
        <v>0</v>
      </c>
      <c r="P471" t="n">
        <v>0</v>
      </c>
      <c r="Q471" t="n">
        <v>0</v>
      </c>
      <c r="R471" s="2" t="inlineStr"/>
    </row>
    <row r="472" ht="15" customHeight="1">
      <c r="A472" t="inlineStr">
        <is>
          <t>A 54444-2025</t>
        </is>
      </c>
      <c r="B472" s="1" t="n">
        <v>45965.51078703703</v>
      </c>
      <c r="C472" s="1" t="n">
        <v>46092</v>
      </c>
      <c r="D472" t="inlineStr">
        <is>
          <t>JÄMTLANDS LÄN</t>
        </is>
      </c>
      <c r="E472" t="inlineStr">
        <is>
          <t>ÅRE</t>
        </is>
      </c>
      <c r="G472" t="n">
        <v>5.2</v>
      </c>
      <c r="H472" t="n">
        <v>0</v>
      </c>
      <c r="I472" t="n">
        <v>0</v>
      </c>
      <c r="J472" t="n">
        <v>0</v>
      </c>
      <c r="K472" t="n">
        <v>0</v>
      </c>
      <c r="L472" t="n">
        <v>0</v>
      </c>
      <c r="M472" t="n">
        <v>0</v>
      </c>
      <c r="N472" t="n">
        <v>0</v>
      </c>
      <c r="O472" t="n">
        <v>0</v>
      </c>
      <c r="P472" t="n">
        <v>0</v>
      </c>
      <c r="Q472" t="n">
        <v>0</v>
      </c>
      <c r="R472" s="2" t="inlineStr"/>
    </row>
    <row r="473" ht="15" customHeight="1">
      <c r="A473" t="inlineStr">
        <is>
          <t>A 54445-2025</t>
        </is>
      </c>
      <c r="B473" s="1" t="n">
        <v>45965.51081018519</v>
      </c>
      <c r="C473" s="1" t="n">
        <v>46092</v>
      </c>
      <c r="D473" t="inlineStr">
        <is>
          <t>JÄMTLANDS LÄN</t>
        </is>
      </c>
      <c r="E473" t="inlineStr">
        <is>
          <t>ÅRE</t>
        </is>
      </c>
      <c r="G473" t="n">
        <v>0.4</v>
      </c>
      <c r="H473" t="n">
        <v>0</v>
      </c>
      <c r="I473" t="n">
        <v>0</v>
      </c>
      <c r="J473" t="n">
        <v>0</v>
      </c>
      <c r="K473" t="n">
        <v>0</v>
      </c>
      <c r="L473" t="n">
        <v>0</v>
      </c>
      <c r="M473" t="n">
        <v>0</v>
      </c>
      <c r="N473" t="n">
        <v>0</v>
      </c>
      <c r="O473" t="n">
        <v>0</v>
      </c>
      <c r="P473" t="n">
        <v>0</v>
      </c>
      <c r="Q473" t="n">
        <v>0</v>
      </c>
      <c r="R473" s="2" t="inlineStr"/>
    </row>
    <row r="474" ht="15" customHeight="1">
      <c r="A474" t="inlineStr">
        <is>
          <t>A 3154-2023</t>
        </is>
      </c>
      <c r="B474" s="1" t="n">
        <v>44946.56012731481</v>
      </c>
      <c r="C474" s="1" t="n">
        <v>46092</v>
      </c>
      <c r="D474" t="inlineStr">
        <is>
          <t>JÄMTLANDS LÄN</t>
        </is>
      </c>
      <c r="E474" t="inlineStr">
        <is>
          <t>ÅRE</t>
        </is>
      </c>
      <c r="G474" t="n">
        <v>5.1</v>
      </c>
      <c r="H474" t="n">
        <v>0</v>
      </c>
      <c r="I474" t="n">
        <v>0</v>
      </c>
      <c r="J474" t="n">
        <v>0</v>
      </c>
      <c r="K474" t="n">
        <v>0</v>
      </c>
      <c r="L474" t="n">
        <v>0</v>
      </c>
      <c r="M474" t="n">
        <v>0</v>
      </c>
      <c r="N474" t="n">
        <v>0</v>
      </c>
      <c r="O474" t="n">
        <v>0</v>
      </c>
      <c r="P474" t="n">
        <v>0</v>
      </c>
      <c r="Q474" t="n">
        <v>0</v>
      </c>
      <c r="R474" s="2" t="inlineStr"/>
    </row>
    <row r="475" ht="15" customHeight="1">
      <c r="A475" t="inlineStr">
        <is>
          <t>A 54580-2025</t>
        </is>
      </c>
      <c r="B475" s="1" t="n">
        <v>45965.70755787037</v>
      </c>
      <c r="C475" s="1" t="n">
        <v>46092</v>
      </c>
      <c r="D475" t="inlineStr">
        <is>
          <t>JÄMTLANDS LÄN</t>
        </is>
      </c>
      <c r="E475" t="inlineStr">
        <is>
          <t>ÅRE</t>
        </is>
      </c>
      <c r="G475" t="n">
        <v>5</v>
      </c>
      <c r="H475" t="n">
        <v>0</v>
      </c>
      <c r="I475" t="n">
        <v>0</v>
      </c>
      <c r="J475" t="n">
        <v>0</v>
      </c>
      <c r="K475" t="n">
        <v>0</v>
      </c>
      <c r="L475" t="n">
        <v>0</v>
      </c>
      <c r="M475" t="n">
        <v>0</v>
      </c>
      <c r="N475" t="n">
        <v>0</v>
      </c>
      <c r="O475" t="n">
        <v>0</v>
      </c>
      <c r="P475" t="n">
        <v>0</v>
      </c>
      <c r="Q475" t="n">
        <v>0</v>
      </c>
      <c r="R475" s="2" t="inlineStr"/>
    </row>
    <row r="476" ht="15" customHeight="1">
      <c r="A476" t="inlineStr">
        <is>
          <t>A 54211-2025</t>
        </is>
      </c>
      <c r="B476" s="1" t="n">
        <v>45964.59214120371</v>
      </c>
      <c r="C476" s="1" t="n">
        <v>46092</v>
      </c>
      <c r="D476" t="inlineStr">
        <is>
          <t>JÄMTLANDS LÄN</t>
        </is>
      </c>
      <c r="E476" t="inlineStr">
        <is>
          <t>ÅRE</t>
        </is>
      </c>
      <c r="G476" t="n">
        <v>4.3</v>
      </c>
      <c r="H476" t="n">
        <v>0</v>
      </c>
      <c r="I476" t="n">
        <v>0</v>
      </c>
      <c r="J476" t="n">
        <v>0</v>
      </c>
      <c r="K476" t="n">
        <v>0</v>
      </c>
      <c r="L476" t="n">
        <v>0</v>
      </c>
      <c r="M476" t="n">
        <v>0</v>
      </c>
      <c r="N476" t="n">
        <v>0</v>
      </c>
      <c r="O476" t="n">
        <v>0</v>
      </c>
      <c r="P476" t="n">
        <v>0</v>
      </c>
      <c r="Q476" t="n">
        <v>0</v>
      </c>
      <c r="R476" s="2" t="inlineStr"/>
    </row>
    <row r="477" ht="15" customHeight="1">
      <c r="A477" t="inlineStr">
        <is>
          <t>A 35054-2025</t>
        </is>
      </c>
      <c r="B477" s="1" t="n">
        <v>45849</v>
      </c>
      <c r="C477" s="1" t="n">
        <v>46092</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44512-2023</t>
        </is>
      </c>
      <c r="B478" s="1" t="n">
        <v>45184</v>
      </c>
      <c r="C478" s="1" t="n">
        <v>46092</v>
      </c>
      <c r="D478" t="inlineStr">
        <is>
          <t>JÄMTLANDS LÄN</t>
        </is>
      </c>
      <c r="E478" t="inlineStr">
        <is>
          <t>ÅRE</t>
        </is>
      </c>
      <c r="G478" t="n">
        <v>12.5</v>
      </c>
      <c r="H478" t="n">
        <v>0</v>
      </c>
      <c r="I478" t="n">
        <v>0</v>
      </c>
      <c r="J478" t="n">
        <v>0</v>
      </c>
      <c r="K478" t="n">
        <v>0</v>
      </c>
      <c r="L478" t="n">
        <v>0</v>
      </c>
      <c r="M478" t="n">
        <v>0</v>
      </c>
      <c r="N478" t="n">
        <v>0</v>
      </c>
      <c r="O478" t="n">
        <v>0</v>
      </c>
      <c r="P478" t="n">
        <v>0</v>
      </c>
      <c r="Q478" t="n">
        <v>0</v>
      </c>
      <c r="R478" s="2" t="inlineStr"/>
    </row>
    <row r="479" ht="15" customHeight="1">
      <c r="A479" t="inlineStr">
        <is>
          <t>A 54823-2025</t>
        </is>
      </c>
      <c r="B479" s="1" t="n">
        <v>45966.66451388889</v>
      </c>
      <c r="C479" s="1" t="n">
        <v>46092</v>
      </c>
      <c r="D479" t="inlineStr">
        <is>
          <t>JÄMTLANDS LÄN</t>
        </is>
      </c>
      <c r="E479" t="inlineStr">
        <is>
          <t>ÅRE</t>
        </is>
      </c>
      <c r="G479" t="n">
        <v>5.2</v>
      </c>
      <c r="H479" t="n">
        <v>0</v>
      </c>
      <c r="I479" t="n">
        <v>0</v>
      </c>
      <c r="J479" t="n">
        <v>0</v>
      </c>
      <c r="K479" t="n">
        <v>0</v>
      </c>
      <c r="L479" t="n">
        <v>0</v>
      </c>
      <c r="M479" t="n">
        <v>0</v>
      </c>
      <c r="N479" t="n">
        <v>0</v>
      </c>
      <c r="O479" t="n">
        <v>0</v>
      </c>
      <c r="P479" t="n">
        <v>0</v>
      </c>
      <c r="Q479" t="n">
        <v>0</v>
      </c>
      <c r="R479" s="2" t="inlineStr"/>
    </row>
    <row r="480" ht="15" customHeight="1">
      <c r="A480" t="inlineStr">
        <is>
          <t>A 53899-2023</t>
        </is>
      </c>
      <c r="B480" s="1" t="n">
        <v>45231.54160879629</v>
      </c>
      <c r="C480" s="1" t="n">
        <v>46092</v>
      </c>
      <c r="D480" t="inlineStr">
        <is>
          <t>JÄMTLANDS LÄN</t>
        </is>
      </c>
      <c r="E480" t="inlineStr">
        <is>
          <t>ÅRE</t>
        </is>
      </c>
      <c r="G480" t="n">
        <v>20.4</v>
      </c>
      <c r="H480" t="n">
        <v>0</v>
      </c>
      <c r="I480" t="n">
        <v>0</v>
      </c>
      <c r="J480" t="n">
        <v>0</v>
      </c>
      <c r="K480" t="n">
        <v>0</v>
      </c>
      <c r="L480" t="n">
        <v>0</v>
      </c>
      <c r="M480" t="n">
        <v>0</v>
      </c>
      <c r="N480" t="n">
        <v>0</v>
      </c>
      <c r="O480" t="n">
        <v>0</v>
      </c>
      <c r="P480" t="n">
        <v>0</v>
      </c>
      <c r="Q480" t="n">
        <v>0</v>
      </c>
      <c r="R480" s="2" t="inlineStr"/>
    </row>
    <row r="481" ht="15" customHeight="1">
      <c r="A481" t="inlineStr">
        <is>
          <t>A 4181-2025</t>
        </is>
      </c>
      <c r="B481" s="1" t="n">
        <v>45685.44300925926</v>
      </c>
      <c r="C481" s="1" t="n">
        <v>46092</v>
      </c>
      <c r="D481" t="inlineStr">
        <is>
          <t>JÄMTLANDS LÄN</t>
        </is>
      </c>
      <c r="E481" t="inlineStr">
        <is>
          <t>ÅRE</t>
        </is>
      </c>
      <c r="F481" t="inlineStr">
        <is>
          <t>Övriga Aktiebolag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54937-2025</t>
        </is>
      </c>
      <c r="B482" s="1" t="n">
        <v>45967.43244212963</v>
      </c>
      <c r="C482" s="1" t="n">
        <v>46092</v>
      </c>
      <c r="D482" t="inlineStr">
        <is>
          <t>JÄMTLANDS LÄN</t>
        </is>
      </c>
      <c r="E482" t="inlineStr">
        <is>
          <t>ÅRE</t>
        </is>
      </c>
      <c r="G482" t="n">
        <v>2.9</v>
      </c>
      <c r="H482" t="n">
        <v>0</v>
      </c>
      <c r="I482" t="n">
        <v>0</v>
      </c>
      <c r="J482" t="n">
        <v>0</v>
      </c>
      <c r="K482" t="n">
        <v>0</v>
      </c>
      <c r="L482" t="n">
        <v>0</v>
      </c>
      <c r="M482" t="n">
        <v>0</v>
      </c>
      <c r="N482" t="n">
        <v>0</v>
      </c>
      <c r="O482" t="n">
        <v>0</v>
      </c>
      <c r="P482" t="n">
        <v>0</v>
      </c>
      <c r="Q482" t="n">
        <v>0</v>
      </c>
      <c r="R482" s="2" t="inlineStr"/>
    </row>
    <row r="483" ht="15" customHeight="1">
      <c r="A483" t="inlineStr">
        <is>
          <t>A 54838-2025</t>
        </is>
      </c>
      <c r="B483" s="1" t="n">
        <v>45966.68252314815</v>
      </c>
      <c r="C483" s="1" t="n">
        <v>46092</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25926-2023</t>
        </is>
      </c>
      <c r="B484" s="1" t="n">
        <v>45085</v>
      </c>
      <c r="C484" s="1" t="n">
        <v>46092</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55413-2025</t>
        </is>
      </c>
      <c r="B485" s="1" t="n">
        <v>45971.46915509259</v>
      </c>
      <c r="C485" s="1" t="n">
        <v>46092</v>
      </c>
      <c r="D485" t="inlineStr">
        <is>
          <t>JÄMTLANDS LÄN</t>
        </is>
      </c>
      <c r="E485" t="inlineStr">
        <is>
          <t>ÅRE</t>
        </is>
      </c>
      <c r="G485" t="n">
        <v>7.2</v>
      </c>
      <c r="H485" t="n">
        <v>0</v>
      </c>
      <c r="I485" t="n">
        <v>0</v>
      </c>
      <c r="J485" t="n">
        <v>0</v>
      </c>
      <c r="K485" t="n">
        <v>0</v>
      </c>
      <c r="L485" t="n">
        <v>0</v>
      </c>
      <c r="M485" t="n">
        <v>0</v>
      </c>
      <c r="N485" t="n">
        <v>0</v>
      </c>
      <c r="O485" t="n">
        <v>0</v>
      </c>
      <c r="P485" t="n">
        <v>0</v>
      </c>
      <c r="Q485" t="n">
        <v>0</v>
      </c>
      <c r="R485" s="2" t="inlineStr"/>
    </row>
    <row r="486" ht="15" customHeight="1">
      <c r="A486" t="inlineStr">
        <is>
          <t>A 12168-2023</t>
        </is>
      </c>
      <c r="B486" s="1" t="n">
        <v>44998</v>
      </c>
      <c r="C486" s="1" t="n">
        <v>46092</v>
      </c>
      <c r="D486" t="inlineStr">
        <is>
          <t>JÄMTLANDS LÄN</t>
        </is>
      </c>
      <c r="E486" t="inlineStr">
        <is>
          <t>ÅRE</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12173-2023</t>
        </is>
      </c>
      <c r="B487" s="1" t="n">
        <v>44998</v>
      </c>
      <c r="C487" s="1" t="n">
        <v>46092</v>
      </c>
      <c r="D487" t="inlineStr">
        <is>
          <t>JÄMTLANDS LÄN</t>
        </is>
      </c>
      <c r="E487" t="inlineStr">
        <is>
          <t>ÅRE</t>
        </is>
      </c>
      <c r="G487" t="n">
        <v>2.5</v>
      </c>
      <c r="H487" t="n">
        <v>0</v>
      </c>
      <c r="I487" t="n">
        <v>0</v>
      </c>
      <c r="J487" t="n">
        <v>0</v>
      </c>
      <c r="K487" t="n">
        <v>0</v>
      </c>
      <c r="L487" t="n">
        <v>0</v>
      </c>
      <c r="M487" t="n">
        <v>0</v>
      </c>
      <c r="N487" t="n">
        <v>0</v>
      </c>
      <c r="O487" t="n">
        <v>0</v>
      </c>
      <c r="P487" t="n">
        <v>0</v>
      </c>
      <c r="Q487" t="n">
        <v>0</v>
      </c>
      <c r="R487" s="2" t="inlineStr"/>
    </row>
    <row r="488" ht="15" customHeight="1">
      <c r="A488" t="inlineStr">
        <is>
          <t>A 12179-2023</t>
        </is>
      </c>
      <c r="B488" s="1" t="n">
        <v>44998</v>
      </c>
      <c r="C488" s="1" t="n">
        <v>46092</v>
      </c>
      <c r="D488" t="inlineStr">
        <is>
          <t>JÄMTLANDS LÄN</t>
        </is>
      </c>
      <c r="E488" t="inlineStr">
        <is>
          <t>ÅRE</t>
        </is>
      </c>
      <c r="G488" t="n">
        <v>8.5</v>
      </c>
      <c r="H488" t="n">
        <v>0</v>
      </c>
      <c r="I488" t="n">
        <v>0</v>
      </c>
      <c r="J488" t="n">
        <v>0</v>
      </c>
      <c r="K488" t="n">
        <v>0</v>
      </c>
      <c r="L488" t="n">
        <v>0</v>
      </c>
      <c r="M488" t="n">
        <v>0</v>
      </c>
      <c r="N488" t="n">
        <v>0</v>
      </c>
      <c r="O488" t="n">
        <v>0</v>
      </c>
      <c r="P488" t="n">
        <v>0</v>
      </c>
      <c r="Q488" t="n">
        <v>0</v>
      </c>
      <c r="R488" s="2" t="inlineStr"/>
    </row>
    <row r="489" ht="15" customHeight="1">
      <c r="A489" t="inlineStr">
        <is>
          <t>A 12287-2023</t>
        </is>
      </c>
      <c r="B489" s="1" t="n">
        <v>44998.72736111111</v>
      </c>
      <c r="C489" s="1" t="n">
        <v>46092</v>
      </c>
      <c r="D489" t="inlineStr">
        <is>
          <t>JÄMTLANDS LÄN</t>
        </is>
      </c>
      <c r="E489" t="inlineStr">
        <is>
          <t>ÅRE</t>
        </is>
      </c>
      <c r="G489" t="n">
        <v>3.1</v>
      </c>
      <c r="H489" t="n">
        <v>0</v>
      </c>
      <c r="I489" t="n">
        <v>0</v>
      </c>
      <c r="J489" t="n">
        <v>0</v>
      </c>
      <c r="K489" t="n">
        <v>0</v>
      </c>
      <c r="L489" t="n">
        <v>0</v>
      </c>
      <c r="M489" t="n">
        <v>0</v>
      </c>
      <c r="N489" t="n">
        <v>0</v>
      </c>
      <c r="O489" t="n">
        <v>0</v>
      </c>
      <c r="P489" t="n">
        <v>0</v>
      </c>
      <c r="Q489" t="n">
        <v>0</v>
      </c>
      <c r="R489" s="2" t="inlineStr"/>
    </row>
    <row r="490" ht="15" customHeight="1">
      <c r="A490" t="inlineStr">
        <is>
          <t>A 55379-2025</t>
        </is>
      </c>
      <c r="B490" s="1" t="n">
        <v>45971.42776620371</v>
      </c>
      <c r="C490" s="1" t="n">
        <v>46092</v>
      </c>
      <c r="D490" t="inlineStr">
        <is>
          <t>JÄMTLANDS LÄN</t>
        </is>
      </c>
      <c r="E490" t="inlineStr">
        <is>
          <t>ÅRE</t>
        </is>
      </c>
      <c r="G490" t="n">
        <v>4.6</v>
      </c>
      <c r="H490" t="n">
        <v>0</v>
      </c>
      <c r="I490" t="n">
        <v>0</v>
      </c>
      <c r="J490" t="n">
        <v>0</v>
      </c>
      <c r="K490" t="n">
        <v>0</v>
      </c>
      <c r="L490" t="n">
        <v>0</v>
      </c>
      <c r="M490" t="n">
        <v>0</v>
      </c>
      <c r="N490" t="n">
        <v>0</v>
      </c>
      <c r="O490" t="n">
        <v>0</v>
      </c>
      <c r="P490" t="n">
        <v>0</v>
      </c>
      <c r="Q490" t="n">
        <v>0</v>
      </c>
      <c r="R490" s="2" t="inlineStr"/>
    </row>
    <row r="491" ht="15" customHeight="1">
      <c r="A491" t="inlineStr">
        <is>
          <t>A 5611-2025</t>
        </is>
      </c>
      <c r="B491" s="1" t="n">
        <v>45693.60480324074</v>
      </c>
      <c r="C491" s="1" t="n">
        <v>46092</v>
      </c>
      <c r="D491" t="inlineStr">
        <is>
          <t>JÄMTLANDS LÄN</t>
        </is>
      </c>
      <c r="E491" t="inlineStr">
        <is>
          <t>ÅRE</t>
        </is>
      </c>
      <c r="G491" t="n">
        <v>2.9</v>
      </c>
      <c r="H491" t="n">
        <v>0</v>
      </c>
      <c r="I491" t="n">
        <v>0</v>
      </c>
      <c r="J491" t="n">
        <v>0</v>
      </c>
      <c r="K491" t="n">
        <v>0</v>
      </c>
      <c r="L491" t="n">
        <v>0</v>
      </c>
      <c r="M491" t="n">
        <v>0</v>
      </c>
      <c r="N491" t="n">
        <v>0</v>
      </c>
      <c r="O491" t="n">
        <v>0</v>
      </c>
      <c r="P491" t="n">
        <v>0</v>
      </c>
      <c r="Q491" t="n">
        <v>0</v>
      </c>
      <c r="R491" s="2" t="inlineStr"/>
    </row>
    <row r="492" ht="15" customHeight="1">
      <c r="A492" t="inlineStr">
        <is>
          <t>A 30081-2024</t>
        </is>
      </c>
      <c r="B492" s="1" t="n">
        <v>45485</v>
      </c>
      <c r="C492" s="1" t="n">
        <v>46092</v>
      </c>
      <c r="D492" t="inlineStr">
        <is>
          <t>JÄMTLANDS LÄN</t>
        </is>
      </c>
      <c r="E492" t="inlineStr">
        <is>
          <t>ÅRE</t>
        </is>
      </c>
      <c r="G492" t="n">
        <v>17.8</v>
      </c>
      <c r="H492" t="n">
        <v>0</v>
      </c>
      <c r="I492" t="n">
        <v>0</v>
      </c>
      <c r="J492" t="n">
        <v>0</v>
      </c>
      <c r="K492" t="n">
        <v>0</v>
      </c>
      <c r="L492" t="n">
        <v>0</v>
      </c>
      <c r="M492" t="n">
        <v>0</v>
      </c>
      <c r="N492" t="n">
        <v>0</v>
      </c>
      <c r="O492" t="n">
        <v>0</v>
      </c>
      <c r="P492" t="n">
        <v>0</v>
      </c>
      <c r="Q492" t="n">
        <v>0</v>
      </c>
      <c r="R492" s="2" t="inlineStr"/>
    </row>
    <row r="493" ht="15" customHeight="1">
      <c r="A493" t="inlineStr">
        <is>
          <t>A 36013-2025</t>
        </is>
      </c>
      <c r="B493" s="1" t="n">
        <v>45863.60643518518</v>
      </c>
      <c r="C493" s="1" t="n">
        <v>46092</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36015-2025</t>
        </is>
      </c>
      <c r="B494" s="1" t="n">
        <v>45863.61373842593</v>
      </c>
      <c r="C494" s="1" t="n">
        <v>46092</v>
      </c>
      <c r="D494" t="inlineStr">
        <is>
          <t>JÄMTLANDS LÄN</t>
        </is>
      </c>
      <c r="E494" t="inlineStr">
        <is>
          <t>ÅRE</t>
        </is>
      </c>
      <c r="G494" t="n">
        <v>0.7</v>
      </c>
      <c r="H494" t="n">
        <v>0</v>
      </c>
      <c r="I494" t="n">
        <v>0</v>
      </c>
      <c r="J494" t="n">
        <v>0</v>
      </c>
      <c r="K494" t="n">
        <v>0</v>
      </c>
      <c r="L494" t="n">
        <v>0</v>
      </c>
      <c r="M494" t="n">
        <v>0</v>
      </c>
      <c r="N494" t="n">
        <v>0</v>
      </c>
      <c r="O494" t="n">
        <v>0</v>
      </c>
      <c r="P494" t="n">
        <v>0</v>
      </c>
      <c r="Q494" t="n">
        <v>0</v>
      </c>
      <c r="R494" s="2" t="inlineStr"/>
    </row>
    <row r="495" ht="15" customHeight="1">
      <c r="A495" t="inlineStr">
        <is>
          <t>A 56976-2023</t>
        </is>
      </c>
      <c r="B495" s="1" t="n">
        <v>45244.64202546296</v>
      </c>
      <c r="C495" s="1" t="n">
        <v>46092</v>
      </c>
      <c r="D495" t="inlineStr">
        <is>
          <t>JÄMTLANDS LÄN</t>
        </is>
      </c>
      <c r="E495" t="inlineStr">
        <is>
          <t>ÅRE</t>
        </is>
      </c>
      <c r="F495" t="inlineStr">
        <is>
          <t>Övriga Aktiebolag</t>
        </is>
      </c>
      <c r="G495" t="n">
        <v>4.9</v>
      </c>
      <c r="H495" t="n">
        <v>0</v>
      </c>
      <c r="I495" t="n">
        <v>0</v>
      </c>
      <c r="J495" t="n">
        <v>0</v>
      </c>
      <c r="K495" t="n">
        <v>0</v>
      </c>
      <c r="L495" t="n">
        <v>0</v>
      </c>
      <c r="M495" t="n">
        <v>0</v>
      </c>
      <c r="N495" t="n">
        <v>0</v>
      </c>
      <c r="O495" t="n">
        <v>0</v>
      </c>
      <c r="P495" t="n">
        <v>0</v>
      </c>
      <c r="Q495" t="n">
        <v>0</v>
      </c>
      <c r="R495" s="2" t="inlineStr"/>
    </row>
    <row r="496" ht="15" customHeight="1">
      <c r="A496" t="inlineStr">
        <is>
          <t>A 20170-2025</t>
        </is>
      </c>
      <c r="B496" s="1" t="n">
        <v>45772.57789351852</v>
      </c>
      <c r="C496" s="1" t="n">
        <v>46092</v>
      </c>
      <c r="D496" t="inlineStr">
        <is>
          <t>JÄMTLANDS LÄN</t>
        </is>
      </c>
      <c r="E496" t="inlineStr">
        <is>
          <t>ÅRE</t>
        </is>
      </c>
      <c r="G496" t="n">
        <v>0.1</v>
      </c>
      <c r="H496" t="n">
        <v>0</v>
      </c>
      <c r="I496" t="n">
        <v>0</v>
      </c>
      <c r="J496" t="n">
        <v>0</v>
      </c>
      <c r="K496" t="n">
        <v>0</v>
      </c>
      <c r="L496" t="n">
        <v>0</v>
      </c>
      <c r="M496" t="n">
        <v>0</v>
      </c>
      <c r="N496" t="n">
        <v>0</v>
      </c>
      <c r="O496" t="n">
        <v>0</v>
      </c>
      <c r="P496" t="n">
        <v>0</v>
      </c>
      <c r="Q496" t="n">
        <v>0</v>
      </c>
      <c r="R496" s="2" t="inlineStr"/>
    </row>
    <row r="497" ht="15" customHeight="1">
      <c r="A497" t="inlineStr">
        <is>
          <t>A 4905-2026</t>
        </is>
      </c>
      <c r="B497" s="1" t="n">
        <v>46048</v>
      </c>
      <c r="C497" s="1" t="n">
        <v>46092</v>
      </c>
      <c r="D497" t="inlineStr">
        <is>
          <t>JÄMTLANDS LÄN</t>
        </is>
      </c>
      <c r="E497" t="inlineStr">
        <is>
          <t>ÅRE</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55033-2024</t>
        </is>
      </c>
      <c r="B498" s="1" t="n">
        <v>45621.38193287037</v>
      </c>
      <c r="C498" s="1" t="n">
        <v>46092</v>
      </c>
      <c r="D498" t="inlineStr">
        <is>
          <t>JÄMTLANDS LÄN</t>
        </is>
      </c>
      <c r="E498" t="inlineStr">
        <is>
          <t>ÅRE</t>
        </is>
      </c>
      <c r="G498" t="n">
        <v>1.1</v>
      </c>
      <c r="H498" t="n">
        <v>0</v>
      </c>
      <c r="I498" t="n">
        <v>0</v>
      </c>
      <c r="J498" t="n">
        <v>0</v>
      </c>
      <c r="K498" t="n">
        <v>0</v>
      </c>
      <c r="L498" t="n">
        <v>0</v>
      </c>
      <c r="M498" t="n">
        <v>0</v>
      </c>
      <c r="N498" t="n">
        <v>0</v>
      </c>
      <c r="O498" t="n">
        <v>0</v>
      </c>
      <c r="P498" t="n">
        <v>0</v>
      </c>
      <c r="Q498" t="n">
        <v>0</v>
      </c>
      <c r="R498" s="2" t="inlineStr"/>
    </row>
    <row r="499" ht="15" customHeight="1">
      <c r="A499" t="inlineStr">
        <is>
          <t>A 30080-2024</t>
        </is>
      </c>
      <c r="B499" s="1" t="n">
        <v>45485</v>
      </c>
      <c r="C499" s="1" t="n">
        <v>46092</v>
      </c>
      <c r="D499" t="inlineStr">
        <is>
          <t>JÄMTLANDS LÄN</t>
        </is>
      </c>
      <c r="E499" t="inlineStr">
        <is>
          <t>ÅRE</t>
        </is>
      </c>
      <c r="G499" t="n">
        <v>24.6</v>
      </c>
      <c r="H499" t="n">
        <v>0</v>
      </c>
      <c r="I499" t="n">
        <v>0</v>
      </c>
      <c r="J499" t="n">
        <v>0</v>
      </c>
      <c r="K499" t="n">
        <v>0</v>
      </c>
      <c r="L499" t="n">
        <v>0</v>
      </c>
      <c r="M499" t="n">
        <v>0</v>
      </c>
      <c r="N499" t="n">
        <v>0</v>
      </c>
      <c r="O499" t="n">
        <v>0</v>
      </c>
      <c r="P499" t="n">
        <v>0</v>
      </c>
      <c r="Q499" t="n">
        <v>0</v>
      </c>
      <c r="R499" s="2" t="inlineStr"/>
    </row>
    <row r="500" ht="15" customHeight="1">
      <c r="A500" t="inlineStr">
        <is>
          <t>A 34931-2025</t>
        </is>
      </c>
      <c r="B500" s="1" t="n">
        <v>45849</v>
      </c>
      <c r="C500" s="1" t="n">
        <v>46092</v>
      </c>
      <c r="D500" t="inlineStr">
        <is>
          <t>JÄMTLANDS LÄN</t>
        </is>
      </c>
      <c r="E500" t="inlineStr">
        <is>
          <t>ÅRE</t>
        </is>
      </c>
      <c r="G500" t="n">
        <v>1.4</v>
      </c>
      <c r="H500" t="n">
        <v>0</v>
      </c>
      <c r="I500" t="n">
        <v>0</v>
      </c>
      <c r="J500" t="n">
        <v>0</v>
      </c>
      <c r="K500" t="n">
        <v>0</v>
      </c>
      <c r="L500" t="n">
        <v>0</v>
      </c>
      <c r="M500" t="n">
        <v>0</v>
      </c>
      <c r="N500" t="n">
        <v>0</v>
      </c>
      <c r="O500" t="n">
        <v>0</v>
      </c>
      <c r="P500" t="n">
        <v>0</v>
      </c>
      <c r="Q500" t="n">
        <v>0</v>
      </c>
      <c r="R500" s="2" t="inlineStr"/>
    </row>
    <row r="501" ht="15" customHeight="1">
      <c r="A501" t="inlineStr">
        <is>
          <t>A 911-2022</t>
        </is>
      </c>
      <c r="B501" s="1" t="n">
        <v>44570</v>
      </c>
      <c r="C501" s="1" t="n">
        <v>46092</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17576-2024</t>
        </is>
      </c>
      <c r="B502" s="1" t="n">
        <v>45415</v>
      </c>
      <c r="C502" s="1" t="n">
        <v>46092</v>
      </c>
      <c r="D502" t="inlineStr">
        <is>
          <t>JÄMTLANDS LÄN</t>
        </is>
      </c>
      <c r="E502" t="inlineStr">
        <is>
          <t>ÅRE</t>
        </is>
      </c>
      <c r="G502" t="n">
        <v>0.1</v>
      </c>
      <c r="H502" t="n">
        <v>0</v>
      </c>
      <c r="I502" t="n">
        <v>0</v>
      </c>
      <c r="J502" t="n">
        <v>0</v>
      </c>
      <c r="K502" t="n">
        <v>0</v>
      </c>
      <c r="L502" t="n">
        <v>0</v>
      </c>
      <c r="M502" t="n">
        <v>0</v>
      </c>
      <c r="N502" t="n">
        <v>0</v>
      </c>
      <c r="O502" t="n">
        <v>0</v>
      </c>
      <c r="P502" t="n">
        <v>0</v>
      </c>
      <c r="Q502" t="n">
        <v>0</v>
      </c>
      <c r="R502" s="2" t="inlineStr"/>
    </row>
    <row r="503" ht="15" customHeight="1">
      <c r="A503" t="inlineStr">
        <is>
          <t>A 36975-2025</t>
        </is>
      </c>
      <c r="B503" s="1" t="n">
        <v>45874.63773148148</v>
      </c>
      <c r="C503" s="1" t="n">
        <v>46092</v>
      </c>
      <c r="D503" t="inlineStr">
        <is>
          <t>JÄMTLANDS LÄN</t>
        </is>
      </c>
      <c r="E503" t="inlineStr">
        <is>
          <t>ÅRE</t>
        </is>
      </c>
      <c r="F503" t="inlineStr">
        <is>
          <t>Övriga Aktiebolag</t>
        </is>
      </c>
      <c r="G503" t="n">
        <v>3.2</v>
      </c>
      <c r="H503" t="n">
        <v>0</v>
      </c>
      <c r="I503" t="n">
        <v>0</v>
      </c>
      <c r="J503" t="n">
        <v>0</v>
      </c>
      <c r="K503" t="n">
        <v>0</v>
      </c>
      <c r="L503" t="n">
        <v>0</v>
      </c>
      <c r="M503" t="n">
        <v>0</v>
      </c>
      <c r="N503" t="n">
        <v>0</v>
      </c>
      <c r="O503" t="n">
        <v>0</v>
      </c>
      <c r="P503" t="n">
        <v>0</v>
      </c>
      <c r="Q503" t="n">
        <v>0</v>
      </c>
      <c r="R503" s="2" t="inlineStr"/>
    </row>
    <row r="504" ht="15" customHeight="1">
      <c r="A504" t="inlineStr">
        <is>
          <t>A 45105-2024</t>
        </is>
      </c>
      <c r="B504" s="1" t="n">
        <v>45575.5909837963</v>
      </c>
      <c r="C504" s="1" t="n">
        <v>46092</v>
      </c>
      <c r="D504" t="inlineStr">
        <is>
          <t>JÄMTLANDS LÄN</t>
        </is>
      </c>
      <c r="E504" t="inlineStr">
        <is>
          <t>ÅRE</t>
        </is>
      </c>
      <c r="F504" t="inlineStr">
        <is>
          <t>Övriga Aktiebolag</t>
        </is>
      </c>
      <c r="G504" t="n">
        <v>5</v>
      </c>
      <c r="H504" t="n">
        <v>0</v>
      </c>
      <c r="I504" t="n">
        <v>0</v>
      </c>
      <c r="J504" t="n">
        <v>0</v>
      </c>
      <c r="K504" t="n">
        <v>0</v>
      </c>
      <c r="L504" t="n">
        <v>0</v>
      </c>
      <c r="M504" t="n">
        <v>0</v>
      </c>
      <c r="N504" t="n">
        <v>0</v>
      </c>
      <c r="O504" t="n">
        <v>0</v>
      </c>
      <c r="P504" t="n">
        <v>0</v>
      </c>
      <c r="Q504" t="n">
        <v>0</v>
      </c>
      <c r="R504" s="2" t="inlineStr"/>
    </row>
    <row r="505" ht="15" customHeight="1">
      <c r="A505" t="inlineStr">
        <is>
          <t>A 34231-2023</t>
        </is>
      </c>
      <c r="B505" s="1" t="n">
        <v>45127</v>
      </c>
      <c r="C505" s="1" t="n">
        <v>46092</v>
      </c>
      <c r="D505" t="inlineStr">
        <is>
          <t>JÄMTLANDS LÄN</t>
        </is>
      </c>
      <c r="E505" t="inlineStr">
        <is>
          <t>ÅRE</t>
        </is>
      </c>
      <c r="G505" t="n">
        <v>18.3</v>
      </c>
      <c r="H505" t="n">
        <v>0</v>
      </c>
      <c r="I505" t="n">
        <v>0</v>
      </c>
      <c r="J505" t="n">
        <v>0</v>
      </c>
      <c r="K505" t="n">
        <v>0</v>
      </c>
      <c r="L505" t="n">
        <v>0</v>
      </c>
      <c r="M505" t="n">
        <v>0</v>
      </c>
      <c r="N505" t="n">
        <v>0</v>
      </c>
      <c r="O505" t="n">
        <v>0</v>
      </c>
      <c r="P505" t="n">
        <v>0</v>
      </c>
      <c r="Q505" t="n">
        <v>0</v>
      </c>
      <c r="R505" s="2" t="inlineStr"/>
    </row>
    <row r="506" ht="15" customHeight="1">
      <c r="A506" t="inlineStr">
        <is>
          <t>A 10567-2025</t>
        </is>
      </c>
      <c r="B506" s="1" t="n">
        <v>45714</v>
      </c>
      <c r="C506" s="1" t="n">
        <v>46092</v>
      </c>
      <c r="D506" t="inlineStr">
        <is>
          <t>JÄMTLANDS LÄN</t>
        </is>
      </c>
      <c r="E506" t="inlineStr">
        <is>
          <t>ÅRE</t>
        </is>
      </c>
      <c r="G506" t="n">
        <v>3.6</v>
      </c>
      <c r="H506" t="n">
        <v>0</v>
      </c>
      <c r="I506" t="n">
        <v>0</v>
      </c>
      <c r="J506" t="n">
        <v>0</v>
      </c>
      <c r="K506" t="n">
        <v>0</v>
      </c>
      <c r="L506" t="n">
        <v>0</v>
      </c>
      <c r="M506" t="n">
        <v>0</v>
      </c>
      <c r="N506" t="n">
        <v>0</v>
      </c>
      <c r="O506" t="n">
        <v>0</v>
      </c>
      <c r="P506" t="n">
        <v>0</v>
      </c>
      <c r="Q506" t="n">
        <v>0</v>
      </c>
      <c r="R506" s="2" t="inlineStr"/>
    </row>
    <row r="507" ht="15" customHeight="1">
      <c r="A507" t="inlineStr">
        <is>
          <t>A 37118-2025</t>
        </is>
      </c>
      <c r="B507" s="1" t="n">
        <v>45875</v>
      </c>
      <c r="C507" s="1" t="n">
        <v>46092</v>
      </c>
      <c r="D507" t="inlineStr">
        <is>
          <t>JÄMTLANDS LÄN</t>
        </is>
      </c>
      <c r="E507" t="inlineStr">
        <is>
          <t>ÅRE</t>
        </is>
      </c>
      <c r="G507" t="n">
        <v>2.9</v>
      </c>
      <c r="H507" t="n">
        <v>0</v>
      </c>
      <c r="I507" t="n">
        <v>0</v>
      </c>
      <c r="J507" t="n">
        <v>0</v>
      </c>
      <c r="K507" t="n">
        <v>0</v>
      </c>
      <c r="L507" t="n">
        <v>0</v>
      </c>
      <c r="M507" t="n">
        <v>0</v>
      </c>
      <c r="N507" t="n">
        <v>0</v>
      </c>
      <c r="O507" t="n">
        <v>0</v>
      </c>
      <c r="P507" t="n">
        <v>0</v>
      </c>
      <c r="Q507" t="n">
        <v>0</v>
      </c>
      <c r="R507" s="2" t="inlineStr"/>
    </row>
    <row r="508" ht="15" customHeight="1">
      <c r="A508" t="inlineStr">
        <is>
          <t>A 59968-2023</t>
        </is>
      </c>
      <c r="B508" s="1" t="n">
        <v>45254</v>
      </c>
      <c r="C508" s="1" t="n">
        <v>46092</v>
      </c>
      <c r="D508" t="inlineStr">
        <is>
          <t>JÄMTLANDS LÄN</t>
        </is>
      </c>
      <c r="E508" t="inlineStr">
        <is>
          <t>ÅRE</t>
        </is>
      </c>
      <c r="G508" t="n">
        <v>1.7</v>
      </c>
      <c r="H508" t="n">
        <v>0</v>
      </c>
      <c r="I508" t="n">
        <v>0</v>
      </c>
      <c r="J508" t="n">
        <v>0</v>
      </c>
      <c r="K508" t="n">
        <v>0</v>
      </c>
      <c r="L508" t="n">
        <v>0</v>
      </c>
      <c r="M508" t="n">
        <v>0</v>
      </c>
      <c r="N508" t="n">
        <v>0</v>
      </c>
      <c r="O508" t="n">
        <v>0</v>
      </c>
      <c r="P508" t="n">
        <v>0</v>
      </c>
      <c r="Q508" t="n">
        <v>0</v>
      </c>
      <c r="R508" s="2" t="inlineStr"/>
    </row>
    <row r="509" ht="15" customHeight="1">
      <c r="A509" t="inlineStr">
        <is>
          <t>A 22603-2025</t>
        </is>
      </c>
      <c r="B509" s="1" t="n">
        <v>45786</v>
      </c>
      <c r="C509" s="1" t="n">
        <v>46092</v>
      </c>
      <c r="D509" t="inlineStr">
        <is>
          <t>JÄMTLANDS LÄN</t>
        </is>
      </c>
      <c r="E509" t="inlineStr">
        <is>
          <t>ÅRE</t>
        </is>
      </c>
      <c r="G509" t="n">
        <v>1.4</v>
      </c>
      <c r="H509" t="n">
        <v>0</v>
      </c>
      <c r="I509" t="n">
        <v>0</v>
      </c>
      <c r="J509" t="n">
        <v>0</v>
      </c>
      <c r="K509" t="n">
        <v>0</v>
      </c>
      <c r="L509" t="n">
        <v>0</v>
      </c>
      <c r="M509" t="n">
        <v>0</v>
      </c>
      <c r="N509" t="n">
        <v>0</v>
      </c>
      <c r="O509" t="n">
        <v>0</v>
      </c>
      <c r="P509" t="n">
        <v>0</v>
      </c>
      <c r="Q509" t="n">
        <v>0</v>
      </c>
      <c r="R509" s="2" t="inlineStr"/>
    </row>
    <row r="510" ht="15" customHeight="1">
      <c r="A510" t="inlineStr">
        <is>
          <t>A 27630-2025</t>
        </is>
      </c>
      <c r="B510" s="1" t="n">
        <v>45813</v>
      </c>
      <c r="C510" s="1" t="n">
        <v>46092</v>
      </c>
      <c r="D510" t="inlineStr">
        <is>
          <t>JÄMTLANDS LÄN</t>
        </is>
      </c>
      <c r="E510" t="inlineStr">
        <is>
          <t>ÅRE</t>
        </is>
      </c>
      <c r="G510" t="n">
        <v>8.4</v>
      </c>
      <c r="H510" t="n">
        <v>0</v>
      </c>
      <c r="I510" t="n">
        <v>0</v>
      </c>
      <c r="J510" t="n">
        <v>0</v>
      </c>
      <c r="K510" t="n">
        <v>0</v>
      </c>
      <c r="L510" t="n">
        <v>0</v>
      </c>
      <c r="M510" t="n">
        <v>0</v>
      </c>
      <c r="N510" t="n">
        <v>0</v>
      </c>
      <c r="O510" t="n">
        <v>0</v>
      </c>
      <c r="P510" t="n">
        <v>0</v>
      </c>
      <c r="Q510" t="n">
        <v>0</v>
      </c>
      <c r="R510" s="2" t="inlineStr"/>
    </row>
    <row r="511" ht="15" customHeight="1">
      <c r="A511" t="inlineStr">
        <is>
          <t>A 41266-2024</t>
        </is>
      </c>
      <c r="B511" s="1" t="n">
        <v>45559</v>
      </c>
      <c r="C511" s="1" t="n">
        <v>46092</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37178-2025</t>
        </is>
      </c>
      <c r="B512" s="1" t="n">
        <v>45875</v>
      </c>
      <c r="C512" s="1" t="n">
        <v>46092</v>
      </c>
      <c r="D512" t="inlineStr">
        <is>
          <t>JÄMTLANDS LÄN</t>
        </is>
      </c>
      <c r="E512" t="inlineStr">
        <is>
          <t>ÅRE</t>
        </is>
      </c>
      <c r="G512" t="n">
        <v>5</v>
      </c>
      <c r="H512" t="n">
        <v>0</v>
      </c>
      <c r="I512" t="n">
        <v>0</v>
      </c>
      <c r="J512" t="n">
        <v>0</v>
      </c>
      <c r="K512" t="n">
        <v>0</v>
      </c>
      <c r="L512" t="n">
        <v>0</v>
      </c>
      <c r="M512" t="n">
        <v>0</v>
      </c>
      <c r="N512" t="n">
        <v>0</v>
      </c>
      <c r="O512" t="n">
        <v>0</v>
      </c>
      <c r="P512" t="n">
        <v>0</v>
      </c>
      <c r="Q512" t="n">
        <v>0</v>
      </c>
      <c r="R512" s="2" t="inlineStr"/>
    </row>
    <row r="513" ht="15" customHeight="1">
      <c r="A513" t="inlineStr">
        <is>
          <t>A 22602-2025</t>
        </is>
      </c>
      <c r="B513" s="1" t="n">
        <v>45786</v>
      </c>
      <c r="C513" s="1" t="n">
        <v>46092</v>
      </c>
      <c r="D513" t="inlineStr">
        <is>
          <t>JÄMTLANDS LÄN</t>
        </is>
      </c>
      <c r="E513" t="inlineStr">
        <is>
          <t>ÅRE</t>
        </is>
      </c>
      <c r="G513" t="n">
        <v>13.1</v>
      </c>
      <c r="H513" t="n">
        <v>0</v>
      </c>
      <c r="I513" t="n">
        <v>0</v>
      </c>
      <c r="J513" t="n">
        <v>0</v>
      </c>
      <c r="K513" t="n">
        <v>0</v>
      </c>
      <c r="L513" t="n">
        <v>0</v>
      </c>
      <c r="M513" t="n">
        <v>0</v>
      </c>
      <c r="N513" t="n">
        <v>0</v>
      </c>
      <c r="O513" t="n">
        <v>0</v>
      </c>
      <c r="P513" t="n">
        <v>0</v>
      </c>
      <c r="Q513" t="n">
        <v>0</v>
      </c>
      <c r="R513" s="2" t="inlineStr"/>
    </row>
    <row r="514" ht="15" customHeight="1">
      <c r="A514" t="inlineStr">
        <is>
          <t>A 12227-2023</t>
        </is>
      </c>
      <c r="B514" s="1" t="n">
        <v>44998.60261574074</v>
      </c>
      <c r="C514" s="1" t="n">
        <v>46092</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37159-2025</t>
        </is>
      </c>
      <c r="B515" s="1" t="n">
        <v>45875</v>
      </c>
      <c r="C515" s="1" t="n">
        <v>46092</v>
      </c>
      <c r="D515" t="inlineStr">
        <is>
          <t>JÄMTLANDS LÄN</t>
        </is>
      </c>
      <c r="E515" t="inlineStr">
        <is>
          <t>ÅRE</t>
        </is>
      </c>
      <c r="G515" t="n">
        <v>0.3</v>
      </c>
      <c r="H515" t="n">
        <v>0</v>
      </c>
      <c r="I515" t="n">
        <v>0</v>
      </c>
      <c r="J515" t="n">
        <v>0</v>
      </c>
      <c r="K515" t="n">
        <v>0</v>
      </c>
      <c r="L515" t="n">
        <v>0</v>
      </c>
      <c r="M515" t="n">
        <v>0</v>
      </c>
      <c r="N515" t="n">
        <v>0</v>
      </c>
      <c r="O515" t="n">
        <v>0</v>
      </c>
      <c r="P515" t="n">
        <v>0</v>
      </c>
      <c r="Q515" t="n">
        <v>0</v>
      </c>
      <c r="R515" s="2" t="inlineStr"/>
    </row>
    <row r="516" ht="15" customHeight="1">
      <c r="A516" t="inlineStr">
        <is>
          <t>A 41273-2025</t>
        </is>
      </c>
      <c r="B516" s="1" t="n">
        <v>45898</v>
      </c>
      <c r="C516" s="1" t="n">
        <v>46092</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37158-2025</t>
        </is>
      </c>
      <c r="B517" s="1" t="n">
        <v>45875</v>
      </c>
      <c r="C517" s="1" t="n">
        <v>46092</v>
      </c>
      <c r="D517" t="inlineStr">
        <is>
          <t>JÄMTLANDS LÄN</t>
        </is>
      </c>
      <c r="E517" t="inlineStr">
        <is>
          <t>ÅRE</t>
        </is>
      </c>
      <c r="G517" t="n">
        <v>4.7</v>
      </c>
      <c r="H517" t="n">
        <v>0</v>
      </c>
      <c r="I517" t="n">
        <v>0</v>
      </c>
      <c r="J517" t="n">
        <v>0</v>
      </c>
      <c r="K517" t="n">
        <v>0</v>
      </c>
      <c r="L517" t="n">
        <v>0</v>
      </c>
      <c r="M517" t="n">
        <v>0</v>
      </c>
      <c r="N517" t="n">
        <v>0</v>
      </c>
      <c r="O517" t="n">
        <v>0</v>
      </c>
      <c r="P517" t="n">
        <v>0</v>
      </c>
      <c r="Q517" t="n">
        <v>0</v>
      </c>
      <c r="R517" s="2" t="inlineStr"/>
    </row>
    <row r="518" ht="15" customHeight="1">
      <c r="A518" t="inlineStr">
        <is>
          <t>A 37249-2025</t>
        </is>
      </c>
      <c r="B518" s="1" t="n">
        <v>45876.40699074074</v>
      </c>
      <c r="C518" s="1" t="n">
        <v>46092</v>
      </c>
      <c r="D518" t="inlineStr">
        <is>
          <t>JÄMTLANDS LÄN</t>
        </is>
      </c>
      <c r="E518" t="inlineStr">
        <is>
          <t>ÅRE</t>
        </is>
      </c>
      <c r="G518" t="n">
        <v>1.9</v>
      </c>
      <c r="H518" t="n">
        <v>0</v>
      </c>
      <c r="I518" t="n">
        <v>0</v>
      </c>
      <c r="J518" t="n">
        <v>0</v>
      </c>
      <c r="K518" t="n">
        <v>0</v>
      </c>
      <c r="L518" t="n">
        <v>0</v>
      </c>
      <c r="M518" t="n">
        <v>0</v>
      </c>
      <c r="N518" t="n">
        <v>0</v>
      </c>
      <c r="O518" t="n">
        <v>0</v>
      </c>
      <c r="P518" t="n">
        <v>0</v>
      </c>
      <c r="Q518" t="n">
        <v>0</v>
      </c>
      <c r="R518" s="2" t="inlineStr"/>
    </row>
    <row r="519" ht="15" customHeight="1">
      <c r="A519" t="inlineStr">
        <is>
          <t>A 64245-2021</t>
        </is>
      </c>
      <c r="B519" s="1" t="n">
        <v>44510</v>
      </c>
      <c r="C519" s="1" t="n">
        <v>46092</v>
      </c>
      <c r="D519" t="inlineStr">
        <is>
          <t>JÄMTLANDS LÄN</t>
        </is>
      </c>
      <c r="E519" t="inlineStr">
        <is>
          <t>ÅRE</t>
        </is>
      </c>
      <c r="G519" t="n">
        <v>1.8</v>
      </c>
      <c r="H519" t="n">
        <v>0</v>
      </c>
      <c r="I519" t="n">
        <v>0</v>
      </c>
      <c r="J519" t="n">
        <v>0</v>
      </c>
      <c r="K519" t="n">
        <v>0</v>
      </c>
      <c r="L519" t="n">
        <v>0</v>
      </c>
      <c r="M519" t="n">
        <v>0</v>
      </c>
      <c r="N519" t="n">
        <v>0</v>
      </c>
      <c r="O519" t="n">
        <v>0</v>
      </c>
      <c r="P519" t="n">
        <v>0</v>
      </c>
      <c r="Q519" t="n">
        <v>0</v>
      </c>
      <c r="R519" s="2" t="inlineStr"/>
    </row>
    <row r="520" ht="15" customHeight="1">
      <c r="A520" t="inlineStr">
        <is>
          <t>A 54247-2024</t>
        </is>
      </c>
      <c r="B520" s="1" t="n">
        <v>45616</v>
      </c>
      <c r="C520" s="1" t="n">
        <v>46092</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58889-2022</t>
        </is>
      </c>
      <c r="B521" s="1" t="n">
        <v>44896</v>
      </c>
      <c r="C521" s="1" t="n">
        <v>46092</v>
      </c>
      <c r="D521" t="inlineStr">
        <is>
          <t>JÄMTLANDS LÄN</t>
        </is>
      </c>
      <c r="E521" t="inlineStr">
        <is>
          <t>ÅRE</t>
        </is>
      </c>
      <c r="G521" t="n">
        <v>6.9</v>
      </c>
      <c r="H521" t="n">
        <v>0</v>
      </c>
      <c r="I521" t="n">
        <v>0</v>
      </c>
      <c r="J521" t="n">
        <v>0</v>
      </c>
      <c r="K521" t="n">
        <v>0</v>
      </c>
      <c r="L521" t="n">
        <v>0</v>
      </c>
      <c r="M521" t="n">
        <v>0</v>
      </c>
      <c r="N521" t="n">
        <v>0</v>
      </c>
      <c r="O521" t="n">
        <v>0</v>
      </c>
      <c r="P521" t="n">
        <v>0</v>
      </c>
      <c r="Q521" t="n">
        <v>0</v>
      </c>
      <c r="R521" s="2" t="inlineStr"/>
    </row>
    <row r="522" ht="15" customHeight="1">
      <c r="A522" t="inlineStr">
        <is>
          <t>A 38285-2025</t>
        </is>
      </c>
      <c r="B522" s="1" t="n">
        <v>45883.43145833333</v>
      </c>
      <c r="C522" s="1" t="n">
        <v>46092</v>
      </c>
      <c r="D522" t="inlineStr">
        <is>
          <t>JÄMTLANDS LÄN</t>
        </is>
      </c>
      <c r="E522" t="inlineStr">
        <is>
          <t>ÅRE</t>
        </is>
      </c>
      <c r="G522" t="n">
        <v>2.6</v>
      </c>
      <c r="H522" t="n">
        <v>0</v>
      </c>
      <c r="I522" t="n">
        <v>0</v>
      </c>
      <c r="J522" t="n">
        <v>0</v>
      </c>
      <c r="K522" t="n">
        <v>0</v>
      </c>
      <c r="L522" t="n">
        <v>0</v>
      </c>
      <c r="M522" t="n">
        <v>0</v>
      </c>
      <c r="N522" t="n">
        <v>0</v>
      </c>
      <c r="O522" t="n">
        <v>0</v>
      </c>
      <c r="P522" t="n">
        <v>0</v>
      </c>
      <c r="Q522" t="n">
        <v>0</v>
      </c>
      <c r="R522" s="2" t="inlineStr"/>
    </row>
    <row r="523" ht="15" customHeight="1">
      <c r="A523" t="inlineStr">
        <is>
          <t>A 15692-2025</t>
        </is>
      </c>
      <c r="B523" s="1" t="n">
        <v>45748</v>
      </c>
      <c r="C523" s="1" t="n">
        <v>46092</v>
      </c>
      <c r="D523" t="inlineStr">
        <is>
          <t>JÄMTLANDS LÄN</t>
        </is>
      </c>
      <c r="E523" t="inlineStr">
        <is>
          <t>ÅRE</t>
        </is>
      </c>
      <c r="G523" t="n">
        <v>2.7</v>
      </c>
      <c r="H523" t="n">
        <v>0</v>
      </c>
      <c r="I523" t="n">
        <v>0</v>
      </c>
      <c r="J523" t="n">
        <v>0</v>
      </c>
      <c r="K523" t="n">
        <v>0</v>
      </c>
      <c r="L523" t="n">
        <v>0</v>
      </c>
      <c r="M523" t="n">
        <v>0</v>
      </c>
      <c r="N523" t="n">
        <v>0</v>
      </c>
      <c r="O523" t="n">
        <v>0</v>
      </c>
      <c r="P523" t="n">
        <v>0</v>
      </c>
      <c r="Q523" t="n">
        <v>0</v>
      </c>
      <c r="R523" s="2" t="inlineStr"/>
    </row>
    <row r="524" ht="15" customHeight="1">
      <c r="A524" t="inlineStr">
        <is>
          <t>A 45113-2024</t>
        </is>
      </c>
      <c r="B524" s="1" t="n">
        <v>45575.59709490741</v>
      </c>
      <c r="C524" s="1" t="n">
        <v>46092</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20480-2024</t>
        </is>
      </c>
      <c r="B525" s="1" t="n">
        <v>45435.71126157408</v>
      </c>
      <c r="C525" s="1" t="n">
        <v>46092</v>
      </c>
      <c r="D525" t="inlineStr">
        <is>
          <t>JÄMTLANDS LÄN</t>
        </is>
      </c>
      <c r="E525" t="inlineStr">
        <is>
          <t>ÅRE</t>
        </is>
      </c>
      <c r="G525" t="n">
        <v>2.7</v>
      </c>
      <c r="H525" t="n">
        <v>0</v>
      </c>
      <c r="I525" t="n">
        <v>0</v>
      </c>
      <c r="J525" t="n">
        <v>0</v>
      </c>
      <c r="K525" t="n">
        <v>0</v>
      </c>
      <c r="L525" t="n">
        <v>0</v>
      </c>
      <c r="M525" t="n">
        <v>0</v>
      </c>
      <c r="N525" t="n">
        <v>0</v>
      </c>
      <c r="O525" t="n">
        <v>0</v>
      </c>
      <c r="P525" t="n">
        <v>0</v>
      </c>
      <c r="Q525" t="n">
        <v>0</v>
      </c>
      <c r="R525" s="2" t="inlineStr"/>
    </row>
    <row r="526" ht="15" customHeight="1">
      <c r="A526" t="inlineStr">
        <is>
          <t>A 6358-2025</t>
        </is>
      </c>
      <c r="B526" s="1" t="n">
        <v>45699.36491898148</v>
      </c>
      <c r="C526" s="1" t="n">
        <v>46092</v>
      </c>
      <c r="D526" t="inlineStr">
        <is>
          <t>JÄMTLANDS LÄN</t>
        </is>
      </c>
      <c r="E526" t="inlineStr">
        <is>
          <t>ÅRE</t>
        </is>
      </c>
      <c r="G526" t="n">
        <v>5.6</v>
      </c>
      <c r="H526" t="n">
        <v>0</v>
      </c>
      <c r="I526" t="n">
        <v>0</v>
      </c>
      <c r="J526" t="n">
        <v>0</v>
      </c>
      <c r="K526" t="n">
        <v>0</v>
      </c>
      <c r="L526" t="n">
        <v>0</v>
      </c>
      <c r="M526" t="n">
        <v>0</v>
      </c>
      <c r="N526" t="n">
        <v>0</v>
      </c>
      <c r="O526" t="n">
        <v>0</v>
      </c>
      <c r="P526" t="n">
        <v>0</v>
      </c>
      <c r="Q526" t="n">
        <v>0</v>
      </c>
      <c r="R526" s="2" t="inlineStr"/>
    </row>
    <row r="527" ht="15" customHeight="1">
      <c r="A527" t="inlineStr">
        <is>
          <t>A 27946-2021</t>
        </is>
      </c>
      <c r="B527" s="1" t="n">
        <v>44354</v>
      </c>
      <c r="C527" s="1" t="n">
        <v>46092</v>
      </c>
      <c r="D527" t="inlineStr">
        <is>
          <t>JÄMTLANDS LÄN</t>
        </is>
      </c>
      <c r="E527" t="inlineStr">
        <is>
          <t>ÅRE</t>
        </is>
      </c>
      <c r="G527" t="n">
        <v>0.3</v>
      </c>
      <c r="H527" t="n">
        <v>0</v>
      </c>
      <c r="I527" t="n">
        <v>0</v>
      </c>
      <c r="J527" t="n">
        <v>0</v>
      </c>
      <c r="K527" t="n">
        <v>0</v>
      </c>
      <c r="L527" t="n">
        <v>0</v>
      </c>
      <c r="M527" t="n">
        <v>0</v>
      </c>
      <c r="N527" t="n">
        <v>0</v>
      </c>
      <c r="O527" t="n">
        <v>0</v>
      </c>
      <c r="P527" t="n">
        <v>0</v>
      </c>
      <c r="Q527" t="n">
        <v>0</v>
      </c>
      <c r="R527" s="2" t="inlineStr"/>
    </row>
    <row r="528" ht="15" customHeight="1">
      <c r="A528" t="inlineStr">
        <is>
          <t>A 37734-2023</t>
        </is>
      </c>
      <c r="B528" s="1" t="n">
        <v>45159.61971064815</v>
      </c>
      <c r="C528" s="1" t="n">
        <v>46092</v>
      </c>
      <c r="D528" t="inlineStr">
        <is>
          <t>JÄMTLANDS LÄN</t>
        </is>
      </c>
      <c r="E528" t="inlineStr">
        <is>
          <t>ÅRE</t>
        </is>
      </c>
      <c r="G528" t="n">
        <v>3.4</v>
      </c>
      <c r="H528" t="n">
        <v>0</v>
      </c>
      <c r="I528" t="n">
        <v>0</v>
      </c>
      <c r="J528" t="n">
        <v>0</v>
      </c>
      <c r="K528" t="n">
        <v>0</v>
      </c>
      <c r="L528" t="n">
        <v>0</v>
      </c>
      <c r="M528" t="n">
        <v>0</v>
      </c>
      <c r="N528" t="n">
        <v>0</v>
      </c>
      <c r="O528" t="n">
        <v>0</v>
      </c>
      <c r="P528" t="n">
        <v>0</v>
      </c>
      <c r="Q528" t="n">
        <v>0</v>
      </c>
      <c r="R528" s="2" t="inlineStr"/>
    </row>
    <row r="529" ht="15" customHeight="1">
      <c r="A529" t="inlineStr">
        <is>
          <t>A 37739-2023</t>
        </is>
      </c>
      <c r="B529" s="1" t="n">
        <v>45159</v>
      </c>
      <c r="C529" s="1" t="n">
        <v>46092</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11500-2022</t>
        </is>
      </c>
      <c r="B530" s="1" t="n">
        <v>44631</v>
      </c>
      <c r="C530" s="1" t="n">
        <v>46092</v>
      </c>
      <c r="D530" t="inlineStr">
        <is>
          <t>JÄMTLANDS LÄN</t>
        </is>
      </c>
      <c r="E530" t="inlineStr">
        <is>
          <t>ÅRE</t>
        </is>
      </c>
      <c r="G530" t="n">
        <v>0.5</v>
      </c>
      <c r="H530" t="n">
        <v>0</v>
      </c>
      <c r="I530" t="n">
        <v>0</v>
      </c>
      <c r="J530" t="n">
        <v>0</v>
      </c>
      <c r="K530" t="n">
        <v>0</v>
      </c>
      <c r="L530" t="n">
        <v>0</v>
      </c>
      <c r="M530" t="n">
        <v>0</v>
      </c>
      <c r="N530" t="n">
        <v>0</v>
      </c>
      <c r="O530" t="n">
        <v>0</v>
      </c>
      <c r="P530" t="n">
        <v>0</v>
      </c>
      <c r="Q530" t="n">
        <v>0</v>
      </c>
      <c r="R530" s="2" t="inlineStr"/>
    </row>
    <row r="531" ht="15" customHeight="1">
      <c r="A531" t="inlineStr">
        <is>
          <t>A 8798-2025</t>
        </is>
      </c>
      <c r="B531" s="1" t="n">
        <v>45712</v>
      </c>
      <c r="C531" s="1" t="n">
        <v>46092</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4218-2025</t>
        </is>
      </c>
      <c r="B532" s="1" t="n">
        <v>45685</v>
      </c>
      <c r="C532" s="1" t="n">
        <v>46092</v>
      </c>
      <c r="D532" t="inlineStr">
        <is>
          <t>JÄMTLANDS LÄN</t>
        </is>
      </c>
      <c r="E532" t="inlineStr">
        <is>
          <t>ÅRE</t>
        </is>
      </c>
      <c r="F532" t="inlineStr">
        <is>
          <t>Övriga Aktiebolag</t>
        </is>
      </c>
      <c r="G532" t="n">
        <v>10.1</v>
      </c>
      <c r="H532" t="n">
        <v>0</v>
      </c>
      <c r="I532" t="n">
        <v>0</v>
      </c>
      <c r="J532" t="n">
        <v>0</v>
      </c>
      <c r="K532" t="n">
        <v>0</v>
      </c>
      <c r="L532" t="n">
        <v>0</v>
      </c>
      <c r="M532" t="n">
        <v>0</v>
      </c>
      <c r="N532" t="n">
        <v>0</v>
      </c>
      <c r="O532" t="n">
        <v>0</v>
      </c>
      <c r="P532" t="n">
        <v>0</v>
      </c>
      <c r="Q532" t="n">
        <v>0</v>
      </c>
      <c r="R532" s="2" t="inlineStr"/>
    </row>
    <row r="533" ht="15" customHeight="1">
      <c r="A533" t="inlineStr">
        <is>
          <t>A 278-2023</t>
        </is>
      </c>
      <c r="B533" s="1" t="n">
        <v>44928</v>
      </c>
      <c r="C533" s="1" t="n">
        <v>46092</v>
      </c>
      <c r="D533" t="inlineStr">
        <is>
          <t>JÄMTLANDS LÄN</t>
        </is>
      </c>
      <c r="E533" t="inlineStr">
        <is>
          <t>ÅRE</t>
        </is>
      </c>
      <c r="G533" t="n">
        <v>2.4</v>
      </c>
      <c r="H533" t="n">
        <v>0</v>
      </c>
      <c r="I533" t="n">
        <v>0</v>
      </c>
      <c r="J533" t="n">
        <v>0</v>
      </c>
      <c r="K533" t="n">
        <v>0</v>
      </c>
      <c r="L533" t="n">
        <v>0</v>
      </c>
      <c r="M533" t="n">
        <v>0</v>
      </c>
      <c r="N533" t="n">
        <v>0</v>
      </c>
      <c r="O533" t="n">
        <v>0</v>
      </c>
      <c r="P533" t="n">
        <v>0</v>
      </c>
      <c r="Q533" t="n">
        <v>0</v>
      </c>
      <c r="R533" s="2" t="inlineStr"/>
    </row>
    <row r="534" ht="15" customHeight="1">
      <c r="A534" t="inlineStr">
        <is>
          <t>A 3066-2023</t>
        </is>
      </c>
      <c r="B534" s="1" t="n">
        <v>44946</v>
      </c>
      <c r="C534" s="1" t="n">
        <v>46092</v>
      </c>
      <c r="D534" t="inlineStr">
        <is>
          <t>JÄMTLANDS LÄN</t>
        </is>
      </c>
      <c r="E534" t="inlineStr">
        <is>
          <t>ÅRE</t>
        </is>
      </c>
      <c r="G534" t="n">
        <v>1.3</v>
      </c>
      <c r="H534" t="n">
        <v>0</v>
      </c>
      <c r="I534" t="n">
        <v>0</v>
      </c>
      <c r="J534" t="n">
        <v>0</v>
      </c>
      <c r="K534" t="n">
        <v>0</v>
      </c>
      <c r="L534" t="n">
        <v>0</v>
      </c>
      <c r="M534" t="n">
        <v>0</v>
      </c>
      <c r="N534" t="n">
        <v>0</v>
      </c>
      <c r="O534" t="n">
        <v>0</v>
      </c>
      <c r="P534" t="n">
        <v>0</v>
      </c>
      <c r="Q534" t="n">
        <v>0</v>
      </c>
      <c r="R534" s="2" t="inlineStr"/>
    </row>
    <row r="535" ht="15" customHeight="1">
      <c r="A535" t="inlineStr">
        <is>
          <t>A 54907-2023</t>
        </is>
      </c>
      <c r="B535" s="1" t="n">
        <v>45236.65784722222</v>
      </c>
      <c r="C535" s="1" t="n">
        <v>46092</v>
      </c>
      <c r="D535" t="inlineStr">
        <is>
          <t>JÄMTLANDS LÄN</t>
        </is>
      </c>
      <c r="E535" t="inlineStr">
        <is>
          <t>ÅRE</t>
        </is>
      </c>
      <c r="F535" t="inlineStr">
        <is>
          <t>Övriga Aktiebolag</t>
        </is>
      </c>
      <c r="G535" t="n">
        <v>2.6</v>
      </c>
      <c r="H535" t="n">
        <v>0</v>
      </c>
      <c r="I535" t="n">
        <v>0</v>
      </c>
      <c r="J535" t="n">
        <v>0</v>
      </c>
      <c r="K535" t="n">
        <v>0</v>
      </c>
      <c r="L535" t="n">
        <v>0</v>
      </c>
      <c r="M535" t="n">
        <v>0</v>
      </c>
      <c r="N535" t="n">
        <v>0</v>
      </c>
      <c r="O535" t="n">
        <v>0</v>
      </c>
      <c r="P535" t="n">
        <v>0</v>
      </c>
      <c r="Q535" t="n">
        <v>0</v>
      </c>
      <c r="R535" s="2" t="inlineStr"/>
    </row>
    <row r="536" ht="15" customHeight="1">
      <c r="A536" t="inlineStr">
        <is>
          <t>A 41688-2024</t>
        </is>
      </c>
      <c r="B536" s="1" t="n">
        <v>45560.67542824074</v>
      </c>
      <c r="C536" s="1" t="n">
        <v>46092</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61815-2021</t>
        </is>
      </c>
      <c r="B537" s="1" t="n">
        <v>44498</v>
      </c>
      <c r="C537" s="1" t="n">
        <v>46092</v>
      </c>
      <c r="D537" t="inlineStr">
        <is>
          <t>JÄMTLANDS LÄN</t>
        </is>
      </c>
      <c r="E537" t="inlineStr">
        <is>
          <t>ÅRE</t>
        </is>
      </c>
      <c r="G537" t="n">
        <v>7.4</v>
      </c>
      <c r="H537" t="n">
        <v>0</v>
      </c>
      <c r="I537" t="n">
        <v>0</v>
      </c>
      <c r="J537" t="n">
        <v>0</v>
      </c>
      <c r="K537" t="n">
        <v>0</v>
      </c>
      <c r="L537" t="n">
        <v>0</v>
      </c>
      <c r="M537" t="n">
        <v>0</v>
      </c>
      <c r="N537" t="n">
        <v>0</v>
      </c>
      <c r="O537" t="n">
        <v>0</v>
      </c>
      <c r="P537" t="n">
        <v>0</v>
      </c>
      <c r="Q537" t="n">
        <v>0</v>
      </c>
      <c r="R537" s="2" t="inlineStr"/>
    </row>
    <row r="538" ht="15" customHeight="1">
      <c r="A538" t="inlineStr">
        <is>
          <t>A 12177-2025</t>
        </is>
      </c>
      <c r="B538" s="1" t="n">
        <v>45729.45119212963</v>
      </c>
      <c r="C538" s="1" t="n">
        <v>46092</v>
      </c>
      <c r="D538" t="inlineStr">
        <is>
          <t>JÄMTLANDS LÄN</t>
        </is>
      </c>
      <c r="E538" t="inlineStr">
        <is>
          <t>ÅRE</t>
        </is>
      </c>
      <c r="F538" t="inlineStr">
        <is>
          <t>Övriga Aktiebolag</t>
        </is>
      </c>
      <c r="G538" t="n">
        <v>13.2</v>
      </c>
      <c r="H538" t="n">
        <v>0</v>
      </c>
      <c r="I538" t="n">
        <v>0</v>
      </c>
      <c r="J538" t="n">
        <v>0</v>
      </c>
      <c r="K538" t="n">
        <v>0</v>
      </c>
      <c r="L538" t="n">
        <v>0</v>
      </c>
      <c r="M538" t="n">
        <v>0</v>
      </c>
      <c r="N538" t="n">
        <v>0</v>
      </c>
      <c r="O538" t="n">
        <v>0</v>
      </c>
      <c r="P538" t="n">
        <v>0</v>
      </c>
      <c r="Q538" t="n">
        <v>0</v>
      </c>
      <c r="R538" s="2" t="inlineStr"/>
    </row>
    <row r="539" ht="15" customHeight="1">
      <c r="A539" t="inlineStr">
        <is>
          <t>A 13033-2024</t>
        </is>
      </c>
      <c r="B539" s="1" t="n">
        <v>45385</v>
      </c>
      <c r="C539" s="1" t="n">
        <v>46092</v>
      </c>
      <c r="D539" t="inlineStr">
        <is>
          <t>JÄMTLANDS LÄN</t>
        </is>
      </c>
      <c r="E539" t="inlineStr">
        <is>
          <t>ÅRE</t>
        </is>
      </c>
      <c r="G539" t="n">
        <v>7.3</v>
      </c>
      <c r="H539" t="n">
        <v>0</v>
      </c>
      <c r="I539" t="n">
        <v>0</v>
      </c>
      <c r="J539" t="n">
        <v>0</v>
      </c>
      <c r="K539" t="n">
        <v>0</v>
      </c>
      <c r="L539" t="n">
        <v>0</v>
      </c>
      <c r="M539" t="n">
        <v>0</v>
      </c>
      <c r="N539" t="n">
        <v>0</v>
      </c>
      <c r="O539" t="n">
        <v>0</v>
      </c>
      <c r="P539" t="n">
        <v>0</v>
      </c>
      <c r="Q539" t="n">
        <v>0</v>
      </c>
      <c r="R539" s="2" t="inlineStr"/>
    </row>
    <row r="540" ht="15" customHeight="1">
      <c r="A540" t="inlineStr">
        <is>
          <t>A 51500-2024</t>
        </is>
      </c>
      <c r="B540" s="1" t="n">
        <v>45604.54693287037</v>
      </c>
      <c r="C540" s="1" t="n">
        <v>46092</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61014-2024</t>
        </is>
      </c>
      <c r="B541" s="1" t="n">
        <v>45645.449375</v>
      </c>
      <c r="C541" s="1" t="n">
        <v>46092</v>
      </c>
      <c r="D541" t="inlineStr">
        <is>
          <t>JÄMTLANDS LÄN</t>
        </is>
      </c>
      <c r="E541" t="inlineStr">
        <is>
          <t>ÅRE</t>
        </is>
      </c>
      <c r="F541" t="inlineStr">
        <is>
          <t>Övriga Aktiebolag</t>
        </is>
      </c>
      <c r="G541" t="n">
        <v>4.9</v>
      </c>
      <c r="H541" t="n">
        <v>0</v>
      </c>
      <c r="I541" t="n">
        <v>0</v>
      </c>
      <c r="J541" t="n">
        <v>0</v>
      </c>
      <c r="K541" t="n">
        <v>0</v>
      </c>
      <c r="L541" t="n">
        <v>0</v>
      </c>
      <c r="M541" t="n">
        <v>0</v>
      </c>
      <c r="N541" t="n">
        <v>0</v>
      </c>
      <c r="O541" t="n">
        <v>0</v>
      </c>
      <c r="P541" t="n">
        <v>0</v>
      </c>
      <c r="Q541" t="n">
        <v>0</v>
      </c>
      <c r="R541" s="2" t="inlineStr"/>
    </row>
    <row r="542" ht="15" customHeight="1">
      <c r="A542" t="inlineStr">
        <is>
          <t>A 11112-2022</t>
        </is>
      </c>
      <c r="B542" s="1" t="n">
        <v>44628</v>
      </c>
      <c r="C542" s="1" t="n">
        <v>46092</v>
      </c>
      <c r="D542" t="inlineStr">
        <is>
          <t>JÄMTLANDS LÄN</t>
        </is>
      </c>
      <c r="E542" t="inlineStr">
        <is>
          <t>ÅRE</t>
        </is>
      </c>
      <c r="G542" t="n">
        <v>6.6</v>
      </c>
      <c r="H542" t="n">
        <v>0</v>
      </c>
      <c r="I542" t="n">
        <v>0</v>
      </c>
      <c r="J542" t="n">
        <v>0</v>
      </c>
      <c r="K542" t="n">
        <v>0</v>
      </c>
      <c r="L542" t="n">
        <v>0</v>
      </c>
      <c r="M542" t="n">
        <v>0</v>
      </c>
      <c r="N542" t="n">
        <v>0</v>
      </c>
      <c r="O542" t="n">
        <v>0</v>
      </c>
      <c r="P542" t="n">
        <v>0</v>
      </c>
      <c r="Q542" t="n">
        <v>0</v>
      </c>
      <c r="R542" s="2" t="inlineStr"/>
    </row>
    <row r="543" ht="15" customHeight="1">
      <c r="A543" t="inlineStr">
        <is>
          <t>A 44925-2024</t>
        </is>
      </c>
      <c r="B543" s="1" t="n">
        <v>45575.40700231482</v>
      </c>
      <c r="C543" s="1" t="n">
        <v>46092</v>
      </c>
      <c r="D543" t="inlineStr">
        <is>
          <t>JÄMTLANDS LÄN</t>
        </is>
      </c>
      <c r="E543" t="inlineStr">
        <is>
          <t>ÅRE</t>
        </is>
      </c>
      <c r="F543" t="inlineStr">
        <is>
          <t>Övriga Aktiebolag</t>
        </is>
      </c>
      <c r="G543" t="n">
        <v>22.3</v>
      </c>
      <c r="H543" t="n">
        <v>0</v>
      </c>
      <c r="I543" t="n">
        <v>0</v>
      </c>
      <c r="J543" t="n">
        <v>0</v>
      </c>
      <c r="K543" t="n">
        <v>0</v>
      </c>
      <c r="L543" t="n">
        <v>0</v>
      </c>
      <c r="M543" t="n">
        <v>0</v>
      </c>
      <c r="N543" t="n">
        <v>0</v>
      </c>
      <c r="O543" t="n">
        <v>0</v>
      </c>
      <c r="P543" t="n">
        <v>0</v>
      </c>
      <c r="Q543" t="n">
        <v>0</v>
      </c>
      <c r="R543" s="2" t="inlineStr"/>
    </row>
    <row r="544" ht="15" customHeight="1">
      <c r="A544" t="inlineStr">
        <is>
          <t>A 20160-2025</t>
        </is>
      </c>
      <c r="B544" s="1" t="n">
        <v>45772.56753472222</v>
      </c>
      <c r="C544" s="1" t="n">
        <v>46092</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61926-2022</t>
        </is>
      </c>
      <c r="B545" s="1" t="n">
        <v>44917</v>
      </c>
      <c r="C545" s="1" t="n">
        <v>46092</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50099-2021</t>
        </is>
      </c>
      <c r="B546" s="1" t="n">
        <v>44456</v>
      </c>
      <c r="C546" s="1" t="n">
        <v>46092</v>
      </c>
      <c r="D546" t="inlineStr">
        <is>
          <t>JÄMTLANDS LÄN</t>
        </is>
      </c>
      <c r="E546" t="inlineStr">
        <is>
          <t>ÅRE</t>
        </is>
      </c>
      <c r="G546" t="n">
        <v>6.2</v>
      </c>
      <c r="H546" t="n">
        <v>0</v>
      </c>
      <c r="I546" t="n">
        <v>0</v>
      </c>
      <c r="J546" t="n">
        <v>0</v>
      </c>
      <c r="K546" t="n">
        <v>0</v>
      </c>
      <c r="L546" t="n">
        <v>0</v>
      </c>
      <c r="M546" t="n">
        <v>0</v>
      </c>
      <c r="N546" t="n">
        <v>0</v>
      </c>
      <c r="O546" t="n">
        <v>0</v>
      </c>
      <c r="P546" t="n">
        <v>0</v>
      </c>
      <c r="Q546" t="n">
        <v>0</v>
      </c>
      <c r="R546" s="2" t="inlineStr"/>
    </row>
    <row r="547" ht="15" customHeight="1">
      <c r="A547" t="inlineStr">
        <is>
          <t>A 41677-2024</t>
        </is>
      </c>
      <c r="B547" s="1" t="n">
        <v>45560.66037037037</v>
      </c>
      <c r="C547" s="1" t="n">
        <v>46092</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51444-2024</t>
        </is>
      </c>
      <c r="B548" s="1" t="n">
        <v>45604.48304398148</v>
      </c>
      <c r="C548" s="1" t="n">
        <v>46092</v>
      </c>
      <c r="D548" t="inlineStr">
        <is>
          <t>JÄMTLANDS LÄN</t>
        </is>
      </c>
      <c r="E548" t="inlineStr">
        <is>
          <t>ÅRE</t>
        </is>
      </c>
      <c r="G548" t="n">
        <v>2.2</v>
      </c>
      <c r="H548" t="n">
        <v>0</v>
      </c>
      <c r="I548" t="n">
        <v>0</v>
      </c>
      <c r="J548" t="n">
        <v>0</v>
      </c>
      <c r="K548" t="n">
        <v>0</v>
      </c>
      <c r="L548" t="n">
        <v>0</v>
      </c>
      <c r="M548" t="n">
        <v>0</v>
      </c>
      <c r="N548" t="n">
        <v>0</v>
      </c>
      <c r="O548" t="n">
        <v>0</v>
      </c>
      <c r="P548" t="n">
        <v>0</v>
      </c>
      <c r="Q548" t="n">
        <v>0</v>
      </c>
      <c r="R548" s="2" t="inlineStr"/>
    </row>
    <row r="549" ht="15" customHeight="1">
      <c r="A549" t="inlineStr">
        <is>
          <t>A 15480-2024</t>
        </is>
      </c>
      <c r="B549" s="1" t="n">
        <v>45401.49065972222</v>
      </c>
      <c r="C549" s="1" t="n">
        <v>46092</v>
      </c>
      <c r="D549" t="inlineStr">
        <is>
          <t>JÄMTLANDS LÄN</t>
        </is>
      </c>
      <c r="E549" t="inlineStr">
        <is>
          <t>ÅRE</t>
        </is>
      </c>
      <c r="G549" t="n">
        <v>11.8</v>
      </c>
      <c r="H549" t="n">
        <v>0</v>
      </c>
      <c r="I549" t="n">
        <v>0</v>
      </c>
      <c r="J549" t="n">
        <v>0</v>
      </c>
      <c r="K549" t="n">
        <v>0</v>
      </c>
      <c r="L549" t="n">
        <v>0</v>
      </c>
      <c r="M549" t="n">
        <v>0</v>
      </c>
      <c r="N549" t="n">
        <v>0</v>
      </c>
      <c r="O549" t="n">
        <v>0</v>
      </c>
      <c r="P549" t="n">
        <v>0</v>
      </c>
      <c r="Q549" t="n">
        <v>0</v>
      </c>
      <c r="R549" s="2" t="inlineStr"/>
    </row>
    <row r="550" ht="15" customHeight="1">
      <c r="A550" t="inlineStr">
        <is>
          <t>A 13082-2025</t>
        </is>
      </c>
      <c r="B550" s="1" t="n">
        <v>45734.62666666666</v>
      </c>
      <c r="C550" s="1" t="n">
        <v>46092</v>
      </c>
      <c r="D550" t="inlineStr">
        <is>
          <t>JÄMTLANDS LÄN</t>
        </is>
      </c>
      <c r="E550" t="inlineStr">
        <is>
          <t>ÅRE</t>
        </is>
      </c>
      <c r="G550" t="n">
        <v>3.5</v>
      </c>
      <c r="H550" t="n">
        <v>0</v>
      </c>
      <c r="I550" t="n">
        <v>0</v>
      </c>
      <c r="J550" t="n">
        <v>0</v>
      </c>
      <c r="K550" t="n">
        <v>0</v>
      </c>
      <c r="L550" t="n">
        <v>0</v>
      </c>
      <c r="M550" t="n">
        <v>0</v>
      </c>
      <c r="N550" t="n">
        <v>0</v>
      </c>
      <c r="O550" t="n">
        <v>0</v>
      </c>
      <c r="P550" t="n">
        <v>0</v>
      </c>
      <c r="Q550" t="n">
        <v>0</v>
      </c>
      <c r="R550" s="2" t="inlineStr"/>
    </row>
    <row r="551" ht="15" customHeight="1">
      <c r="A551" t="inlineStr">
        <is>
          <t>A 53611-2024</t>
        </is>
      </c>
      <c r="B551" s="1" t="n">
        <v>45614.70510416666</v>
      </c>
      <c r="C551" s="1" t="n">
        <v>46092</v>
      </c>
      <c r="D551" t="inlineStr">
        <is>
          <t>JÄMTLANDS LÄN</t>
        </is>
      </c>
      <c r="E551" t="inlineStr">
        <is>
          <t>ÅRE</t>
        </is>
      </c>
      <c r="F551" t="inlineStr">
        <is>
          <t>Övriga Aktiebolag</t>
        </is>
      </c>
      <c r="G551" t="n">
        <v>2.2</v>
      </c>
      <c r="H551" t="n">
        <v>0</v>
      </c>
      <c r="I551" t="n">
        <v>0</v>
      </c>
      <c r="J551" t="n">
        <v>0</v>
      </c>
      <c r="K551" t="n">
        <v>0</v>
      </c>
      <c r="L551" t="n">
        <v>0</v>
      </c>
      <c r="M551" t="n">
        <v>0</v>
      </c>
      <c r="N551" t="n">
        <v>0</v>
      </c>
      <c r="O551" t="n">
        <v>0</v>
      </c>
      <c r="P551" t="n">
        <v>0</v>
      </c>
      <c r="Q551" t="n">
        <v>0</v>
      </c>
      <c r="R551" s="2" t="inlineStr"/>
    </row>
    <row r="552" ht="15" customHeight="1">
      <c r="A552" t="inlineStr">
        <is>
          <t>A 26032-2023</t>
        </is>
      </c>
      <c r="B552" s="1" t="n">
        <v>45091.31304398148</v>
      </c>
      <c r="C552" s="1" t="n">
        <v>46092</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26033-2023</t>
        </is>
      </c>
      <c r="B553" s="1" t="n">
        <v>45091.31530092593</v>
      </c>
      <c r="C553" s="1" t="n">
        <v>46092</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13221-2022</t>
        </is>
      </c>
      <c r="B554" s="1" t="n">
        <v>44644</v>
      </c>
      <c r="C554" s="1" t="n">
        <v>46092</v>
      </c>
      <c r="D554" t="inlineStr">
        <is>
          <t>JÄMTLANDS LÄN</t>
        </is>
      </c>
      <c r="E554" t="inlineStr">
        <is>
          <t>ÅRE</t>
        </is>
      </c>
      <c r="F554" t="inlineStr">
        <is>
          <t>Övriga Aktiebolag</t>
        </is>
      </c>
      <c r="G554" t="n">
        <v>6.6</v>
      </c>
      <c r="H554" t="n">
        <v>0</v>
      </c>
      <c r="I554" t="n">
        <v>0</v>
      </c>
      <c r="J554" t="n">
        <v>0</v>
      </c>
      <c r="K554" t="n">
        <v>0</v>
      </c>
      <c r="L554" t="n">
        <v>0</v>
      </c>
      <c r="M554" t="n">
        <v>0</v>
      </c>
      <c r="N554" t="n">
        <v>0</v>
      </c>
      <c r="O554" t="n">
        <v>0</v>
      </c>
      <c r="P554" t="n">
        <v>0</v>
      </c>
      <c r="Q554" t="n">
        <v>0</v>
      </c>
      <c r="R554" s="2" t="inlineStr"/>
    </row>
    <row r="555" ht="15" customHeight="1">
      <c r="A555" t="inlineStr">
        <is>
          <t>A 39071-2024</t>
        </is>
      </c>
      <c r="B555" s="1" t="n">
        <v>45548.53193287037</v>
      </c>
      <c r="C555" s="1" t="n">
        <v>46092</v>
      </c>
      <c r="D555" t="inlineStr">
        <is>
          <t>JÄMTLANDS LÄN</t>
        </is>
      </c>
      <c r="E555" t="inlineStr">
        <is>
          <t>ÅRE</t>
        </is>
      </c>
      <c r="G555" t="n">
        <v>0.6</v>
      </c>
      <c r="H555" t="n">
        <v>0</v>
      </c>
      <c r="I555" t="n">
        <v>0</v>
      </c>
      <c r="J555" t="n">
        <v>0</v>
      </c>
      <c r="K555" t="n">
        <v>0</v>
      </c>
      <c r="L555" t="n">
        <v>0</v>
      </c>
      <c r="M555" t="n">
        <v>0</v>
      </c>
      <c r="N555" t="n">
        <v>0</v>
      </c>
      <c r="O555" t="n">
        <v>0</v>
      </c>
      <c r="P555" t="n">
        <v>0</v>
      </c>
      <c r="Q555" t="n">
        <v>0</v>
      </c>
      <c r="R555" s="2" t="inlineStr"/>
    </row>
    <row r="556" ht="15" customHeight="1">
      <c r="A556" t="inlineStr">
        <is>
          <t>A 59325-2024</t>
        </is>
      </c>
      <c r="B556" s="1" t="n">
        <v>45636</v>
      </c>
      <c r="C556" s="1" t="n">
        <v>46092</v>
      </c>
      <c r="D556" t="inlineStr">
        <is>
          <t>JÄMTLANDS LÄN</t>
        </is>
      </c>
      <c r="E556" t="inlineStr">
        <is>
          <t>ÅRE</t>
        </is>
      </c>
      <c r="G556" t="n">
        <v>0.6</v>
      </c>
      <c r="H556" t="n">
        <v>0</v>
      </c>
      <c r="I556" t="n">
        <v>0</v>
      </c>
      <c r="J556" t="n">
        <v>0</v>
      </c>
      <c r="K556" t="n">
        <v>0</v>
      </c>
      <c r="L556" t="n">
        <v>0</v>
      </c>
      <c r="M556" t="n">
        <v>0</v>
      </c>
      <c r="N556" t="n">
        <v>0</v>
      </c>
      <c r="O556" t="n">
        <v>0</v>
      </c>
      <c r="P556" t="n">
        <v>0</v>
      </c>
      <c r="Q556" t="n">
        <v>0</v>
      </c>
      <c r="R556" s="2" t="inlineStr"/>
    </row>
    <row r="557" ht="15" customHeight="1">
      <c r="A557" t="inlineStr">
        <is>
          <t>A 20804-2024</t>
        </is>
      </c>
      <c r="B557" s="1" t="n">
        <v>45439.30988425926</v>
      </c>
      <c r="C557" s="1" t="n">
        <v>46092</v>
      </c>
      <c r="D557" t="inlineStr">
        <is>
          <t>JÄMTLANDS LÄN</t>
        </is>
      </c>
      <c r="E557" t="inlineStr">
        <is>
          <t>ÅRE</t>
        </is>
      </c>
      <c r="G557" t="n">
        <v>6.4</v>
      </c>
      <c r="H557" t="n">
        <v>0</v>
      </c>
      <c r="I557" t="n">
        <v>0</v>
      </c>
      <c r="J557" t="n">
        <v>0</v>
      </c>
      <c r="K557" t="n">
        <v>0</v>
      </c>
      <c r="L557" t="n">
        <v>0</v>
      </c>
      <c r="M557" t="n">
        <v>0</v>
      </c>
      <c r="N557" t="n">
        <v>0</v>
      </c>
      <c r="O557" t="n">
        <v>0</v>
      </c>
      <c r="P557" t="n">
        <v>0</v>
      </c>
      <c r="Q557" t="n">
        <v>0</v>
      </c>
      <c r="R557" s="2" t="inlineStr"/>
    </row>
    <row r="558" ht="15" customHeight="1">
      <c r="A558" t="inlineStr">
        <is>
          <t>A 12669-2023</t>
        </is>
      </c>
      <c r="B558" s="1" t="n">
        <v>45000</v>
      </c>
      <c r="C558" s="1" t="n">
        <v>46092</v>
      </c>
      <c r="D558" t="inlineStr">
        <is>
          <t>JÄMTLANDS LÄN</t>
        </is>
      </c>
      <c r="E558" t="inlineStr">
        <is>
          <t>ÅRE</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21897-2021</t>
        </is>
      </c>
      <c r="B559" s="1" t="n">
        <v>44322</v>
      </c>
      <c r="C559" s="1" t="n">
        <v>46092</v>
      </c>
      <c r="D559" t="inlineStr">
        <is>
          <t>JÄMTLANDS LÄN</t>
        </is>
      </c>
      <c r="E559" t="inlineStr">
        <is>
          <t>ÅRE</t>
        </is>
      </c>
      <c r="G559" t="n">
        <v>41.4</v>
      </c>
      <c r="H559" t="n">
        <v>0</v>
      </c>
      <c r="I559" t="n">
        <v>0</v>
      </c>
      <c r="J559" t="n">
        <v>0</v>
      </c>
      <c r="K559" t="n">
        <v>0</v>
      </c>
      <c r="L559" t="n">
        <v>0</v>
      </c>
      <c r="M559" t="n">
        <v>0</v>
      </c>
      <c r="N559" t="n">
        <v>0</v>
      </c>
      <c r="O559" t="n">
        <v>0</v>
      </c>
      <c r="P559" t="n">
        <v>0</v>
      </c>
      <c r="Q559" t="n">
        <v>0</v>
      </c>
      <c r="R559" s="2" t="inlineStr"/>
    </row>
    <row r="560" ht="15" customHeight="1">
      <c r="A560" t="inlineStr">
        <is>
          <t>A 49267-2024</t>
        </is>
      </c>
      <c r="B560" s="1" t="n">
        <v>45595</v>
      </c>
      <c r="C560" s="1" t="n">
        <v>46092</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13383-2022</t>
        </is>
      </c>
      <c r="B561" s="1" t="n">
        <v>44637</v>
      </c>
      <c r="C561" s="1" t="n">
        <v>46092</v>
      </c>
      <c r="D561" t="inlineStr">
        <is>
          <t>JÄMTLANDS LÄN</t>
        </is>
      </c>
      <c r="E561" t="inlineStr">
        <is>
          <t>ÅRE</t>
        </is>
      </c>
      <c r="G561" t="n">
        <v>2.2</v>
      </c>
      <c r="H561" t="n">
        <v>0</v>
      </c>
      <c r="I561" t="n">
        <v>0</v>
      </c>
      <c r="J561" t="n">
        <v>0</v>
      </c>
      <c r="K561" t="n">
        <v>0</v>
      </c>
      <c r="L561" t="n">
        <v>0</v>
      </c>
      <c r="M561" t="n">
        <v>0</v>
      </c>
      <c r="N561" t="n">
        <v>0</v>
      </c>
      <c r="O561" t="n">
        <v>0</v>
      </c>
      <c r="P561" t="n">
        <v>0</v>
      </c>
      <c r="Q561" t="n">
        <v>0</v>
      </c>
      <c r="R561" s="2" t="inlineStr"/>
    </row>
    <row r="562" ht="15" customHeight="1">
      <c r="A562" t="inlineStr">
        <is>
          <t>A 23805-2024</t>
        </is>
      </c>
      <c r="B562" s="1" t="n">
        <v>45455.44194444444</v>
      </c>
      <c r="C562" s="1" t="n">
        <v>46092</v>
      </c>
      <c r="D562" t="inlineStr">
        <is>
          <t>JÄMTLANDS LÄN</t>
        </is>
      </c>
      <c r="E562" t="inlineStr">
        <is>
          <t>ÅRE</t>
        </is>
      </c>
      <c r="G562" t="n">
        <v>1.5</v>
      </c>
      <c r="H562" t="n">
        <v>0</v>
      </c>
      <c r="I562" t="n">
        <v>0</v>
      </c>
      <c r="J562" t="n">
        <v>0</v>
      </c>
      <c r="K562" t="n">
        <v>0</v>
      </c>
      <c r="L562" t="n">
        <v>0</v>
      </c>
      <c r="M562" t="n">
        <v>0</v>
      </c>
      <c r="N562" t="n">
        <v>0</v>
      </c>
      <c r="O562" t="n">
        <v>0</v>
      </c>
      <c r="P562" t="n">
        <v>0</v>
      </c>
      <c r="Q562" t="n">
        <v>0</v>
      </c>
      <c r="R562" s="2" t="inlineStr"/>
    </row>
    <row r="563" ht="15" customHeight="1">
      <c r="A563" t="inlineStr">
        <is>
          <t>A 71043-2021</t>
        </is>
      </c>
      <c r="B563" s="1" t="n">
        <v>44538</v>
      </c>
      <c r="C563" s="1" t="n">
        <v>46092</v>
      </c>
      <c r="D563" t="inlineStr">
        <is>
          <t>JÄMTLANDS LÄN</t>
        </is>
      </c>
      <c r="E563" t="inlineStr">
        <is>
          <t>ÅRE</t>
        </is>
      </c>
      <c r="G563" t="n">
        <v>0.4</v>
      </c>
      <c r="H563" t="n">
        <v>0</v>
      </c>
      <c r="I563" t="n">
        <v>0</v>
      </c>
      <c r="J563" t="n">
        <v>0</v>
      </c>
      <c r="K563" t="n">
        <v>0</v>
      </c>
      <c r="L563" t="n">
        <v>0</v>
      </c>
      <c r="M563" t="n">
        <v>0</v>
      </c>
      <c r="N563" t="n">
        <v>0</v>
      </c>
      <c r="O563" t="n">
        <v>0</v>
      </c>
      <c r="P563" t="n">
        <v>0</v>
      </c>
      <c r="Q563" t="n">
        <v>0</v>
      </c>
      <c r="R563" s="2" t="inlineStr"/>
    </row>
    <row r="564" ht="15" customHeight="1">
      <c r="A564" t="inlineStr">
        <is>
          <t>A 17566-2023</t>
        </is>
      </c>
      <c r="B564" s="1" t="n">
        <v>45034</v>
      </c>
      <c r="C564" s="1" t="n">
        <v>46092</v>
      </c>
      <c r="D564" t="inlineStr">
        <is>
          <t>JÄMTLANDS LÄN</t>
        </is>
      </c>
      <c r="E564" t="inlineStr">
        <is>
          <t>ÅRE</t>
        </is>
      </c>
      <c r="G564" t="n">
        <v>4.8</v>
      </c>
      <c r="H564" t="n">
        <v>0</v>
      </c>
      <c r="I564" t="n">
        <v>0</v>
      </c>
      <c r="J564" t="n">
        <v>0</v>
      </c>
      <c r="K564" t="n">
        <v>0</v>
      </c>
      <c r="L564" t="n">
        <v>0</v>
      </c>
      <c r="M564" t="n">
        <v>0</v>
      </c>
      <c r="N564" t="n">
        <v>0</v>
      </c>
      <c r="O564" t="n">
        <v>0</v>
      </c>
      <c r="P564" t="n">
        <v>0</v>
      </c>
      <c r="Q564" t="n">
        <v>0</v>
      </c>
      <c r="R564" s="2" t="inlineStr"/>
    </row>
    <row r="565" ht="15" customHeight="1">
      <c r="A565" t="inlineStr">
        <is>
          <t>A 54186-2024</t>
        </is>
      </c>
      <c r="B565" s="1" t="n">
        <v>45616</v>
      </c>
      <c r="C565" s="1" t="n">
        <v>46092</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8443-2023</t>
        </is>
      </c>
      <c r="B566" s="1" t="n">
        <v>44977</v>
      </c>
      <c r="C566" s="1" t="n">
        <v>46092</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47069-2024</t>
        </is>
      </c>
      <c r="B567" s="1" t="n">
        <v>45586.48003472222</v>
      </c>
      <c r="C567" s="1" t="n">
        <v>46092</v>
      </c>
      <c r="D567" t="inlineStr">
        <is>
          <t>JÄMTLANDS LÄN</t>
        </is>
      </c>
      <c r="E567" t="inlineStr">
        <is>
          <t>ÅRE</t>
        </is>
      </c>
      <c r="G567" t="n">
        <v>7.1</v>
      </c>
      <c r="H567" t="n">
        <v>0</v>
      </c>
      <c r="I567" t="n">
        <v>0</v>
      </c>
      <c r="J567" t="n">
        <v>0</v>
      </c>
      <c r="K567" t="n">
        <v>0</v>
      </c>
      <c r="L567" t="n">
        <v>0</v>
      </c>
      <c r="M567" t="n">
        <v>0</v>
      </c>
      <c r="N567" t="n">
        <v>0</v>
      </c>
      <c r="O567" t="n">
        <v>0</v>
      </c>
      <c r="P567" t="n">
        <v>0</v>
      </c>
      <c r="Q567" t="n">
        <v>0</v>
      </c>
      <c r="R567" s="2" t="inlineStr"/>
    </row>
    <row r="568" ht="15" customHeight="1">
      <c r="A568" t="inlineStr">
        <is>
          <t>A 19275-2021</t>
        </is>
      </c>
      <c r="B568" s="1" t="n">
        <v>44309</v>
      </c>
      <c r="C568" s="1" t="n">
        <v>46092</v>
      </c>
      <c r="D568" t="inlineStr">
        <is>
          <t>JÄMTLANDS LÄN</t>
        </is>
      </c>
      <c r="E568" t="inlineStr">
        <is>
          <t>ÅRE</t>
        </is>
      </c>
      <c r="G568" t="n">
        <v>16.4</v>
      </c>
      <c r="H568" t="n">
        <v>0</v>
      </c>
      <c r="I568" t="n">
        <v>0</v>
      </c>
      <c r="J568" t="n">
        <v>0</v>
      </c>
      <c r="K568" t="n">
        <v>0</v>
      </c>
      <c r="L568" t="n">
        <v>0</v>
      </c>
      <c r="M568" t="n">
        <v>0</v>
      </c>
      <c r="N568" t="n">
        <v>0</v>
      </c>
      <c r="O568" t="n">
        <v>0</v>
      </c>
      <c r="P568" t="n">
        <v>0</v>
      </c>
      <c r="Q568" t="n">
        <v>0</v>
      </c>
      <c r="R568" s="2" t="inlineStr"/>
    </row>
    <row r="569" ht="15" customHeight="1">
      <c r="A569" t="inlineStr">
        <is>
          <t>A 3196-2023</t>
        </is>
      </c>
      <c r="B569" s="1" t="n">
        <v>44946</v>
      </c>
      <c r="C569" s="1" t="n">
        <v>46092</v>
      </c>
      <c r="D569" t="inlineStr">
        <is>
          <t>JÄMTLANDS LÄN</t>
        </is>
      </c>
      <c r="E569" t="inlineStr">
        <is>
          <t>ÅRE</t>
        </is>
      </c>
      <c r="G569" t="n">
        <v>5.1</v>
      </c>
      <c r="H569" t="n">
        <v>0</v>
      </c>
      <c r="I569" t="n">
        <v>0</v>
      </c>
      <c r="J569" t="n">
        <v>0</v>
      </c>
      <c r="K569" t="n">
        <v>0</v>
      </c>
      <c r="L569" t="n">
        <v>0</v>
      </c>
      <c r="M569" t="n">
        <v>0</v>
      </c>
      <c r="N569" t="n">
        <v>0</v>
      </c>
      <c r="O569" t="n">
        <v>0</v>
      </c>
      <c r="P569" t="n">
        <v>0</v>
      </c>
      <c r="Q569" t="n">
        <v>0</v>
      </c>
      <c r="R569" s="2" t="inlineStr"/>
    </row>
    <row r="570" ht="15" customHeight="1">
      <c r="A570" t="inlineStr">
        <is>
          <t>A 56736-2023</t>
        </is>
      </c>
      <c r="B570" s="1" t="n">
        <v>45244</v>
      </c>
      <c r="C570" s="1" t="n">
        <v>46092</v>
      </c>
      <c r="D570" t="inlineStr">
        <is>
          <t>JÄMTLANDS LÄN</t>
        </is>
      </c>
      <c r="E570" t="inlineStr">
        <is>
          <t>ÅRE</t>
        </is>
      </c>
      <c r="F570" t="inlineStr">
        <is>
          <t>Övriga Aktiebolag</t>
        </is>
      </c>
      <c r="G570" t="n">
        <v>10.7</v>
      </c>
      <c r="H570" t="n">
        <v>0</v>
      </c>
      <c r="I570" t="n">
        <v>0</v>
      </c>
      <c r="J570" t="n">
        <v>0</v>
      </c>
      <c r="K570" t="n">
        <v>0</v>
      </c>
      <c r="L570" t="n">
        <v>0</v>
      </c>
      <c r="M570" t="n">
        <v>0</v>
      </c>
      <c r="N570" t="n">
        <v>0</v>
      </c>
      <c r="O570" t="n">
        <v>0</v>
      </c>
      <c r="P570" t="n">
        <v>0</v>
      </c>
      <c r="Q570" t="n">
        <v>0</v>
      </c>
      <c r="R570" s="2" t="inlineStr"/>
    </row>
    <row r="571" ht="15" customHeight="1">
      <c r="A571" t="inlineStr">
        <is>
          <t>A 51317-2023</t>
        </is>
      </c>
      <c r="B571" s="1" t="n">
        <v>45219.57061342592</v>
      </c>
      <c r="C571" s="1" t="n">
        <v>46092</v>
      </c>
      <c r="D571" t="inlineStr">
        <is>
          <t>JÄMTLANDS LÄN</t>
        </is>
      </c>
      <c r="E571" t="inlineStr">
        <is>
          <t>ÅRE</t>
        </is>
      </c>
      <c r="G571" t="n">
        <v>2.9</v>
      </c>
      <c r="H571" t="n">
        <v>0</v>
      </c>
      <c r="I571" t="n">
        <v>0</v>
      </c>
      <c r="J571" t="n">
        <v>0</v>
      </c>
      <c r="K571" t="n">
        <v>0</v>
      </c>
      <c r="L571" t="n">
        <v>0</v>
      </c>
      <c r="M571" t="n">
        <v>0</v>
      </c>
      <c r="N571" t="n">
        <v>0</v>
      </c>
      <c r="O571" t="n">
        <v>0</v>
      </c>
      <c r="P571" t="n">
        <v>0</v>
      </c>
      <c r="Q571" t="n">
        <v>0</v>
      </c>
      <c r="R571" s="2" t="inlineStr"/>
    </row>
    <row r="572" ht="15" customHeight="1">
      <c r="A572" t="inlineStr">
        <is>
          <t>A 15482-2024</t>
        </is>
      </c>
      <c r="B572" s="1" t="n">
        <v>45401.49361111111</v>
      </c>
      <c r="C572" s="1" t="n">
        <v>46092</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73800-2021</t>
        </is>
      </c>
      <c r="B573" s="1" t="n">
        <v>44552</v>
      </c>
      <c r="C573" s="1" t="n">
        <v>46092</v>
      </c>
      <c r="D573" t="inlineStr">
        <is>
          <t>JÄMTLANDS LÄN</t>
        </is>
      </c>
      <c r="E573" t="inlineStr">
        <is>
          <t>ÅRE</t>
        </is>
      </c>
      <c r="G573" t="n">
        <v>8.6</v>
      </c>
      <c r="H573" t="n">
        <v>0</v>
      </c>
      <c r="I573" t="n">
        <v>0</v>
      </c>
      <c r="J573" t="n">
        <v>0</v>
      </c>
      <c r="K573" t="n">
        <v>0</v>
      </c>
      <c r="L573" t="n">
        <v>0</v>
      </c>
      <c r="M573" t="n">
        <v>0</v>
      </c>
      <c r="N573" t="n">
        <v>0</v>
      </c>
      <c r="O573" t="n">
        <v>0</v>
      </c>
      <c r="P573" t="n">
        <v>0</v>
      </c>
      <c r="Q573" t="n">
        <v>0</v>
      </c>
      <c r="R573" s="2" t="inlineStr"/>
    </row>
    <row r="574" ht="15" customHeight="1">
      <c r="A574" t="inlineStr">
        <is>
          <t>A 33003-2022</t>
        </is>
      </c>
      <c r="B574" s="1" t="n">
        <v>44784</v>
      </c>
      <c r="C574" s="1" t="n">
        <v>46092</v>
      </c>
      <c r="D574" t="inlineStr">
        <is>
          <t>JÄMTLANDS LÄN</t>
        </is>
      </c>
      <c r="E574" t="inlineStr">
        <is>
          <t>ÅRE</t>
        </is>
      </c>
      <c r="G574" t="n">
        <v>6.1</v>
      </c>
      <c r="H574" t="n">
        <v>0</v>
      </c>
      <c r="I574" t="n">
        <v>0</v>
      </c>
      <c r="J574" t="n">
        <v>0</v>
      </c>
      <c r="K574" t="n">
        <v>0</v>
      </c>
      <c r="L574" t="n">
        <v>0</v>
      </c>
      <c r="M574" t="n">
        <v>0</v>
      </c>
      <c r="N574" t="n">
        <v>0</v>
      </c>
      <c r="O574" t="n">
        <v>0</v>
      </c>
      <c r="P574" t="n">
        <v>0</v>
      </c>
      <c r="Q574" t="n">
        <v>0</v>
      </c>
      <c r="R574" s="2" t="inlineStr"/>
    </row>
    <row r="575" ht="15" customHeight="1">
      <c r="A575" t="inlineStr">
        <is>
          <t>A 32758-2022</t>
        </is>
      </c>
      <c r="B575" s="1" t="n">
        <v>44783</v>
      </c>
      <c r="C575" s="1" t="n">
        <v>46092</v>
      </c>
      <c r="D575" t="inlineStr">
        <is>
          <t>JÄMTLANDS LÄN</t>
        </is>
      </c>
      <c r="E575" t="inlineStr">
        <is>
          <t>ÅRE</t>
        </is>
      </c>
      <c r="G575" t="n">
        <v>8.4</v>
      </c>
      <c r="H575" t="n">
        <v>0</v>
      </c>
      <c r="I575" t="n">
        <v>0</v>
      </c>
      <c r="J575" t="n">
        <v>0</v>
      </c>
      <c r="K575" t="n">
        <v>0</v>
      </c>
      <c r="L575" t="n">
        <v>0</v>
      </c>
      <c r="M575" t="n">
        <v>0</v>
      </c>
      <c r="N575" t="n">
        <v>0</v>
      </c>
      <c r="O575" t="n">
        <v>0</v>
      </c>
      <c r="P575" t="n">
        <v>0</v>
      </c>
      <c r="Q575" t="n">
        <v>0</v>
      </c>
      <c r="R575" s="2" t="inlineStr"/>
    </row>
    <row r="576" ht="15" customHeight="1">
      <c r="A576" t="inlineStr">
        <is>
          <t>A 33239-2024</t>
        </is>
      </c>
      <c r="B576" s="1" t="n">
        <v>45518.59618055556</v>
      </c>
      <c r="C576" s="1" t="n">
        <v>46092</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39195-2024</t>
        </is>
      </c>
      <c r="B577" s="1" t="n">
        <v>45548.6934837963</v>
      </c>
      <c r="C577" s="1" t="n">
        <v>46092</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5923-2022</t>
        </is>
      </c>
      <c r="B578" s="1" t="n">
        <v>44598.64403935185</v>
      </c>
      <c r="C578" s="1" t="n">
        <v>46092</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8576-2024</t>
        </is>
      </c>
      <c r="B579" s="1" t="n">
        <v>45355</v>
      </c>
      <c r="C579" s="1" t="n">
        <v>46092</v>
      </c>
      <c r="D579" t="inlineStr">
        <is>
          <t>JÄMTLANDS LÄN</t>
        </is>
      </c>
      <c r="E579" t="inlineStr">
        <is>
          <t>ÅRE</t>
        </is>
      </c>
      <c r="G579" t="n">
        <v>21.7</v>
      </c>
      <c r="H579" t="n">
        <v>0</v>
      </c>
      <c r="I579" t="n">
        <v>0</v>
      </c>
      <c r="J579" t="n">
        <v>0</v>
      </c>
      <c r="K579" t="n">
        <v>0</v>
      </c>
      <c r="L579" t="n">
        <v>0</v>
      </c>
      <c r="M579" t="n">
        <v>0</v>
      </c>
      <c r="N579" t="n">
        <v>0</v>
      </c>
      <c r="O579" t="n">
        <v>0</v>
      </c>
      <c r="P579" t="n">
        <v>0</v>
      </c>
      <c r="Q579" t="n">
        <v>0</v>
      </c>
      <c r="R579" s="2" t="inlineStr"/>
    </row>
    <row r="580" ht="15" customHeight="1">
      <c r="A580" t="inlineStr">
        <is>
          <t>A 8788-2025</t>
        </is>
      </c>
      <c r="B580" s="1" t="n">
        <v>45712</v>
      </c>
      <c r="C580" s="1" t="n">
        <v>46092</v>
      </c>
      <c r="D580" t="inlineStr">
        <is>
          <t>JÄMTLANDS LÄN</t>
        </is>
      </c>
      <c r="E580" t="inlineStr">
        <is>
          <t>ÅRE</t>
        </is>
      </c>
      <c r="G580" t="n">
        <v>2.7</v>
      </c>
      <c r="H580" t="n">
        <v>0</v>
      </c>
      <c r="I580" t="n">
        <v>0</v>
      </c>
      <c r="J580" t="n">
        <v>0</v>
      </c>
      <c r="K580" t="n">
        <v>0</v>
      </c>
      <c r="L580" t="n">
        <v>0</v>
      </c>
      <c r="M580" t="n">
        <v>0</v>
      </c>
      <c r="N580" t="n">
        <v>0</v>
      </c>
      <c r="O580" t="n">
        <v>0</v>
      </c>
      <c r="P580" t="n">
        <v>0</v>
      </c>
      <c r="Q580" t="n">
        <v>0</v>
      </c>
      <c r="R580" s="2" t="inlineStr"/>
    </row>
    <row r="581" ht="15" customHeight="1">
      <c r="A581" t="inlineStr">
        <is>
          <t>A 32210-2022</t>
        </is>
      </c>
      <c r="B581" s="1" t="n">
        <v>44781</v>
      </c>
      <c r="C581" s="1" t="n">
        <v>46092</v>
      </c>
      <c r="D581" t="inlineStr">
        <is>
          <t>JÄMTLANDS LÄN</t>
        </is>
      </c>
      <c r="E581" t="inlineStr">
        <is>
          <t>ÅRE</t>
        </is>
      </c>
      <c r="G581" t="n">
        <v>17.3</v>
      </c>
      <c r="H581" t="n">
        <v>0</v>
      </c>
      <c r="I581" t="n">
        <v>0</v>
      </c>
      <c r="J581" t="n">
        <v>0</v>
      </c>
      <c r="K581" t="n">
        <v>0</v>
      </c>
      <c r="L581" t="n">
        <v>0</v>
      </c>
      <c r="M581" t="n">
        <v>0</v>
      </c>
      <c r="N581" t="n">
        <v>0</v>
      </c>
      <c r="O581" t="n">
        <v>0</v>
      </c>
      <c r="P581" t="n">
        <v>0</v>
      </c>
      <c r="Q581" t="n">
        <v>0</v>
      </c>
      <c r="R581" s="2" t="inlineStr"/>
    </row>
    <row r="582" ht="15" customHeight="1">
      <c r="A582" t="inlineStr">
        <is>
          <t>A 3147-2023</t>
        </is>
      </c>
      <c r="B582" s="1" t="n">
        <v>44946</v>
      </c>
      <c r="C582" s="1" t="n">
        <v>46092</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56576-2022</t>
        </is>
      </c>
      <c r="B583" s="1" t="n">
        <v>44893</v>
      </c>
      <c r="C583" s="1" t="n">
        <v>46092</v>
      </c>
      <c r="D583" t="inlineStr">
        <is>
          <t>JÄMTLANDS LÄN</t>
        </is>
      </c>
      <c r="E583" t="inlineStr">
        <is>
          <t>ÅRE</t>
        </is>
      </c>
      <c r="F583" t="inlineStr">
        <is>
          <t>Övriga Aktiebolag</t>
        </is>
      </c>
      <c r="G583" t="n">
        <v>1.1</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46092</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13841-2024</t>
        </is>
      </c>
      <c r="B585" s="1" t="n">
        <v>45391</v>
      </c>
      <c r="C585" s="1" t="n">
        <v>46092</v>
      </c>
      <c r="D585" t="inlineStr">
        <is>
          <t>JÄMTLANDS LÄN</t>
        </is>
      </c>
      <c r="E585" t="inlineStr">
        <is>
          <t>ÅRE</t>
        </is>
      </c>
      <c r="G585" t="n">
        <v>6.7</v>
      </c>
      <c r="H585" t="n">
        <v>0</v>
      </c>
      <c r="I585" t="n">
        <v>0</v>
      </c>
      <c r="J585" t="n">
        <v>0</v>
      </c>
      <c r="K585" t="n">
        <v>0</v>
      </c>
      <c r="L585" t="n">
        <v>0</v>
      </c>
      <c r="M585" t="n">
        <v>0</v>
      </c>
      <c r="N585" t="n">
        <v>0</v>
      </c>
      <c r="O585" t="n">
        <v>0</v>
      </c>
      <c r="P585" t="n">
        <v>0</v>
      </c>
      <c r="Q585" t="n">
        <v>0</v>
      </c>
      <c r="R585" s="2" t="inlineStr"/>
    </row>
    <row r="586" ht="15" customHeight="1">
      <c r="A586" t="inlineStr">
        <is>
          <t>A 45242-2023</t>
        </is>
      </c>
      <c r="B586" s="1" t="n">
        <v>45187</v>
      </c>
      <c r="C586" s="1" t="n">
        <v>46092</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40336-2021</t>
        </is>
      </c>
      <c r="B587" s="1" t="n">
        <v>44419</v>
      </c>
      <c r="C587" s="1" t="n">
        <v>46092</v>
      </c>
      <c r="D587" t="inlineStr">
        <is>
          <t>JÄMTLANDS LÄN</t>
        </is>
      </c>
      <c r="E587" t="inlineStr">
        <is>
          <t>ÅRE</t>
        </is>
      </c>
      <c r="G587" t="n">
        <v>1.1</v>
      </c>
      <c r="H587" t="n">
        <v>0</v>
      </c>
      <c r="I587" t="n">
        <v>0</v>
      </c>
      <c r="J587" t="n">
        <v>0</v>
      </c>
      <c r="K587" t="n">
        <v>0</v>
      </c>
      <c r="L587" t="n">
        <v>0</v>
      </c>
      <c r="M587" t="n">
        <v>0</v>
      </c>
      <c r="N587" t="n">
        <v>0</v>
      </c>
      <c r="O587" t="n">
        <v>0</v>
      </c>
      <c r="P587" t="n">
        <v>0</v>
      </c>
      <c r="Q587" t="n">
        <v>0</v>
      </c>
      <c r="R587" s="2" t="inlineStr"/>
    </row>
    <row r="588" ht="15" customHeight="1">
      <c r="A588" t="inlineStr">
        <is>
          <t>A 7970-2023</t>
        </is>
      </c>
      <c r="B588" s="1" t="n">
        <v>44970</v>
      </c>
      <c r="C588" s="1" t="n">
        <v>46092</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44609-2024</t>
        </is>
      </c>
      <c r="B589" s="1" t="n">
        <v>45574.51212962963</v>
      </c>
      <c r="C589" s="1" t="n">
        <v>46092</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43449-2023</t>
        </is>
      </c>
      <c r="B590" s="1" t="n">
        <v>45184.36697916667</v>
      </c>
      <c r="C590" s="1" t="n">
        <v>46092</v>
      </c>
      <c r="D590" t="inlineStr">
        <is>
          <t>JÄMTLANDS LÄN</t>
        </is>
      </c>
      <c r="E590" t="inlineStr">
        <is>
          <t>ÅRE</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52707-2022</t>
        </is>
      </c>
      <c r="B591" s="1" t="n">
        <v>44874</v>
      </c>
      <c r="C591" s="1" t="n">
        <v>46092</v>
      </c>
      <c r="D591" t="inlineStr">
        <is>
          <t>JÄMTLANDS LÄN</t>
        </is>
      </c>
      <c r="E591" t="inlineStr">
        <is>
          <t>ÅRE</t>
        </is>
      </c>
      <c r="F591" t="inlineStr">
        <is>
          <t>Övriga Aktiebolag</t>
        </is>
      </c>
      <c r="G591" t="n">
        <v>2.3</v>
      </c>
      <c r="H591" t="n">
        <v>0</v>
      </c>
      <c r="I591" t="n">
        <v>0</v>
      </c>
      <c r="J591" t="n">
        <v>0</v>
      </c>
      <c r="K591" t="n">
        <v>0</v>
      </c>
      <c r="L591" t="n">
        <v>0</v>
      </c>
      <c r="M591" t="n">
        <v>0</v>
      </c>
      <c r="N591" t="n">
        <v>0</v>
      </c>
      <c r="O591" t="n">
        <v>0</v>
      </c>
      <c r="P591" t="n">
        <v>0</v>
      </c>
      <c r="Q591" t="n">
        <v>0</v>
      </c>
      <c r="R591" s="2" t="inlineStr"/>
    </row>
    <row r="592" ht="15" customHeight="1">
      <c r="A592" t="inlineStr">
        <is>
          <t>A 59387-2022</t>
        </is>
      </c>
      <c r="B592" s="1" t="n">
        <v>44905</v>
      </c>
      <c r="C592" s="1" t="n">
        <v>46092</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42136-2022</t>
        </is>
      </c>
      <c r="B593" s="1" t="n">
        <v>44830</v>
      </c>
      <c r="C593" s="1" t="n">
        <v>46092</v>
      </c>
      <c r="D593" t="inlineStr">
        <is>
          <t>JÄMTLANDS LÄN</t>
        </is>
      </c>
      <c r="E593" t="inlineStr">
        <is>
          <t>ÅRE</t>
        </is>
      </c>
      <c r="F593" t="inlineStr">
        <is>
          <t>Bergvik skog öst AB</t>
        </is>
      </c>
      <c r="G593" t="n">
        <v>3.1</v>
      </c>
      <c r="H593" t="n">
        <v>0</v>
      </c>
      <c r="I593" t="n">
        <v>0</v>
      </c>
      <c r="J593" t="n">
        <v>0</v>
      </c>
      <c r="K593" t="n">
        <v>0</v>
      </c>
      <c r="L593" t="n">
        <v>0</v>
      </c>
      <c r="M593" t="n">
        <v>0</v>
      </c>
      <c r="N593" t="n">
        <v>0</v>
      </c>
      <c r="O593" t="n">
        <v>0</v>
      </c>
      <c r="P593" t="n">
        <v>0</v>
      </c>
      <c r="Q593" t="n">
        <v>0</v>
      </c>
      <c r="R593" s="2" t="inlineStr"/>
    </row>
    <row r="594" ht="15" customHeight="1">
      <c r="A594" t="inlineStr">
        <is>
          <t>A 52470-2022</t>
        </is>
      </c>
      <c r="B594" s="1" t="n">
        <v>44874.48167824074</v>
      </c>
      <c r="C594" s="1" t="n">
        <v>46092</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54615-2022</t>
        </is>
      </c>
      <c r="B595" s="1" t="n">
        <v>44883.36125</v>
      </c>
      <c r="C595" s="1" t="n">
        <v>46092</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23561-2021</t>
        </is>
      </c>
      <c r="B596" s="1" t="n">
        <v>44334</v>
      </c>
      <c r="C596" s="1" t="n">
        <v>46092</v>
      </c>
      <c r="D596" t="inlineStr">
        <is>
          <t>JÄMTLANDS LÄN</t>
        </is>
      </c>
      <c r="E596" t="inlineStr">
        <is>
          <t>ÅRE</t>
        </is>
      </c>
      <c r="G596" t="n">
        <v>8.5</v>
      </c>
      <c r="H596" t="n">
        <v>0</v>
      </c>
      <c r="I596" t="n">
        <v>0</v>
      </c>
      <c r="J596" t="n">
        <v>0</v>
      </c>
      <c r="K596" t="n">
        <v>0</v>
      </c>
      <c r="L596" t="n">
        <v>0</v>
      </c>
      <c r="M596" t="n">
        <v>0</v>
      </c>
      <c r="N596" t="n">
        <v>0</v>
      </c>
      <c r="O596" t="n">
        <v>0</v>
      </c>
      <c r="P596" t="n">
        <v>0</v>
      </c>
      <c r="Q596" t="n">
        <v>0</v>
      </c>
      <c r="R596" s="2" t="inlineStr"/>
    </row>
    <row r="597" ht="15" customHeight="1">
      <c r="A597" t="inlineStr">
        <is>
          <t>A 33117-2023</t>
        </is>
      </c>
      <c r="B597" s="1" t="n">
        <v>45126</v>
      </c>
      <c r="C597" s="1" t="n">
        <v>46092</v>
      </c>
      <c r="D597" t="inlineStr">
        <is>
          <t>JÄMTLANDS LÄN</t>
        </is>
      </c>
      <c r="E597" t="inlineStr">
        <is>
          <t>ÅRE</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61566-2021</t>
        </is>
      </c>
      <c r="B598" s="1" t="n">
        <v>44496</v>
      </c>
      <c r="C598" s="1" t="n">
        <v>46092</v>
      </c>
      <c r="D598" t="inlineStr">
        <is>
          <t>JÄMTLANDS LÄN</t>
        </is>
      </c>
      <c r="E598" t="inlineStr">
        <is>
          <t>ÅRE</t>
        </is>
      </c>
      <c r="F598" t="inlineStr">
        <is>
          <t>Övriga statliga verk och myndigheter</t>
        </is>
      </c>
      <c r="G598" t="n">
        <v>10.9</v>
      </c>
      <c r="H598" t="n">
        <v>0</v>
      </c>
      <c r="I598" t="n">
        <v>0</v>
      </c>
      <c r="J598" t="n">
        <v>0</v>
      </c>
      <c r="K598" t="n">
        <v>0</v>
      </c>
      <c r="L598" t="n">
        <v>0</v>
      </c>
      <c r="M598" t="n">
        <v>0</v>
      </c>
      <c r="N598" t="n">
        <v>0</v>
      </c>
      <c r="O598" t="n">
        <v>0</v>
      </c>
      <c r="P598" t="n">
        <v>0</v>
      </c>
      <c r="Q598" t="n">
        <v>0</v>
      </c>
      <c r="R598" s="2" t="inlineStr"/>
    </row>
    <row r="599" ht="15" customHeight="1">
      <c r="A599" t="inlineStr">
        <is>
          <t>A 29177-2024</t>
        </is>
      </c>
      <c r="B599" s="1" t="n">
        <v>45482.53859953704</v>
      </c>
      <c r="C599" s="1" t="n">
        <v>46092</v>
      </c>
      <c r="D599" t="inlineStr">
        <is>
          <t>JÄMTLANDS LÄN</t>
        </is>
      </c>
      <c r="E599" t="inlineStr">
        <is>
          <t>ÅRE</t>
        </is>
      </c>
      <c r="G599" t="n">
        <v>2.5</v>
      </c>
      <c r="H599" t="n">
        <v>0</v>
      </c>
      <c r="I599" t="n">
        <v>0</v>
      </c>
      <c r="J599" t="n">
        <v>0</v>
      </c>
      <c r="K599" t="n">
        <v>0</v>
      </c>
      <c r="L599" t="n">
        <v>0</v>
      </c>
      <c r="M599" t="n">
        <v>0</v>
      </c>
      <c r="N599" t="n">
        <v>0</v>
      </c>
      <c r="O599" t="n">
        <v>0</v>
      </c>
      <c r="P599" t="n">
        <v>0</v>
      </c>
      <c r="Q599" t="n">
        <v>0</v>
      </c>
      <c r="R599" s="2" t="inlineStr"/>
    </row>
    <row r="600" ht="15" customHeight="1">
      <c r="A600" t="inlineStr">
        <is>
          <t>A 4272-2025</t>
        </is>
      </c>
      <c r="B600" s="1" t="n">
        <v>45685</v>
      </c>
      <c r="C600" s="1" t="n">
        <v>46092</v>
      </c>
      <c r="D600" t="inlineStr">
        <is>
          <t>JÄMTLANDS LÄN</t>
        </is>
      </c>
      <c r="E600" t="inlineStr">
        <is>
          <t>ÅRE</t>
        </is>
      </c>
      <c r="F600" t="inlineStr">
        <is>
          <t>Övriga Aktiebolag</t>
        </is>
      </c>
      <c r="G600" t="n">
        <v>16.6</v>
      </c>
      <c r="H600" t="n">
        <v>0</v>
      </c>
      <c r="I600" t="n">
        <v>0</v>
      </c>
      <c r="J600" t="n">
        <v>0</v>
      </c>
      <c r="K600" t="n">
        <v>0</v>
      </c>
      <c r="L600" t="n">
        <v>0</v>
      </c>
      <c r="M600" t="n">
        <v>0</v>
      </c>
      <c r="N600" t="n">
        <v>0</v>
      </c>
      <c r="O600" t="n">
        <v>0</v>
      </c>
      <c r="P600" t="n">
        <v>0</v>
      </c>
      <c r="Q600" t="n">
        <v>0</v>
      </c>
      <c r="R600" s="2" t="inlineStr"/>
    </row>
    <row r="601" ht="15" customHeight="1">
      <c r="A601" t="inlineStr">
        <is>
          <t>A 7573-2023</t>
        </is>
      </c>
      <c r="B601" s="1" t="n">
        <v>44967</v>
      </c>
      <c r="C601" s="1" t="n">
        <v>46092</v>
      </c>
      <c r="D601" t="inlineStr">
        <is>
          <t>JÄMTLANDS LÄN</t>
        </is>
      </c>
      <c r="E601" t="inlineStr">
        <is>
          <t>ÅRE</t>
        </is>
      </c>
      <c r="G601" t="n">
        <v>7</v>
      </c>
      <c r="H601" t="n">
        <v>0</v>
      </c>
      <c r="I601" t="n">
        <v>0</v>
      </c>
      <c r="J601" t="n">
        <v>0</v>
      </c>
      <c r="K601" t="n">
        <v>0</v>
      </c>
      <c r="L601" t="n">
        <v>0</v>
      </c>
      <c r="M601" t="n">
        <v>0</v>
      </c>
      <c r="N601" t="n">
        <v>0</v>
      </c>
      <c r="O601" t="n">
        <v>0</v>
      </c>
      <c r="P601" t="n">
        <v>0</v>
      </c>
      <c r="Q601" t="n">
        <v>0</v>
      </c>
      <c r="R601" s="2" t="inlineStr"/>
    </row>
    <row r="602" ht="15" customHeight="1">
      <c r="A602" t="inlineStr">
        <is>
          <t>A 43342-2024</t>
        </is>
      </c>
      <c r="B602" s="1" t="n">
        <v>45568.55114583333</v>
      </c>
      <c r="C602" s="1" t="n">
        <v>46092</v>
      </c>
      <c r="D602" t="inlineStr">
        <is>
          <t>JÄMTLANDS LÄN</t>
        </is>
      </c>
      <c r="E602" t="inlineStr">
        <is>
          <t>ÅRE</t>
        </is>
      </c>
      <c r="F602" t="inlineStr">
        <is>
          <t>Övriga Aktiebolag</t>
        </is>
      </c>
      <c r="G602" t="n">
        <v>4.8</v>
      </c>
      <c r="H602" t="n">
        <v>0</v>
      </c>
      <c r="I602" t="n">
        <v>0</v>
      </c>
      <c r="J602" t="n">
        <v>0</v>
      </c>
      <c r="K602" t="n">
        <v>0</v>
      </c>
      <c r="L602" t="n">
        <v>0</v>
      </c>
      <c r="M602" t="n">
        <v>0</v>
      </c>
      <c r="N602" t="n">
        <v>0</v>
      </c>
      <c r="O602" t="n">
        <v>0</v>
      </c>
      <c r="P602" t="n">
        <v>0</v>
      </c>
      <c r="Q602" t="n">
        <v>0</v>
      </c>
      <c r="R602" s="2" t="inlineStr"/>
    </row>
    <row r="603" ht="15" customHeight="1">
      <c r="A603" t="inlineStr">
        <is>
          <t>A 13039-2024</t>
        </is>
      </c>
      <c r="B603" s="1" t="n">
        <v>45385</v>
      </c>
      <c r="C603" s="1" t="n">
        <v>46092</v>
      </c>
      <c r="D603" t="inlineStr">
        <is>
          <t>JÄMTLANDS LÄN</t>
        </is>
      </c>
      <c r="E603" t="inlineStr">
        <is>
          <t>ÅRE</t>
        </is>
      </c>
      <c r="G603" t="n">
        <v>1.8</v>
      </c>
      <c r="H603" t="n">
        <v>0</v>
      </c>
      <c r="I603" t="n">
        <v>0</v>
      </c>
      <c r="J603" t="n">
        <v>0</v>
      </c>
      <c r="K603" t="n">
        <v>0</v>
      </c>
      <c r="L603" t="n">
        <v>0</v>
      </c>
      <c r="M603" t="n">
        <v>0</v>
      </c>
      <c r="N603" t="n">
        <v>0</v>
      </c>
      <c r="O603" t="n">
        <v>0</v>
      </c>
      <c r="P603" t="n">
        <v>0</v>
      </c>
      <c r="Q603" t="n">
        <v>0</v>
      </c>
      <c r="R603" s="2" t="inlineStr"/>
    </row>
    <row r="604" ht="15" customHeight="1">
      <c r="A604" t="inlineStr">
        <is>
          <t>A 36219-2022</t>
        </is>
      </c>
      <c r="B604" s="1" t="n">
        <v>44803</v>
      </c>
      <c r="C604" s="1" t="n">
        <v>46092</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38268-2024</t>
        </is>
      </c>
      <c r="B605" s="1" t="n">
        <v>45545.59842592593</v>
      </c>
      <c r="C605" s="1" t="n">
        <v>46092</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60962-2023</t>
        </is>
      </c>
      <c r="B606" s="1" t="n">
        <v>45261.46787037037</v>
      </c>
      <c r="C606" s="1" t="n">
        <v>46092</v>
      </c>
      <c r="D606" t="inlineStr">
        <is>
          <t>JÄMTLANDS LÄN</t>
        </is>
      </c>
      <c r="E606" t="inlineStr">
        <is>
          <t>ÅRE</t>
        </is>
      </c>
      <c r="G606" t="n">
        <v>3.2</v>
      </c>
      <c r="H606" t="n">
        <v>0</v>
      </c>
      <c r="I606" t="n">
        <v>0</v>
      </c>
      <c r="J606" t="n">
        <v>0</v>
      </c>
      <c r="K606" t="n">
        <v>0</v>
      </c>
      <c r="L606" t="n">
        <v>0</v>
      </c>
      <c r="M606" t="n">
        <v>0</v>
      </c>
      <c r="N606" t="n">
        <v>0</v>
      </c>
      <c r="O606" t="n">
        <v>0</v>
      </c>
      <c r="P606" t="n">
        <v>0</v>
      </c>
      <c r="Q606" t="n">
        <v>0</v>
      </c>
      <c r="R606" s="2" t="inlineStr"/>
    </row>
    <row r="607" ht="15" customHeight="1">
      <c r="A607" t="inlineStr">
        <is>
          <t>A 60973-2023</t>
        </is>
      </c>
      <c r="B607" s="1" t="n">
        <v>45261.47321759259</v>
      </c>
      <c r="C607" s="1" t="n">
        <v>46092</v>
      </c>
      <c r="D607" t="inlineStr">
        <is>
          <t>JÄMTLANDS LÄN</t>
        </is>
      </c>
      <c r="E607" t="inlineStr">
        <is>
          <t>ÅRE</t>
        </is>
      </c>
      <c r="G607" t="n">
        <v>3.1</v>
      </c>
      <c r="H607" t="n">
        <v>0</v>
      </c>
      <c r="I607" t="n">
        <v>0</v>
      </c>
      <c r="J607" t="n">
        <v>0</v>
      </c>
      <c r="K607" t="n">
        <v>0</v>
      </c>
      <c r="L607" t="n">
        <v>0</v>
      </c>
      <c r="M607" t="n">
        <v>0</v>
      </c>
      <c r="N607" t="n">
        <v>0</v>
      </c>
      <c r="O607" t="n">
        <v>0</v>
      </c>
      <c r="P607" t="n">
        <v>0</v>
      </c>
      <c r="Q607" t="n">
        <v>0</v>
      </c>
      <c r="R607" s="2" t="inlineStr"/>
    </row>
    <row r="608" ht="15" customHeight="1">
      <c r="A608" t="inlineStr">
        <is>
          <t>A 59352-2021</t>
        </is>
      </c>
      <c r="B608" s="1" t="n">
        <v>44490</v>
      </c>
      <c r="C608" s="1" t="n">
        <v>46092</v>
      </c>
      <c r="D608" t="inlineStr">
        <is>
          <t>JÄMTLANDS LÄN</t>
        </is>
      </c>
      <c r="E608" t="inlineStr">
        <is>
          <t>ÅRE</t>
        </is>
      </c>
      <c r="G608" t="n">
        <v>0.4</v>
      </c>
      <c r="H608" t="n">
        <v>0</v>
      </c>
      <c r="I608" t="n">
        <v>0</v>
      </c>
      <c r="J608" t="n">
        <v>0</v>
      </c>
      <c r="K608" t="n">
        <v>0</v>
      </c>
      <c r="L608" t="n">
        <v>0</v>
      </c>
      <c r="M608" t="n">
        <v>0</v>
      </c>
      <c r="N608" t="n">
        <v>0</v>
      </c>
      <c r="O608" t="n">
        <v>0</v>
      </c>
      <c r="P608" t="n">
        <v>0</v>
      </c>
      <c r="Q608" t="n">
        <v>0</v>
      </c>
      <c r="R608" s="2" t="inlineStr"/>
    </row>
    <row r="609" ht="15" customHeight="1">
      <c r="A609" t="inlineStr">
        <is>
          <t>A 57158-2021</t>
        </is>
      </c>
      <c r="B609" s="1" t="n">
        <v>44482</v>
      </c>
      <c r="C609" s="1" t="n">
        <v>46092</v>
      </c>
      <c r="D609" t="inlineStr">
        <is>
          <t>JÄMTLANDS LÄN</t>
        </is>
      </c>
      <c r="E609" t="inlineStr">
        <is>
          <t>ÅRE</t>
        </is>
      </c>
      <c r="G609" t="n">
        <v>0.4</v>
      </c>
      <c r="H609" t="n">
        <v>0</v>
      </c>
      <c r="I609" t="n">
        <v>0</v>
      </c>
      <c r="J609" t="n">
        <v>0</v>
      </c>
      <c r="K609" t="n">
        <v>0</v>
      </c>
      <c r="L609" t="n">
        <v>0</v>
      </c>
      <c r="M609" t="n">
        <v>0</v>
      </c>
      <c r="N609" t="n">
        <v>0</v>
      </c>
      <c r="O609" t="n">
        <v>0</v>
      </c>
      <c r="P609" t="n">
        <v>0</v>
      </c>
      <c r="Q609" t="n">
        <v>0</v>
      </c>
      <c r="R609" s="2" t="inlineStr"/>
    </row>
    <row r="610" ht="15" customHeight="1">
      <c r="A610" t="inlineStr">
        <is>
          <t>A 40339-2021</t>
        </is>
      </c>
      <c r="B610" s="1" t="n">
        <v>44419</v>
      </c>
      <c r="C610" s="1" t="n">
        <v>46092</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376-2024</t>
        </is>
      </c>
      <c r="B611" s="1" t="n">
        <v>45296</v>
      </c>
      <c r="C611" s="1" t="n">
        <v>46092</v>
      </c>
      <c r="D611" t="inlineStr">
        <is>
          <t>JÄMTLANDS LÄN</t>
        </is>
      </c>
      <c r="E611" t="inlineStr">
        <is>
          <t>ÅRE</t>
        </is>
      </c>
      <c r="F611" t="inlineStr">
        <is>
          <t>Kyrkan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61295-2023</t>
        </is>
      </c>
      <c r="B612" s="1" t="n">
        <v>45264</v>
      </c>
      <c r="C612" s="1" t="n">
        <v>46092</v>
      </c>
      <c r="D612" t="inlineStr">
        <is>
          <t>JÄMTLANDS LÄN</t>
        </is>
      </c>
      <c r="E612" t="inlineStr">
        <is>
          <t>ÅRE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3204-2023</t>
        </is>
      </c>
      <c r="B613" s="1" t="n">
        <v>44946</v>
      </c>
      <c r="C613" s="1" t="n">
        <v>46092</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61331-2021</t>
        </is>
      </c>
      <c r="B614" s="1" t="n">
        <v>44498</v>
      </c>
      <c r="C614" s="1" t="n">
        <v>46092</v>
      </c>
      <c r="D614" t="inlineStr">
        <is>
          <t>JÄMTLANDS LÄN</t>
        </is>
      </c>
      <c r="E614" t="inlineStr">
        <is>
          <t>ÅRE</t>
        </is>
      </c>
      <c r="G614" t="n">
        <v>8.4</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46092</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46788-2024</t>
        </is>
      </c>
      <c r="B616" s="1" t="n">
        <v>45583.53219907408</v>
      </c>
      <c r="C616" s="1" t="n">
        <v>46092</v>
      </c>
      <c r="D616" t="inlineStr">
        <is>
          <t>JÄMTLANDS LÄN</t>
        </is>
      </c>
      <c r="E616" t="inlineStr">
        <is>
          <t>ÅRE</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46092</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45324-2024</t>
        </is>
      </c>
      <c r="B618" s="1" t="n">
        <v>45576</v>
      </c>
      <c r="C618" s="1" t="n">
        <v>46092</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556-2023</t>
        </is>
      </c>
      <c r="B619" s="1" t="n">
        <v>44930</v>
      </c>
      <c r="C619" s="1" t="n">
        <v>46092</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57864-2024</t>
        </is>
      </c>
      <c r="B620" s="1" t="n">
        <v>45631.43578703704</v>
      </c>
      <c r="C620" s="1" t="n">
        <v>46092</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54250-2024</t>
        </is>
      </c>
      <c r="B621" s="1" t="n">
        <v>45616</v>
      </c>
      <c r="C621" s="1" t="n">
        <v>46092</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37729-2023</t>
        </is>
      </c>
      <c r="B622" s="1" t="n">
        <v>45159</v>
      </c>
      <c r="C622" s="1" t="n">
        <v>46092</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36234-2023</t>
        </is>
      </c>
      <c r="B623" s="1" t="n">
        <v>45150</v>
      </c>
      <c r="C623" s="1" t="n">
        <v>46092</v>
      </c>
      <c r="D623" t="inlineStr">
        <is>
          <t>JÄMTLANDS LÄN</t>
        </is>
      </c>
      <c r="E623" t="inlineStr">
        <is>
          <t>ÅRE</t>
        </is>
      </c>
      <c r="G623" t="n">
        <v>0.9</v>
      </c>
      <c r="H623" t="n">
        <v>0</v>
      </c>
      <c r="I623" t="n">
        <v>0</v>
      </c>
      <c r="J623" t="n">
        <v>0</v>
      </c>
      <c r="K623" t="n">
        <v>0</v>
      </c>
      <c r="L623" t="n">
        <v>0</v>
      </c>
      <c r="M623" t="n">
        <v>0</v>
      </c>
      <c r="N623" t="n">
        <v>0</v>
      </c>
      <c r="O623" t="n">
        <v>0</v>
      </c>
      <c r="P623" t="n">
        <v>0</v>
      </c>
      <c r="Q623" t="n">
        <v>0</v>
      </c>
      <c r="R623" s="2" t="inlineStr"/>
    </row>
    <row r="624" ht="15" customHeight="1">
      <c r="A624" t="inlineStr">
        <is>
          <t>A 38456-2021</t>
        </is>
      </c>
      <c r="B624" s="1" t="n">
        <v>44406</v>
      </c>
      <c r="C624" s="1" t="n">
        <v>46092</v>
      </c>
      <c r="D624" t="inlineStr">
        <is>
          <t>JÄMTLANDS LÄN</t>
        </is>
      </c>
      <c r="E624" t="inlineStr">
        <is>
          <t>ÅRE</t>
        </is>
      </c>
      <c r="G624" t="n">
        <v>19.8</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46092</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45279-2024</t>
        </is>
      </c>
      <c r="B626" s="1" t="n">
        <v>45576.37496527778</v>
      </c>
      <c r="C626" s="1" t="n">
        <v>46092</v>
      </c>
      <c r="D626" t="inlineStr">
        <is>
          <t>JÄMTLANDS LÄN</t>
        </is>
      </c>
      <c r="E626" t="inlineStr">
        <is>
          <t>ÅRE</t>
        </is>
      </c>
      <c r="G626" t="n">
        <v>17.2</v>
      </c>
      <c r="H626" t="n">
        <v>0</v>
      </c>
      <c r="I626" t="n">
        <v>0</v>
      </c>
      <c r="J626" t="n">
        <v>0</v>
      </c>
      <c r="K626" t="n">
        <v>0</v>
      </c>
      <c r="L626" t="n">
        <v>0</v>
      </c>
      <c r="M626" t="n">
        <v>0</v>
      </c>
      <c r="N626" t="n">
        <v>0</v>
      </c>
      <c r="O626" t="n">
        <v>0</v>
      </c>
      <c r="P626" t="n">
        <v>0</v>
      </c>
      <c r="Q626" t="n">
        <v>0</v>
      </c>
      <c r="R626" s="2" t="inlineStr"/>
    </row>
    <row r="627" ht="15" customHeight="1">
      <c r="A627" t="inlineStr">
        <is>
          <t>A 22707-2021</t>
        </is>
      </c>
      <c r="B627" s="1" t="n">
        <v>44323</v>
      </c>
      <c r="C627" s="1" t="n">
        <v>46092</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46092</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1460-2024</t>
        </is>
      </c>
      <c r="B629" s="1" t="n">
        <v>45303.93322916667</v>
      </c>
      <c r="C629" s="1" t="n">
        <v>46092</v>
      </c>
      <c r="D629" t="inlineStr">
        <is>
          <t>JÄMTLANDS LÄN</t>
        </is>
      </c>
      <c r="E629" t="inlineStr">
        <is>
          <t>ÅRE</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61524-2021</t>
        </is>
      </c>
      <c r="B630" s="1" t="n">
        <v>44496</v>
      </c>
      <c r="C630" s="1" t="n">
        <v>46092</v>
      </c>
      <c r="D630" t="inlineStr">
        <is>
          <t>JÄMTLANDS LÄN</t>
        </is>
      </c>
      <c r="E630" t="inlineStr">
        <is>
          <t>ÅRE</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61481-2022</t>
        </is>
      </c>
      <c r="B631" s="1" t="n">
        <v>44910</v>
      </c>
      <c r="C631" s="1" t="n">
        <v>46092</v>
      </c>
      <c r="D631" t="inlineStr">
        <is>
          <t>JÄMTLANDS LÄN</t>
        </is>
      </c>
      <c r="E631" t="inlineStr">
        <is>
          <t>ÅRE</t>
        </is>
      </c>
      <c r="G631" t="n">
        <v>0.4</v>
      </c>
      <c r="H631" t="n">
        <v>0</v>
      </c>
      <c r="I631" t="n">
        <v>0</v>
      </c>
      <c r="J631" t="n">
        <v>0</v>
      </c>
      <c r="K631" t="n">
        <v>0</v>
      </c>
      <c r="L631" t="n">
        <v>0</v>
      </c>
      <c r="M631" t="n">
        <v>0</v>
      </c>
      <c r="N631" t="n">
        <v>0</v>
      </c>
      <c r="O631" t="n">
        <v>0</v>
      </c>
      <c r="P631" t="n">
        <v>0</v>
      </c>
      <c r="Q631" t="n">
        <v>0</v>
      </c>
      <c r="R631" s="2" t="inlineStr"/>
    </row>
    <row r="632" ht="15" customHeight="1">
      <c r="A632" t="inlineStr">
        <is>
          <t>A 58940-2021</t>
        </is>
      </c>
      <c r="B632" s="1" t="n">
        <v>44489</v>
      </c>
      <c r="C632" s="1" t="n">
        <v>46092</v>
      </c>
      <c r="D632" t="inlineStr">
        <is>
          <t>JÄMTLANDS LÄN</t>
        </is>
      </c>
      <c r="E632" t="inlineStr">
        <is>
          <t>ÅRE</t>
        </is>
      </c>
      <c r="G632" t="n">
        <v>5.8</v>
      </c>
      <c r="H632" t="n">
        <v>0</v>
      </c>
      <c r="I632" t="n">
        <v>0</v>
      </c>
      <c r="J632" t="n">
        <v>0</v>
      </c>
      <c r="K632" t="n">
        <v>0</v>
      </c>
      <c r="L632" t="n">
        <v>0</v>
      </c>
      <c r="M632" t="n">
        <v>0</v>
      </c>
      <c r="N632" t="n">
        <v>0</v>
      </c>
      <c r="O632" t="n">
        <v>0</v>
      </c>
      <c r="P632" t="n">
        <v>0</v>
      </c>
      <c r="Q632" t="n">
        <v>0</v>
      </c>
      <c r="R632" s="2" t="inlineStr"/>
    </row>
    <row r="633" ht="15" customHeight="1">
      <c r="A633" t="inlineStr">
        <is>
          <t>A 56556-2022</t>
        </is>
      </c>
      <c r="B633" s="1" t="n">
        <v>44893.48930555556</v>
      </c>
      <c r="C633" s="1" t="n">
        <v>46092</v>
      </c>
      <c r="D633" t="inlineStr">
        <is>
          <t>JÄMTLANDS LÄN</t>
        </is>
      </c>
      <c r="E633" t="inlineStr">
        <is>
          <t>ÅRE</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5610-2025</t>
        </is>
      </c>
      <c r="B634" s="1" t="n">
        <v>45693.60425925926</v>
      </c>
      <c r="C634" s="1" t="n">
        <v>46092</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27390-2021</t>
        </is>
      </c>
      <c r="B635" s="1" t="n">
        <v>44351</v>
      </c>
      <c r="C635" s="1" t="n">
        <v>46092</v>
      </c>
      <c r="D635" t="inlineStr">
        <is>
          <t>JÄMTLANDS LÄN</t>
        </is>
      </c>
      <c r="E635" t="inlineStr">
        <is>
          <t>ÅRE</t>
        </is>
      </c>
      <c r="G635" t="n">
        <v>14.9</v>
      </c>
      <c r="H635" t="n">
        <v>0</v>
      </c>
      <c r="I635" t="n">
        <v>0</v>
      </c>
      <c r="J635" t="n">
        <v>0</v>
      </c>
      <c r="K635" t="n">
        <v>0</v>
      </c>
      <c r="L635" t="n">
        <v>0</v>
      </c>
      <c r="M635" t="n">
        <v>0</v>
      </c>
      <c r="N635" t="n">
        <v>0</v>
      </c>
      <c r="O635" t="n">
        <v>0</v>
      </c>
      <c r="P635" t="n">
        <v>0</v>
      </c>
      <c r="Q635" t="n">
        <v>0</v>
      </c>
      <c r="R635" s="2" t="inlineStr"/>
    </row>
    <row r="636" ht="15" customHeight="1">
      <c r="A636" t="inlineStr">
        <is>
          <t>A 14283-2025</t>
        </is>
      </c>
      <c r="B636" s="1" t="n">
        <v>45740.65851851852</v>
      </c>
      <c r="C636" s="1" t="n">
        <v>46092</v>
      </c>
      <c r="D636" t="inlineStr">
        <is>
          <t>JÄMTLANDS LÄN</t>
        </is>
      </c>
      <c r="E636" t="inlineStr">
        <is>
          <t>ÅRE</t>
        </is>
      </c>
      <c r="G636" t="n">
        <v>4.6</v>
      </c>
      <c r="H636" t="n">
        <v>0</v>
      </c>
      <c r="I636" t="n">
        <v>0</v>
      </c>
      <c r="J636" t="n">
        <v>0</v>
      </c>
      <c r="K636" t="n">
        <v>0</v>
      </c>
      <c r="L636" t="n">
        <v>0</v>
      </c>
      <c r="M636" t="n">
        <v>0</v>
      </c>
      <c r="N636" t="n">
        <v>0</v>
      </c>
      <c r="O636" t="n">
        <v>0</v>
      </c>
      <c r="P636" t="n">
        <v>0</v>
      </c>
      <c r="Q636" t="n">
        <v>0</v>
      </c>
      <c r="R636" s="2" t="inlineStr"/>
    </row>
    <row r="637" ht="15" customHeight="1">
      <c r="A637" t="inlineStr">
        <is>
          <t>A 33379-2024</t>
        </is>
      </c>
      <c r="B637" s="1" t="n">
        <v>45519.4495949074</v>
      </c>
      <c r="C637" s="1" t="n">
        <v>46092</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46092</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59215-2024</t>
        </is>
      </c>
      <c r="B639" s="1" t="n">
        <v>45636</v>
      </c>
      <c r="C639" s="1" t="n">
        <v>46092</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23159-2024</t>
        </is>
      </c>
      <c r="B640" s="1" t="n">
        <v>45450.7033912037</v>
      </c>
      <c r="C640" s="1" t="n">
        <v>46092</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57448-2023</t>
        </is>
      </c>
      <c r="B641" s="1" t="n">
        <v>45246.34405092592</v>
      </c>
      <c r="C641" s="1" t="n">
        <v>46092</v>
      </c>
      <c r="D641" t="inlineStr">
        <is>
          <t>JÄMTLANDS LÄN</t>
        </is>
      </c>
      <c r="E641" t="inlineStr">
        <is>
          <t>ÅRE</t>
        </is>
      </c>
      <c r="G641" t="n">
        <v>11.9</v>
      </c>
      <c r="H641" t="n">
        <v>0</v>
      </c>
      <c r="I641" t="n">
        <v>0</v>
      </c>
      <c r="J641" t="n">
        <v>0</v>
      </c>
      <c r="K641" t="n">
        <v>0</v>
      </c>
      <c r="L641" t="n">
        <v>0</v>
      </c>
      <c r="M641" t="n">
        <v>0</v>
      </c>
      <c r="N641" t="n">
        <v>0</v>
      </c>
      <c r="O641" t="n">
        <v>0</v>
      </c>
      <c r="P641" t="n">
        <v>0</v>
      </c>
      <c r="Q641" t="n">
        <v>0</v>
      </c>
      <c r="R641" s="2" t="inlineStr"/>
    </row>
    <row r="642" ht="15" customHeight="1">
      <c r="A642" t="inlineStr">
        <is>
          <t>A 49818-2022</t>
        </is>
      </c>
      <c r="B642" s="1" t="n">
        <v>44859</v>
      </c>
      <c r="C642" s="1" t="n">
        <v>46092</v>
      </c>
      <c r="D642" t="inlineStr">
        <is>
          <t>JÄMTLANDS LÄN</t>
        </is>
      </c>
      <c r="E642" t="inlineStr">
        <is>
          <t>ÅRE</t>
        </is>
      </c>
      <c r="G642" t="n">
        <v>63</v>
      </c>
      <c r="H642" t="n">
        <v>0</v>
      </c>
      <c r="I642" t="n">
        <v>0</v>
      </c>
      <c r="J642" t="n">
        <v>0</v>
      </c>
      <c r="K642" t="n">
        <v>0</v>
      </c>
      <c r="L642" t="n">
        <v>0</v>
      </c>
      <c r="M642" t="n">
        <v>0</v>
      </c>
      <c r="N642" t="n">
        <v>0</v>
      </c>
      <c r="O642" t="n">
        <v>0</v>
      </c>
      <c r="P642" t="n">
        <v>0</v>
      </c>
      <c r="Q642" t="n">
        <v>0</v>
      </c>
      <c r="R642" s="2" t="inlineStr"/>
    </row>
    <row r="643" ht="15" customHeight="1">
      <c r="A643" t="inlineStr">
        <is>
          <t>A 73798-2021</t>
        </is>
      </c>
      <c r="B643" s="1" t="n">
        <v>44552</v>
      </c>
      <c r="C643" s="1" t="n">
        <v>46092</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1414-2023</t>
        </is>
      </c>
      <c r="B644" s="1" t="n">
        <v>44936</v>
      </c>
      <c r="C644" s="1" t="n">
        <v>46092</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30379-2024</t>
        </is>
      </c>
      <c r="B645" s="1" t="n">
        <v>45491.43815972222</v>
      </c>
      <c r="C645" s="1" t="n">
        <v>46092</v>
      </c>
      <c r="D645" t="inlineStr">
        <is>
          <t>JÄMTLANDS LÄN</t>
        </is>
      </c>
      <c r="E645" t="inlineStr">
        <is>
          <t>ÅRE</t>
        </is>
      </c>
      <c r="G645" t="n">
        <v>2.4</v>
      </c>
      <c r="H645" t="n">
        <v>0</v>
      </c>
      <c r="I645" t="n">
        <v>0</v>
      </c>
      <c r="J645" t="n">
        <v>0</v>
      </c>
      <c r="K645" t="n">
        <v>0</v>
      </c>
      <c r="L645" t="n">
        <v>0</v>
      </c>
      <c r="M645" t="n">
        <v>0</v>
      </c>
      <c r="N645" t="n">
        <v>0</v>
      </c>
      <c r="O645" t="n">
        <v>0</v>
      </c>
      <c r="P645" t="n">
        <v>0</v>
      </c>
      <c r="Q645" t="n">
        <v>0</v>
      </c>
      <c r="R645" s="2" t="inlineStr"/>
    </row>
    <row r="646" ht="15" customHeight="1">
      <c r="A646" t="inlineStr">
        <is>
          <t>A 17883-2021</t>
        </is>
      </c>
      <c r="B646" s="1" t="n">
        <v>44301</v>
      </c>
      <c r="C646" s="1" t="n">
        <v>46092</v>
      </c>
      <c r="D646" t="inlineStr">
        <is>
          <t>JÄMTLANDS LÄN</t>
        </is>
      </c>
      <c r="E646" t="inlineStr">
        <is>
          <t>ÅRE</t>
        </is>
      </c>
      <c r="F646" t="inlineStr">
        <is>
          <t>Övriga Aktiebolag</t>
        </is>
      </c>
      <c r="G646" t="n">
        <v>6.7</v>
      </c>
      <c r="H646" t="n">
        <v>0</v>
      </c>
      <c r="I646" t="n">
        <v>0</v>
      </c>
      <c r="J646" t="n">
        <v>0</v>
      </c>
      <c r="K646" t="n">
        <v>0</v>
      </c>
      <c r="L646" t="n">
        <v>0</v>
      </c>
      <c r="M646" t="n">
        <v>0</v>
      </c>
      <c r="N646" t="n">
        <v>0</v>
      </c>
      <c r="O646" t="n">
        <v>0</v>
      </c>
      <c r="P646" t="n">
        <v>0</v>
      </c>
      <c r="Q646" t="n">
        <v>0</v>
      </c>
      <c r="R646" s="2" t="inlineStr"/>
    </row>
    <row r="647" ht="15" customHeight="1">
      <c r="A647" t="inlineStr">
        <is>
          <t>A 33015-2022</t>
        </is>
      </c>
      <c r="B647" s="1" t="n">
        <v>44784</v>
      </c>
      <c r="C647" s="1" t="n">
        <v>46092</v>
      </c>
      <c r="D647" t="inlineStr">
        <is>
          <t>JÄMTLANDS LÄN</t>
        </is>
      </c>
      <c r="E647" t="inlineStr">
        <is>
          <t>ÅRE</t>
        </is>
      </c>
      <c r="G647" t="n">
        <v>5.1</v>
      </c>
      <c r="H647" t="n">
        <v>0</v>
      </c>
      <c r="I647" t="n">
        <v>0</v>
      </c>
      <c r="J647" t="n">
        <v>0</v>
      </c>
      <c r="K647" t="n">
        <v>0</v>
      </c>
      <c r="L647" t="n">
        <v>0</v>
      </c>
      <c r="M647" t="n">
        <v>0</v>
      </c>
      <c r="N647" t="n">
        <v>0</v>
      </c>
      <c r="O647" t="n">
        <v>0</v>
      </c>
      <c r="P647" t="n">
        <v>0</v>
      </c>
      <c r="Q647" t="n">
        <v>0</v>
      </c>
      <c r="R647" s="2" t="inlineStr"/>
    </row>
    <row r="648" ht="15" customHeight="1">
      <c r="A648" t="inlineStr">
        <is>
          <t>A 49313-2024</t>
        </is>
      </c>
      <c r="B648" s="1" t="n">
        <v>45595</v>
      </c>
      <c r="C648" s="1" t="n">
        <v>46092</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29294-2023</t>
        </is>
      </c>
      <c r="B649" s="1" t="n">
        <v>45098</v>
      </c>
      <c r="C649" s="1" t="n">
        <v>46092</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43324-2022</t>
        </is>
      </c>
      <c r="B650" s="1" t="n">
        <v>44834</v>
      </c>
      <c r="C650" s="1" t="n">
        <v>46092</v>
      </c>
      <c r="D650" t="inlineStr">
        <is>
          <t>JÄMTLANDS LÄN</t>
        </is>
      </c>
      <c r="E650" t="inlineStr">
        <is>
          <t>ÅRE</t>
        </is>
      </c>
      <c r="F650" t="inlineStr">
        <is>
          <t>Bergvik skog öst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47052-2022</t>
        </is>
      </c>
      <c r="B651" s="1" t="n">
        <v>44851</v>
      </c>
      <c r="C651" s="1" t="n">
        <v>46092</v>
      </c>
      <c r="D651" t="inlineStr">
        <is>
          <t>JÄMTLANDS LÄN</t>
        </is>
      </c>
      <c r="E651" t="inlineStr">
        <is>
          <t>ÅRE</t>
        </is>
      </c>
      <c r="G651" t="n">
        <v>90.8</v>
      </c>
      <c r="H651" t="n">
        <v>0</v>
      </c>
      <c r="I651" t="n">
        <v>0</v>
      </c>
      <c r="J651" t="n">
        <v>0</v>
      </c>
      <c r="K651" t="n">
        <v>0</v>
      </c>
      <c r="L651" t="n">
        <v>0</v>
      </c>
      <c r="M651" t="n">
        <v>0</v>
      </c>
      <c r="N651" t="n">
        <v>0</v>
      </c>
      <c r="O651" t="n">
        <v>0</v>
      </c>
      <c r="P651" t="n">
        <v>0</v>
      </c>
      <c r="Q651" t="n">
        <v>0</v>
      </c>
      <c r="R651" s="2" t="inlineStr"/>
    </row>
    <row r="652" ht="15" customHeight="1">
      <c r="A652" t="inlineStr">
        <is>
          <t>A 59666-2023</t>
        </is>
      </c>
      <c r="B652" s="1" t="n">
        <v>45254.96476851852</v>
      </c>
      <c r="C652" s="1" t="n">
        <v>46092</v>
      </c>
      <c r="D652" t="inlineStr">
        <is>
          <t>JÄMTLANDS LÄN</t>
        </is>
      </c>
      <c r="E652" t="inlineStr">
        <is>
          <t>ÅRE</t>
        </is>
      </c>
      <c r="G652" t="n">
        <v>6.6</v>
      </c>
      <c r="H652" t="n">
        <v>0</v>
      </c>
      <c r="I652" t="n">
        <v>0</v>
      </c>
      <c r="J652" t="n">
        <v>0</v>
      </c>
      <c r="K652" t="n">
        <v>0</v>
      </c>
      <c r="L652" t="n">
        <v>0</v>
      </c>
      <c r="M652" t="n">
        <v>0</v>
      </c>
      <c r="N652" t="n">
        <v>0</v>
      </c>
      <c r="O652" t="n">
        <v>0</v>
      </c>
      <c r="P652" t="n">
        <v>0</v>
      </c>
      <c r="Q652" t="n">
        <v>0</v>
      </c>
      <c r="R652" s="2" t="inlineStr"/>
    </row>
    <row r="653" ht="15" customHeight="1">
      <c r="A653" t="inlineStr">
        <is>
          <t>A 20999-2024</t>
        </is>
      </c>
      <c r="B653" s="1" t="n">
        <v>45439</v>
      </c>
      <c r="C653" s="1" t="n">
        <v>46092</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41686-2024</t>
        </is>
      </c>
      <c r="B654" s="1" t="n">
        <v>45560.67016203704</v>
      </c>
      <c r="C654" s="1" t="n">
        <v>46092</v>
      </c>
      <c r="D654" t="inlineStr">
        <is>
          <t>JÄMTLANDS LÄN</t>
        </is>
      </c>
      <c r="E654" t="inlineStr">
        <is>
          <t>ÅRE</t>
        </is>
      </c>
      <c r="G654" t="n">
        <v>0.6</v>
      </c>
      <c r="H654" t="n">
        <v>0</v>
      </c>
      <c r="I654" t="n">
        <v>0</v>
      </c>
      <c r="J654" t="n">
        <v>0</v>
      </c>
      <c r="K654" t="n">
        <v>0</v>
      </c>
      <c r="L654" t="n">
        <v>0</v>
      </c>
      <c r="M654" t="n">
        <v>0</v>
      </c>
      <c r="N654" t="n">
        <v>0</v>
      </c>
      <c r="O654" t="n">
        <v>0</v>
      </c>
      <c r="P654" t="n">
        <v>0</v>
      </c>
      <c r="Q654" t="n">
        <v>0</v>
      </c>
      <c r="R654" s="2" t="inlineStr"/>
    </row>
    <row r="655" ht="15" customHeight="1">
      <c r="A655" t="inlineStr">
        <is>
          <t>A 56609-2023</t>
        </is>
      </c>
      <c r="B655" s="1" t="n">
        <v>45243.66828703704</v>
      </c>
      <c r="C655" s="1" t="n">
        <v>46092</v>
      </c>
      <c r="D655" t="inlineStr">
        <is>
          <t>JÄMTLANDS LÄN</t>
        </is>
      </c>
      <c r="E655" t="inlineStr">
        <is>
          <t>ÅRE</t>
        </is>
      </c>
      <c r="G655" t="n">
        <v>17.9</v>
      </c>
      <c r="H655" t="n">
        <v>0</v>
      </c>
      <c r="I655" t="n">
        <v>0</v>
      </c>
      <c r="J655" t="n">
        <v>0</v>
      </c>
      <c r="K655" t="n">
        <v>0</v>
      </c>
      <c r="L655" t="n">
        <v>0</v>
      </c>
      <c r="M655" t="n">
        <v>0</v>
      </c>
      <c r="N655" t="n">
        <v>0</v>
      </c>
      <c r="O655" t="n">
        <v>0</v>
      </c>
      <c r="P655" t="n">
        <v>0</v>
      </c>
      <c r="Q655" t="n">
        <v>0</v>
      </c>
      <c r="R655" s="2" t="inlineStr"/>
    </row>
    <row r="656" ht="15" customHeight="1">
      <c r="A656" t="inlineStr">
        <is>
          <t>A 12182-2023</t>
        </is>
      </c>
      <c r="B656" s="1" t="n">
        <v>44998</v>
      </c>
      <c r="C656" s="1" t="n">
        <v>46092</v>
      </c>
      <c r="D656" t="inlineStr">
        <is>
          <t>JÄMTLANDS LÄN</t>
        </is>
      </c>
      <c r="E656" t="inlineStr">
        <is>
          <t>ÅRE</t>
        </is>
      </c>
      <c r="G656" t="n">
        <v>11.7</v>
      </c>
      <c r="H656" t="n">
        <v>0</v>
      </c>
      <c r="I656" t="n">
        <v>0</v>
      </c>
      <c r="J656" t="n">
        <v>0</v>
      </c>
      <c r="K656" t="n">
        <v>0</v>
      </c>
      <c r="L656" t="n">
        <v>0</v>
      </c>
      <c r="M656" t="n">
        <v>0</v>
      </c>
      <c r="N656" t="n">
        <v>0</v>
      </c>
      <c r="O656" t="n">
        <v>0</v>
      </c>
      <c r="P656" t="n">
        <v>0</v>
      </c>
      <c r="Q656" t="n">
        <v>0</v>
      </c>
      <c r="R656" s="2" t="inlineStr"/>
    </row>
    <row r="657" ht="15" customHeight="1">
      <c r="A657" t="inlineStr">
        <is>
          <t>A 71968-2021</t>
        </is>
      </c>
      <c r="B657" s="1" t="n">
        <v>44540</v>
      </c>
      <c r="C657" s="1" t="n">
        <v>46092</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54324-2023</t>
        </is>
      </c>
      <c r="B658" s="1" t="n">
        <v>45225</v>
      </c>
      <c r="C658" s="1" t="n">
        <v>46092</v>
      </c>
      <c r="D658" t="inlineStr">
        <is>
          <t>JÄMTLANDS LÄN</t>
        </is>
      </c>
      <c r="E658" t="inlineStr">
        <is>
          <t>ÅRE</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54385-2023</t>
        </is>
      </c>
      <c r="B659" s="1" t="n">
        <v>45233.35863425926</v>
      </c>
      <c r="C659" s="1" t="n">
        <v>46092</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3149-2023</t>
        </is>
      </c>
      <c r="B660" s="1" t="n">
        <v>44946.5500925926</v>
      </c>
      <c r="C660" s="1" t="n">
        <v>46092</v>
      </c>
      <c r="D660" t="inlineStr">
        <is>
          <t>JÄMTLANDS LÄN</t>
        </is>
      </c>
      <c r="E660" t="inlineStr">
        <is>
          <t>ÅRE</t>
        </is>
      </c>
      <c r="G660" t="n">
        <v>1.7</v>
      </c>
      <c r="H660" t="n">
        <v>0</v>
      </c>
      <c r="I660" t="n">
        <v>0</v>
      </c>
      <c r="J660" t="n">
        <v>0</v>
      </c>
      <c r="K660" t="n">
        <v>0</v>
      </c>
      <c r="L660" t="n">
        <v>0</v>
      </c>
      <c r="M660" t="n">
        <v>0</v>
      </c>
      <c r="N660" t="n">
        <v>0</v>
      </c>
      <c r="O660" t="n">
        <v>0</v>
      </c>
      <c r="P660" t="n">
        <v>0</v>
      </c>
      <c r="Q660" t="n">
        <v>0</v>
      </c>
      <c r="R660" s="2" t="inlineStr"/>
    </row>
    <row r="661" ht="15" customHeight="1">
      <c r="A661" t="inlineStr">
        <is>
          <t>A 42244-2024</t>
        </is>
      </c>
      <c r="B661" s="1" t="n">
        <v>45562.56747685185</v>
      </c>
      <c r="C661" s="1" t="n">
        <v>46092</v>
      </c>
      <c r="D661" t="inlineStr">
        <is>
          <t>JÄMTLANDS LÄN</t>
        </is>
      </c>
      <c r="E661" t="inlineStr">
        <is>
          <t>ÅRE</t>
        </is>
      </c>
      <c r="F661" t="inlineStr">
        <is>
          <t>Övriga Aktiebolag</t>
        </is>
      </c>
      <c r="G661" t="n">
        <v>6</v>
      </c>
      <c r="H661" t="n">
        <v>0</v>
      </c>
      <c r="I661" t="n">
        <v>0</v>
      </c>
      <c r="J661" t="n">
        <v>0</v>
      </c>
      <c r="K661" t="n">
        <v>0</v>
      </c>
      <c r="L661" t="n">
        <v>0</v>
      </c>
      <c r="M661" t="n">
        <v>0</v>
      </c>
      <c r="N661" t="n">
        <v>0</v>
      </c>
      <c r="O661" t="n">
        <v>0</v>
      </c>
      <c r="P661" t="n">
        <v>0</v>
      </c>
      <c r="Q661" t="n">
        <v>0</v>
      </c>
      <c r="R661" s="2" t="inlineStr"/>
    </row>
    <row r="662" ht="15" customHeight="1">
      <c r="A662" t="inlineStr">
        <is>
          <t>A 34357-2021</t>
        </is>
      </c>
      <c r="B662" s="1" t="n">
        <v>44379</v>
      </c>
      <c r="C662" s="1" t="n">
        <v>46092</v>
      </c>
      <c r="D662" t="inlineStr">
        <is>
          <t>JÄMTLANDS LÄN</t>
        </is>
      </c>
      <c r="E662" t="inlineStr">
        <is>
          <t>ÅRE</t>
        </is>
      </c>
      <c r="G662" t="n">
        <v>7.1</v>
      </c>
      <c r="H662" t="n">
        <v>0</v>
      </c>
      <c r="I662" t="n">
        <v>0</v>
      </c>
      <c r="J662" t="n">
        <v>0</v>
      </c>
      <c r="K662" t="n">
        <v>0</v>
      </c>
      <c r="L662" t="n">
        <v>0</v>
      </c>
      <c r="M662" t="n">
        <v>0</v>
      </c>
      <c r="N662" t="n">
        <v>0</v>
      </c>
      <c r="O662" t="n">
        <v>0</v>
      </c>
      <c r="P662" t="n">
        <v>0</v>
      </c>
      <c r="Q662" t="n">
        <v>0</v>
      </c>
      <c r="R662" s="2" t="inlineStr"/>
    </row>
    <row r="663" ht="15" customHeight="1">
      <c r="A663" t="inlineStr">
        <is>
          <t>A 61803-2021</t>
        </is>
      </c>
      <c r="B663" s="1" t="n">
        <v>44498</v>
      </c>
      <c r="C663" s="1" t="n">
        <v>46092</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61622-2023</t>
        </is>
      </c>
      <c r="B664" s="1" t="n">
        <v>45261</v>
      </c>
      <c r="C664" s="1" t="n">
        <v>46092</v>
      </c>
      <c r="D664" t="inlineStr">
        <is>
          <t>JÄMTLANDS LÄN</t>
        </is>
      </c>
      <c r="E664" t="inlineStr">
        <is>
          <t>ÅRE</t>
        </is>
      </c>
      <c r="G664" t="n">
        <v>1.6</v>
      </c>
      <c r="H664" t="n">
        <v>0</v>
      </c>
      <c r="I664" t="n">
        <v>0</v>
      </c>
      <c r="J664" t="n">
        <v>0</v>
      </c>
      <c r="K664" t="n">
        <v>0</v>
      </c>
      <c r="L664" t="n">
        <v>0</v>
      </c>
      <c r="M664" t="n">
        <v>0</v>
      </c>
      <c r="N664" t="n">
        <v>0</v>
      </c>
      <c r="O664" t="n">
        <v>0</v>
      </c>
      <c r="P664" t="n">
        <v>0</v>
      </c>
      <c r="Q664" t="n">
        <v>0</v>
      </c>
      <c r="R664" s="2" t="inlineStr"/>
    </row>
    <row r="665" ht="15" customHeight="1">
      <c r="A665" t="inlineStr">
        <is>
          <t>A 69592-2021</t>
        </is>
      </c>
      <c r="B665" s="1" t="n">
        <v>44531</v>
      </c>
      <c r="C665" s="1" t="n">
        <v>46092</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60426-2022</t>
        </is>
      </c>
      <c r="B666" s="1" t="n">
        <v>44911.32092592592</v>
      </c>
      <c r="C666" s="1" t="n">
        <v>46092</v>
      </c>
      <c r="D666" t="inlineStr">
        <is>
          <t>JÄMTLANDS LÄN</t>
        </is>
      </c>
      <c r="E666" t="inlineStr">
        <is>
          <t>ÅRE</t>
        </is>
      </c>
      <c r="G666" t="n">
        <v>0.8</v>
      </c>
      <c r="H666" t="n">
        <v>0</v>
      </c>
      <c r="I666" t="n">
        <v>0</v>
      </c>
      <c r="J666" t="n">
        <v>0</v>
      </c>
      <c r="K666" t="n">
        <v>0</v>
      </c>
      <c r="L666" t="n">
        <v>0</v>
      </c>
      <c r="M666" t="n">
        <v>0</v>
      </c>
      <c r="N666" t="n">
        <v>0</v>
      </c>
      <c r="O666" t="n">
        <v>0</v>
      </c>
      <c r="P666" t="n">
        <v>0</v>
      </c>
      <c r="Q666" t="n">
        <v>0</v>
      </c>
      <c r="R666" s="2" t="inlineStr"/>
    </row>
    <row r="667" ht="15" customHeight="1">
      <c r="A667" t="inlineStr">
        <is>
          <t>A 57102-2024</t>
        </is>
      </c>
      <c r="B667" s="1" t="n">
        <v>45629.35856481481</v>
      </c>
      <c r="C667" s="1" t="n">
        <v>46092</v>
      </c>
      <c r="D667" t="inlineStr">
        <is>
          <t>JÄMTLANDS LÄN</t>
        </is>
      </c>
      <c r="E667" t="inlineStr">
        <is>
          <t>ÅRE</t>
        </is>
      </c>
      <c r="G667" t="n">
        <v>3.3</v>
      </c>
      <c r="H667" t="n">
        <v>0</v>
      </c>
      <c r="I667" t="n">
        <v>0</v>
      </c>
      <c r="J667" t="n">
        <v>0</v>
      </c>
      <c r="K667" t="n">
        <v>0</v>
      </c>
      <c r="L667" t="n">
        <v>0</v>
      </c>
      <c r="M667" t="n">
        <v>0</v>
      </c>
      <c r="N667" t="n">
        <v>0</v>
      </c>
      <c r="O667" t="n">
        <v>0</v>
      </c>
      <c r="P667" t="n">
        <v>0</v>
      </c>
      <c r="Q667" t="n">
        <v>0</v>
      </c>
      <c r="R667" s="2" t="inlineStr"/>
    </row>
    <row r="668" ht="15" customHeight="1">
      <c r="A668" t="inlineStr">
        <is>
          <t>A 12286-2023</t>
        </is>
      </c>
      <c r="B668" s="1" t="n">
        <v>44998.72263888889</v>
      </c>
      <c r="C668" s="1" t="n">
        <v>46092</v>
      </c>
      <c r="D668" t="inlineStr">
        <is>
          <t>JÄMTLANDS LÄN</t>
        </is>
      </c>
      <c r="E668" t="inlineStr">
        <is>
          <t>ÅRE</t>
        </is>
      </c>
      <c r="G668" t="n">
        <v>7.3</v>
      </c>
      <c r="H668" t="n">
        <v>0</v>
      </c>
      <c r="I668" t="n">
        <v>0</v>
      </c>
      <c r="J668" t="n">
        <v>0</v>
      </c>
      <c r="K668" t="n">
        <v>0</v>
      </c>
      <c r="L668" t="n">
        <v>0</v>
      </c>
      <c r="M668" t="n">
        <v>0</v>
      </c>
      <c r="N668" t="n">
        <v>0</v>
      </c>
      <c r="O668" t="n">
        <v>0</v>
      </c>
      <c r="P668" t="n">
        <v>0</v>
      </c>
      <c r="Q668" t="n">
        <v>0</v>
      </c>
      <c r="R668" s="2" t="inlineStr"/>
    </row>
    <row r="669" ht="15" customHeight="1">
      <c r="A669" t="inlineStr">
        <is>
          <t>A 15889-2025</t>
        </is>
      </c>
      <c r="B669" s="1" t="n">
        <v>45749.4075</v>
      </c>
      <c r="C669" s="1" t="n">
        <v>46092</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59753-2023</t>
        </is>
      </c>
      <c r="B670" s="1" t="n">
        <v>45254</v>
      </c>
      <c r="C670" s="1" t="n">
        <v>46092</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46092</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c r="A672" t="inlineStr">
        <is>
          <t>A 21181-2025</t>
        </is>
      </c>
      <c r="B672" s="1" t="n">
        <v>45779.43696759259</v>
      </c>
      <c r="C672" s="1" t="n">
        <v>46092</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2026-03-11T11:24:34Z</dcterms:created>
  <dcterms:modified xmlns:dcterms="http://purl.org/dc/terms/" xmlns:xsi="http://www.w3.org/2001/XMLSchema-instance" xsi:type="dcterms:W3CDTF">2026-03-11T11:24:35Z</dcterms:modified>
</cp:coreProperties>
</file>