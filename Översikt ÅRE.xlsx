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45348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45348</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45348</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45348</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45348</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45348</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45348</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45348</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45348</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45348</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45348</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45348</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45348</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45348</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45348</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45348</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45348</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45348</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45348</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45348</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45348</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45348</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45348</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45348</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45348</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45348</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45348</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45348</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45348</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45348</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45348</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45348</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45348</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45348</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45348</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45348</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45348</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45348</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45348</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45348</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45348</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45348</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45348</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45348</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45348</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45348</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45348</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45348</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45348</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45348</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45348</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45348</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45348</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45348</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45348</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45348</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45348</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45348</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45348</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45348</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45348</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45348</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45348</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45348</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45348</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45348</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45348</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45348</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45348</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45348</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45348</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45348</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45348</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45348</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45348</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45348</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45348</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45348</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45348</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45348</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45348</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45348</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45348</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45348</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45348</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45348</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45348</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45348</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45348</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45348</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45348</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45348</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45348</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45348</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45348</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45348</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45348</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45348</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45348</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45348</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45348</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45348</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45348</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45348</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45348</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45348</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45348</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45348</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45348</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45348</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45348</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45348</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45348</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45348</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45348</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19699-2023</t>
        </is>
      </c>
      <c r="B117" s="1" t="n">
        <v>45051</v>
      </c>
      <c r="C117" s="1" t="n">
        <v>45348</v>
      </c>
      <c r="D117" t="inlineStr">
        <is>
          <t>JÄMTLANDS LÄN</t>
        </is>
      </c>
      <c r="E117" t="inlineStr">
        <is>
          <t>ÅRE</t>
        </is>
      </c>
      <c r="G117" t="n">
        <v>0.7</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19699-2023 artfynd.xlsx", "A 19699-2023")</f>
        <v/>
      </c>
      <c r="T117">
        <f>HYPERLINK("https://klasma.github.io/Logging_2321/kartor/A 19699-2023 karta.png", "A 19699-2023")</f>
        <v/>
      </c>
      <c r="V117">
        <f>HYPERLINK("https://klasma.github.io/Logging_2321/klagomål/A 19699-2023 FSC-klagomål.docx", "A 19699-2023")</f>
        <v/>
      </c>
      <c r="W117">
        <f>HYPERLINK("https://klasma.github.io/Logging_2321/klagomålsmail/A 19699-2023 FSC-klagomål mail.docx", "A 19699-2023")</f>
        <v/>
      </c>
      <c r="X117">
        <f>HYPERLINK("https://klasma.github.io/Logging_2321/tillsyn/A 19699-2023 tillsynsbegäran.docx", "A 19699-2023")</f>
        <v/>
      </c>
      <c r="Y117">
        <f>HYPERLINK("https://klasma.github.io/Logging_2321/tillsynsmail/A 19699-2023 tillsynsbegäran mail.docx", "A 19699-2023")</f>
        <v/>
      </c>
    </row>
    <row r="118" ht="15" customHeight="1">
      <c r="A118" t="inlineStr">
        <is>
          <t>A 23706-2023</t>
        </is>
      </c>
      <c r="B118" s="1" t="n">
        <v>45072</v>
      </c>
      <c r="C118" s="1" t="n">
        <v>45348</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26098-2023</t>
        </is>
      </c>
      <c r="B119" s="1" t="n">
        <v>45091</v>
      </c>
      <c r="C119" s="1" t="n">
        <v>45348</v>
      </c>
      <c r="D119" t="inlineStr">
        <is>
          <t>JÄMTLANDS LÄN</t>
        </is>
      </c>
      <c r="E119" t="inlineStr">
        <is>
          <t>ÅRE</t>
        </is>
      </c>
      <c r="G119" t="n">
        <v>15.7</v>
      </c>
      <c r="H119" t="n">
        <v>0</v>
      </c>
      <c r="I119" t="n">
        <v>0</v>
      </c>
      <c r="J119" t="n">
        <v>2</v>
      </c>
      <c r="K119" t="n">
        <v>0</v>
      </c>
      <c r="L119" t="n">
        <v>0</v>
      </c>
      <c r="M119" t="n">
        <v>0</v>
      </c>
      <c r="N119" t="n">
        <v>0</v>
      </c>
      <c r="O119" t="n">
        <v>2</v>
      </c>
      <c r="P119" t="n">
        <v>0</v>
      </c>
      <c r="Q119" t="n">
        <v>2</v>
      </c>
      <c r="R119" s="2" t="inlineStr">
        <is>
          <t>Lunglav
Skrovellav</t>
        </is>
      </c>
      <c r="S119">
        <f>HYPERLINK("https://klasma.github.io/Logging_2321/artfynd/A 26098-2023 artfynd.xlsx", "A 26098-2023")</f>
        <v/>
      </c>
      <c r="T119">
        <f>HYPERLINK("https://klasma.github.io/Logging_2321/kartor/A 26098-2023 karta.png", "A 26098-2023")</f>
        <v/>
      </c>
      <c r="V119">
        <f>HYPERLINK("https://klasma.github.io/Logging_2321/klagomål/A 26098-2023 FSC-klagomål.docx", "A 26098-2023")</f>
        <v/>
      </c>
      <c r="W119">
        <f>HYPERLINK("https://klasma.github.io/Logging_2321/klagomålsmail/A 26098-2023 FSC-klagomål mail.docx", "A 26098-2023")</f>
        <v/>
      </c>
      <c r="X119">
        <f>HYPERLINK("https://klasma.github.io/Logging_2321/tillsyn/A 26098-2023 tillsynsbegäran.docx", "A 26098-2023")</f>
        <v/>
      </c>
      <c r="Y119">
        <f>HYPERLINK("https://klasma.github.io/Logging_2321/tillsynsmail/A 26098-2023 tillsynsbegäran mail.docx", "A 26098-2023")</f>
        <v/>
      </c>
    </row>
    <row r="120" ht="15" customHeight="1">
      <c r="A120" t="inlineStr">
        <is>
          <t>A 53014-2023</t>
        </is>
      </c>
      <c r="B120" s="1" t="n">
        <v>45226</v>
      </c>
      <c r="C120" s="1" t="n">
        <v>45348</v>
      </c>
      <c r="D120" t="inlineStr">
        <is>
          <t>JÄMTLANDS LÄN</t>
        </is>
      </c>
      <c r="E120" t="inlineStr">
        <is>
          <t>ÅRE</t>
        </is>
      </c>
      <c r="F120" t="inlineStr">
        <is>
          <t>Övriga Aktiebolag</t>
        </is>
      </c>
      <c r="G120" t="n">
        <v>9.4</v>
      </c>
      <c r="H120" t="n">
        <v>1</v>
      </c>
      <c r="I120" t="n">
        <v>1</v>
      </c>
      <c r="J120" t="n">
        <v>1</v>
      </c>
      <c r="K120" t="n">
        <v>0</v>
      </c>
      <c r="L120" t="n">
        <v>0</v>
      </c>
      <c r="M120" t="n">
        <v>0</v>
      </c>
      <c r="N120" t="n">
        <v>0</v>
      </c>
      <c r="O120" t="n">
        <v>1</v>
      </c>
      <c r="P120" t="n">
        <v>0</v>
      </c>
      <c r="Q120" t="n">
        <v>2</v>
      </c>
      <c r="R120" s="2" t="inlineStr">
        <is>
          <t>Vedflikmossa
Spindelblomster</t>
        </is>
      </c>
      <c r="S120">
        <f>HYPERLINK("https://klasma.github.io/Logging_2321/artfynd/A 53014-2023 artfynd.xlsx", "A 53014-2023")</f>
        <v/>
      </c>
      <c r="T120">
        <f>HYPERLINK("https://klasma.github.io/Logging_2321/kartor/A 53014-2023 karta.png", "A 53014-2023")</f>
        <v/>
      </c>
      <c r="V120">
        <f>HYPERLINK("https://klasma.github.io/Logging_2321/klagomål/A 53014-2023 FSC-klagomål.docx", "A 53014-2023")</f>
        <v/>
      </c>
      <c r="W120">
        <f>HYPERLINK("https://klasma.github.io/Logging_2321/klagomålsmail/A 53014-2023 FSC-klagomål mail.docx", "A 53014-2023")</f>
        <v/>
      </c>
      <c r="X120">
        <f>HYPERLINK("https://klasma.github.io/Logging_2321/tillsyn/A 53014-2023 tillsynsbegäran.docx", "A 53014-2023")</f>
        <v/>
      </c>
      <c r="Y120">
        <f>HYPERLINK("https://klasma.github.io/Logging_2321/tillsynsmail/A 53014-2023 tillsynsbegäran mail.docx", "A 53014-2023")</f>
        <v/>
      </c>
    </row>
    <row r="121" ht="15" customHeight="1">
      <c r="A121" t="inlineStr">
        <is>
          <t>A 54055-2023</t>
        </is>
      </c>
      <c r="B121" s="1" t="n">
        <v>45231</v>
      </c>
      <c r="C121" s="1" t="n">
        <v>45348</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57771-2023</t>
        </is>
      </c>
      <c r="B122" s="1" t="n">
        <v>45246</v>
      </c>
      <c r="C122" s="1" t="n">
        <v>45348</v>
      </c>
      <c r="D122" t="inlineStr">
        <is>
          <t>JÄMTLANDS LÄN</t>
        </is>
      </c>
      <c r="E122" t="inlineStr">
        <is>
          <t>ÅRE</t>
        </is>
      </c>
      <c r="G122" t="n">
        <v>2.1</v>
      </c>
      <c r="H122" t="n">
        <v>0</v>
      </c>
      <c r="I122" t="n">
        <v>0</v>
      </c>
      <c r="J122" t="n">
        <v>2</v>
      </c>
      <c r="K122" t="n">
        <v>0</v>
      </c>
      <c r="L122" t="n">
        <v>0</v>
      </c>
      <c r="M122" t="n">
        <v>0</v>
      </c>
      <c r="N122" t="n">
        <v>0</v>
      </c>
      <c r="O122" t="n">
        <v>2</v>
      </c>
      <c r="P122" t="n">
        <v>0</v>
      </c>
      <c r="Q122" t="n">
        <v>2</v>
      </c>
      <c r="R122" s="2" t="inlineStr">
        <is>
          <t>Granticka
Harticka</t>
        </is>
      </c>
      <c r="S122">
        <f>HYPERLINK("https://klasma.github.io/Logging_2321/artfynd/A 57771-2023 artfynd.xlsx", "A 57771-2023")</f>
        <v/>
      </c>
      <c r="T122">
        <f>HYPERLINK("https://klasma.github.io/Logging_2321/kartor/A 57771-2023 karta.png", "A 57771-2023")</f>
        <v/>
      </c>
      <c r="V122">
        <f>HYPERLINK("https://klasma.github.io/Logging_2321/klagomål/A 57771-2023 FSC-klagomål.docx", "A 57771-2023")</f>
        <v/>
      </c>
      <c r="W122">
        <f>HYPERLINK("https://klasma.github.io/Logging_2321/klagomålsmail/A 57771-2023 FSC-klagomål mail.docx", "A 57771-2023")</f>
        <v/>
      </c>
      <c r="X122">
        <f>HYPERLINK("https://klasma.github.io/Logging_2321/tillsyn/A 57771-2023 tillsynsbegäran.docx", "A 57771-2023")</f>
        <v/>
      </c>
      <c r="Y122">
        <f>HYPERLINK("https://klasma.github.io/Logging_2321/tillsynsmail/A 57771-2023 tillsynsbegäran mail.docx", "A 57771-2023")</f>
        <v/>
      </c>
    </row>
    <row r="123" ht="15" customHeight="1">
      <c r="A123" t="inlineStr">
        <is>
          <t>A 33947-2018</t>
        </is>
      </c>
      <c r="B123" s="1" t="n">
        <v>43314</v>
      </c>
      <c r="C123" s="1" t="n">
        <v>45348</v>
      </c>
      <c r="D123" t="inlineStr">
        <is>
          <t>JÄMTLANDS LÄN</t>
        </is>
      </c>
      <c r="E123" t="inlineStr">
        <is>
          <t>ÅRE</t>
        </is>
      </c>
      <c r="F123" t="inlineStr">
        <is>
          <t>Övriga Aktiebolag</t>
        </is>
      </c>
      <c r="G123" t="n">
        <v>8.5</v>
      </c>
      <c r="H123" t="n">
        <v>0</v>
      </c>
      <c r="I123" t="n">
        <v>0</v>
      </c>
      <c r="J123" t="n">
        <v>0</v>
      </c>
      <c r="K123" t="n">
        <v>1</v>
      </c>
      <c r="L123" t="n">
        <v>0</v>
      </c>
      <c r="M123" t="n">
        <v>0</v>
      </c>
      <c r="N123" t="n">
        <v>0</v>
      </c>
      <c r="O123" t="n">
        <v>1</v>
      </c>
      <c r="P123" t="n">
        <v>1</v>
      </c>
      <c r="Q123" t="n">
        <v>1</v>
      </c>
      <c r="R123" s="2" t="inlineStr">
        <is>
          <t>Norsk näverlav</t>
        </is>
      </c>
      <c r="S123">
        <f>HYPERLINK("https://klasma.github.io/Logging_2321/artfynd/A 33947-2018 artfynd.xlsx", "A 33947-2018")</f>
        <v/>
      </c>
      <c r="T123">
        <f>HYPERLINK("https://klasma.github.io/Logging_2321/kartor/A 33947-2018 karta.png", "A 33947-2018")</f>
        <v/>
      </c>
      <c r="V123">
        <f>HYPERLINK("https://klasma.github.io/Logging_2321/klagomål/A 33947-2018 FSC-klagomål.docx", "A 33947-2018")</f>
        <v/>
      </c>
      <c r="W123">
        <f>HYPERLINK("https://klasma.github.io/Logging_2321/klagomålsmail/A 33947-2018 FSC-klagomål mail.docx", "A 33947-2018")</f>
        <v/>
      </c>
      <c r="X123">
        <f>HYPERLINK("https://klasma.github.io/Logging_2321/tillsyn/A 33947-2018 tillsynsbegäran.docx", "A 33947-2018")</f>
        <v/>
      </c>
      <c r="Y123">
        <f>HYPERLINK("https://klasma.github.io/Logging_2321/tillsynsmail/A 33947-2018 tillsynsbegäran mail.docx", "A 33947-2018")</f>
        <v/>
      </c>
    </row>
    <row r="124" ht="15" customHeight="1">
      <c r="A124" t="inlineStr">
        <is>
          <t>A 64479-2018</t>
        </is>
      </c>
      <c r="B124" s="1" t="n">
        <v>43431</v>
      </c>
      <c r="C124" s="1" t="n">
        <v>45348</v>
      </c>
      <c r="D124" t="inlineStr">
        <is>
          <t>JÄMTLANDS LÄN</t>
        </is>
      </c>
      <c r="E124" t="inlineStr">
        <is>
          <t>ÅRE</t>
        </is>
      </c>
      <c r="G124" t="n">
        <v>10.1</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64479-2018 artfynd.xlsx", "A 64479-2018")</f>
        <v/>
      </c>
      <c r="T124">
        <f>HYPERLINK("https://klasma.github.io/Logging_2321/kartor/A 64479-2018 karta.png", "A 64479-2018")</f>
        <v/>
      </c>
      <c r="V124">
        <f>HYPERLINK("https://klasma.github.io/Logging_2321/klagomål/A 64479-2018 FSC-klagomål.docx", "A 64479-2018")</f>
        <v/>
      </c>
      <c r="W124">
        <f>HYPERLINK("https://klasma.github.io/Logging_2321/klagomålsmail/A 64479-2018 FSC-klagomål mail.docx", "A 64479-2018")</f>
        <v/>
      </c>
      <c r="X124">
        <f>HYPERLINK("https://klasma.github.io/Logging_2321/tillsyn/A 64479-2018 tillsynsbegäran.docx", "A 64479-2018")</f>
        <v/>
      </c>
      <c r="Y124">
        <f>HYPERLINK("https://klasma.github.io/Logging_2321/tillsynsmail/A 64479-2018 tillsynsbegäran mail.docx", "A 64479-2018")</f>
        <v/>
      </c>
      <c r="Z124">
        <f>HYPERLINK("https://klasma.github.io/Logging_2321/fåglar/A 64479-2018 prioriterade fågelarter.docx", "A 64479-2018")</f>
        <v/>
      </c>
    </row>
    <row r="125" ht="15" customHeight="1">
      <c r="A125" t="inlineStr">
        <is>
          <t>A 59825-2019</t>
        </is>
      </c>
      <c r="B125" s="1" t="n">
        <v>43774</v>
      </c>
      <c r="C125" s="1" t="n">
        <v>45348</v>
      </c>
      <c r="D125" t="inlineStr">
        <is>
          <t>JÄMTLANDS LÄN</t>
        </is>
      </c>
      <c r="E125" t="inlineStr">
        <is>
          <t>ÅRE</t>
        </is>
      </c>
      <c r="G125" t="n">
        <v>6.8</v>
      </c>
      <c r="H125" t="n">
        <v>0</v>
      </c>
      <c r="I125" t="n">
        <v>0</v>
      </c>
      <c r="J125" t="n">
        <v>1</v>
      </c>
      <c r="K125" t="n">
        <v>0</v>
      </c>
      <c r="L125" t="n">
        <v>0</v>
      </c>
      <c r="M125" t="n">
        <v>0</v>
      </c>
      <c r="N125" t="n">
        <v>0</v>
      </c>
      <c r="O125" t="n">
        <v>1</v>
      </c>
      <c r="P125" t="n">
        <v>0</v>
      </c>
      <c r="Q125" t="n">
        <v>1</v>
      </c>
      <c r="R125" s="2" t="inlineStr">
        <is>
          <t>Lunglav</t>
        </is>
      </c>
      <c r="S125">
        <f>HYPERLINK("https://klasma.github.io/Logging_2321/artfynd/A 59825-2019 artfynd.xlsx", "A 59825-2019")</f>
        <v/>
      </c>
      <c r="T125">
        <f>HYPERLINK("https://klasma.github.io/Logging_2321/kartor/A 59825-2019 karta.png", "A 59825-2019")</f>
        <v/>
      </c>
      <c r="V125">
        <f>HYPERLINK("https://klasma.github.io/Logging_2321/klagomål/A 59825-2019 FSC-klagomål.docx", "A 59825-2019")</f>
        <v/>
      </c>
      <c r="W125">
        <f>HYPERLINK("https://klasma.github.io/Logging_2321/klagomålsmail/A 59825-2019 FSC-klagomål mail.docx", "A 59825-2019")</f>
        <v/>
      </c>
      <c r="X125">
        <f>HYPERLINK("https://klasma.github.io/Logging_2321/tillsyn/A 59825-2019 tillsynsbegäran.docx", "A 59825-2019")</f>
        <v/>
      </c>
      <c r="Y125">
        <f>HYPERLINK("https://klasma.github.io/Logging_2321/tillsynsmail/A 59825-2019 tillsynsbegäran mail.docx", "A 59825-2019")</f>
        <v/>
      </c>
    </row>
    <row r="126" ht="15" customHeight="1">
      <c r="A126" t="inlineStr">
        <is>
          <t>A 20979-2020</t>
        </is>
      </c>
      <c r="B126" s="1" t="n">
        <v>43950</v>
      </c>
      <c r="C126" s="1" t="n">
        <v>45348</v>
      </c>
      <c r="D126" t="inlineStr">
        <is>
          <t>JÄMTLANDS LÄN</t>
        </is>
      </c>
      <c r="E126" t="inlineStr">
        <is>
          <t>ÅRE</t>
        </is>
      </c>
      <c r="G126" t="n">
        <v>16.5</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20979-2020 artfynd.xlsx", "A 20979-2020")</f>
        <v/>
      </c>
      <c r="T126">
        <f>HYPERLINK("https://klasma.github.io/Logging_2321/kartor/A 20979-2020 karta.png", "A 20979-2020")</f>
        <v/>
      </c>
      <c r="V126">
        <f>HYPERLINK("https://klasma.github.io/Logging_2321/klagomål/A 20979-2020 FSC-klagomål.docx", "A 20979-2020")</f>
        <v/>
      </c>
      <c r="W126">
        <f>HYPERLINK("https://klasma.github.io/Logging_2321/klagomålsmail/A 20979-2020 FSC-klagomål mail.docx", "A 20979-2020")</f>
        <v/>
      </c>
      <c r="X126">
        <f>HYPERLINK("https://klasma.github.io/Logging_2321/tillsyn/A 20979-2020 tillsynsbegäran.docx", "A 20979-2020")</f>
        <v/>
      </c>
      <c r="Y126">
        <f>HYPERLINK("https://klasma.github.io/Logging_2321/tillsynsmail/A 20979-2020 tillsynsbegäran mail.docx", "A 20979-2020")</f>
        <v/>
      </c>
      <c r="Z126">
        <f>HYPERLINK("https://klasma.github.io/Logging_2321/fåglar/A 20979-2020 prioriterade fågelarter.docx", "A 20979-2020")</f>
        <v/>
      </c>
    </row>
    <row r="127" ht="15" customHeight="1">
      <c r="A127" t="inlineStr">
        <is>
          <t>A 29084-2020</t>
        </is>
      </c>
      <c r="B127" s="1" t="n">
        <v>44002</v>
      </c>
      <c r="C127" s="1" t="n">
        <v>45348</v>
      </c>
      <c r="D127" t="inlineStr">
        <is>
          <t>JÄMTLANDS LÄN</t>
        </is>
      </c>
      <c r="E127" t="inlineStr">
        <is>
          <t>ÅRE</t>
        </is>
      </c>
      <c r="G127" t="n">
        <v>15.5</v>
      </c>
      <c r="H127" t="n">
        <v>0</v>
      </c>
      <c r="I127" t="n">
        <v>0</v>
      </c>
      <c r="J127" t="n">
        <v>1</v>
      </c>
      <c r="K127" t="n">
        <v>0</v>
      </c>
      <c r="L127" t="n">
        <v>0</v>
      </c>
      <c r="M127" t="n">
        <v>0</v>
      </c>
      <c r="N127" t="n">
        <v>0</v>
      </c>
      <c r="O127" t="n">
        <v>1</v>
      </c>
      <c r="P127" t="n">
        <v>0</v>
      </c>
      <c r="Q127" t="n">
        <v>1</v>
      </c>
      <c r="R127" s="2" t="inlineStr">
        <is>
          <t>Gränsticka</t>
        </is>
      </c>
      <c r="S127">
        <f>HYPERLINK("https://klasma.github.io/Logging_2321/artfynd/A 29084-2020 artfynd.xlsx", "A 29084-2020")</f>
        <v/>
      </c>
      <c r="T127">
        <f>HYPERLINK("https://klasma.github.io/Logging_2321/kartor/A 29084-2020 karta.png", "A 29084-2020")</f>
        <v/>
      </c>
      <c r="V127">
        <f>HYPERLINK("https://klasma.github.io/Logging_2321/klagomål/A 29084-2020 FSC-klagomål.docx", "A 29084-2020")</f>
        <v/>
      </c>
      <c r="W127">
        <f>HYPERLINK("https://klasma.github.io/Logging_2321/klagomålsmail/A 29084-2020 FSC-klagomål mail.docx", "A 29084-2020")</f>
        <v/>
      </c>
      <c r="X127">
        <f>HYPERLINK("https://klasma.github.io/Logging_2321/tillsyn/A 29084-2020 tillsynsbegäran.docx", "A 29084-2020")</f>
        <v/>
      </c>
      <c r="Y127">
        <f>HYPERLINK("https://klasma.github.io/Logging_2321/tillsynsmail/A 29084-2020 tillsynsbegäran mail.docx", "A 29084-2020")</f>
        <v/>
      </c>
    </row>
    <row r="128" ht="15" customHeight="1">
      <c r="A128" t="inlineStr">
        <is>
          <t>A 46966-2020</t>
        </is>
      </c>
      <c r="B128" s="1" t="n">
        <v>44090</v>
      </c>
      <c r="C128" s="1" t="n">
        <v>45348</v>
      </c>
      <c r="D128" t="inlineStr">
        <is>
          <t>JÄMTLANDS LÄN</t>
        </is>
      </c>
      <c r="E128" t="inlineStr">
        <is>
          <t>ÅRE</t>
        </is>
      </c>
      <c r="G128" t="n">
        <v>13.7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46966-2020 artfynd.xlsx", "A 46966-2020")</f>
        <v/>
      </c>
      <c r="T128">
        <f>HYPERLINK("https://klasma.github.io/Logging_2321/kartor/A 46966-2020 karta.png", "A 46966-2020")</f>
        <v/>
      </c>
      <c r="V128">
        <f>HYPERLINK("https://klasma.github.io/Logging_2321/klagomål/A 46966-2020 FSC-klagomål.docx", "A 46966-2020")</f>
        <v/>
      </c>
      <c r="W128">
        <f>HYPERLINK("https://klasma.github.io/Logging_2321/klagomålsmail/A 46966-2020 FSC-klagomål mail.docx", "A 46966-2020")</f>
        <v/>
      </c>
      <c r="X128">
        <f>HYPERLINK("https://klasma.github.io/Logging_2321/tillsyn/A 46966-2020 tillsynsbegäran.docx", "A 46966-2020")</f>
        <v/>
      </c>
      <c r="Y128">
        <f>HYPERLINK("https://klasma.github.io/Logging_2321/tillsynsmail/A 46966-2020 tillsynsbegäran mail.docx", "A 46966-2020")</f>
        <v/>
      </c>
      <c r="Z128">
        <f>HYPERLINK("https://klasma.github.io/Logging_2321/fåglar/A 46966-2020 prioriterade fågelarter.docx", "A 46966-2020")</f>
        <v/>
      </c>
    </row>
    <row r="129" ht="15" customHeight="1">
      <c r="A129" t="inlineStr">
        <is>
          <t>A 46959-2020</t>
        </is>
      </c>
      <c r="B129" s="1" t="n">
        <v>44090</v>
      </c>
      <c r="C129" s="1" t="n">
        <v>45348</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52542-2020</t>
        </is>
      </c>
      <c r="B130" s="1" t="n">
        <v>44116</v>
      </c>
      <c r="C130" s="1" t="n">
        <v>45348</v>
      </c>
      <c r="D130" t="inlineStr">
        <is>
          <t>JÄMTLANDS LÄN</t>
        </is>
      </c>
      <c r="E130" t="inlineStr">
        <is>
          <t>ÅRE</t>
        </is>
      </c>
      <c r="G130" t="n">
        <v>5.5</v>
      </c>
      <c r="H130" t="n">
        <v>0</v>
      </c>
      <c r="I130" t="n">
        <v>0</v>
      </c>
      <c r="J130" t="n">
        <v>1</v>
      </c>
      <c r="K130" t="n">
        <v>0</v>
      </c>
      <c r="L130" t="n">
        <v>0</v>
      </c>
      <c r="M130" t="n">
        <v>0</v>
      </c>
      <c r="N130" t="n">
        <v>0</v>
      </c>
      <c r="O130" t="n">
        <v>1</v>
      </c>
      <c r="P130" t="n">
        <v>0</v>
      </c>
      <c r="Q130" t="n">
        <v>1</v>
      </c>
      <c r="R130" s="2" t="inlineStr">
        <is>
          <t>Skrovellav</t>
        </is>
      </c>
      <c r="S130">
        <f>HYPERLINK("https://klasma.github.io/Logging_2321/artfynd/A 52542-2020 artfynd.xlsx", "A 52542-2020")</f>
        <v/>
      </c>
      <c r="T130">
        <f>HYPERLINK("https://klasma.github.io/Logging_2321/kartor/A 52542-2020 karta.png", "A 52542-2020")</f>
        <v/>
      </c>
      <c r="V130">
        <f>HYPERLINK("https://klasma.github.io/Logging_2321/klagomål/A 52542-2020 FSC-klagomål.docx", "A 52542-2020")</f>
        <v/>
      </c>
      <c r="W130">
        <f>HYPERLINK("https://klasma.github.io/Logging_2321/klagomålsmail/A 52542-2020 FSC-klagomål mail.docx", "A 52542-2020")</f>
        <v/>
      </c>
      <c r="X130">
        <f>HYPERLINK("https://klasma.github.io/Logging_2321/tillsyn/A 52542-2020 tillsynsbegäran.docx", "A 52542-2020")</f>
        <v/>
      </c>
      <c r="Y130">
        <f>HYPERLINK("https://klasma.github.io/Logging_2321/tillsynsmail/A 52542-2020 tillsynsbegäran mail.docx", "A 52542-2020")</f>
        <v/>
      </c>
    </row>
    <row r="131" ht="15" customHeight="1">
      <c r="A131" t="inlineStr">
        <is>
          <t>A 53598-2020</t>
        </is>
      </c>
      <c r="B131" s="1" t="n">
        <v>44124</v>
      </c>
      <c r="C131" s="1" t="n">
        <v>45348</v>
      </c>
      <c r="D131" t="inlineStr">
        <is>
          <t>JÄMTLANDS LÄN</t>
        </is>
      </c>
      <c r="E131" t="inlineStr">
        <is>
          <t>ÅRE</t>
        </is>
      </c>
      <c r="G131" t="n">
        <v>11.7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53598-2020 artfynd.xlsx", "A 53598-2020")</f>
        <v/>
      </c>
      <c r="T131">
        <f>HYPERLINK("https://klasma.github.io/Logging_2321/kartor/A 53598-2020 karta.png", "A 53598-2020")</f>
        <v/>
      </c>
      <c r="V131">
        <f>HYPERLINK("https://klasma.github.io/Logging_2321/klagomål/A 53598-2020 FSC-klagomål.docx", "A 53598-2020")</f>
        <v/>
      </c>
      <c r="W131">
        <f>HYPERLINK("https://klasma.github.io/Logging_2321/klagomålsmail/A 53598-2020 FSC-klagomål mail.docx", "A 53598-2020")</f>
        <v/>
      </c>
      <c r="X131">
        <f>HYPERLINK("https://klasma.github.io/Logging_2321/tillsyn/A 53598-2020 tillsynsbegäran.docx", "A 53598-2020")</f>
        <v/>
      </c>
      <c r="Y131">
        <f>HYPERLINK("https://klasma.github.io/Logging_2321/tillsynsmail/A 53598-2020 tillsynsbegäran mail.docx", "A 53598-2020")</f>
        <v/>
      </c>
      <c r="Z131">
        <f>HYPERLINK("https://klasma.github.io/Logging_2321/fåglar/A 53598-2020 prioriterade fågelarter.docx", "A 53598-2020")</f>
        <v/>
      </c>
    </row>
    <row r="132" ht="15" customHeight="1">
      <c r="A132" t="inlineStr">
        <is>
          <t>A 65517-2020</t>
        </is>
      </c>
      <c r="B132" s="1" t="n">
        <v>44173</v>
      </c>
      <c r="C132" s="1" t="n">
        <v>45348</v>
      </c>
      <c r="D132" t="inlineStr">
        <is>
          <t>JÄMTLANDS LÄN</t>
        </is>
      </c>
      <c r="E132" t="inlineStr">
        <is>
          <t>ÅRE</t>
        </is>
      </c>
      <c r="G132" t="n">
        <v>4.6</v>
      </c>
      <c r="H132" t="n">
        <v>0</v>
      </c>
      <c r="I132" t="n">
        <v>0</v>
      </c>
      <c r="J132" t="n">
        <v>1</v>
      </c>
      <c r="K132" t="n">
        <v>0</v>
      </c>
      <c r="L132" t="n">
        <v>0</v>
      </c>
      <c r="M132" t="n">
        <v>0</v>
      </c>
      <c r="N132" t="n">
        <v>0</v>
      </c>
      <c r="O132" t="n">
        <v>1</v>
      </c>
      <c r="P132" t="n">
        <v>0</v>
      </c>
      <c r="Q132" t="n">
        <v>1</v>
      </c>
      <c r="R132" s="2" t="inlineStr">
        <is>
          <t>Doftskinn</t>
        </is>
      </c>
      <c r="S132">
        <f>HYPERLINK("https://klasma.github.io/Logging_2321/artfynd/A 65517-2020 artfynd.xlsx", "A 65517-2020")</f>
        <v/>
      </c>
      <c r="T132">
        <f>HYPERLINK("https://klasma.github.io/Logging_2321/kartor/A 65517-2020 karta.png", "A 65517-2020")</f>
        <v/>
      </c>
      <c r="V132">
        <f>HYPERLINK("https://klasma.github.io/Logging_2321/klagomål/A 65517-2020 FSC-klagomål.docx", "A 65517-2020")</f>
        <v/>
      </c>
      <c r="W132">
        <f>HYPERLINK("https://klasma.github.io/Logging_2321/klagomålsmail/A 65517-2020 FSC-klagomål mail.docx", "A 65517-2020")</f>
        <v/>
      </c>
      <c r="X132">
        <f>HYPERLINK("https://klasma.github.io/Logging_2321/tillsyn/A 65517-2020 tillsynsbegäran.docx", "A 65517-2020")</f>
        <v/>
      </c>
      <c r="Y132">
        <f>HYPERLINK("https://klasma.github.io/Logging_2321/tillsynsmail/A 65517-2020 tillsynsbegäran mail.docx", "A 65517-2020")</f>
        <v/>
      </c>
    </row>
    <row r="133" ht="15" customHeight="1">
      <c r="A133" t="inlineStr">
        <is>
          <t>A 65446-2020</t>
        </is>
      </c>
      <c r="B133" s="1" t="n">
        <v>44173</v>
      </c>
      <c r="C133" s="1" t="n">
        <v>45348</v>
      </c>
      <c r="D133" t="inlineStr">
        <is>
          <t>JÄMTLANDS LÄN</t>
        </is>
      </c>
      <c r="E133" t="inlineStr">
        <is>
          <t>ÅRE</t>
        </is>
      </c>
      <c r="G133" t="n">
        <v>7.2</v>
      </c>
      <c r="H133" t="n">
        <v>0</v>
      </c>
      <c r="I133" t="n">
        <v>0</v>
      </c>
      <c r="J133" t="n">
        <v>1</v>
      </c>
      <c r="K133" t="n">
        <v>0</v>
      </c>
      <c r="L133" t="n">
        <v>0</v>
      </c>
      <c r="M133" t="n">
        <v>0</v>
      </c>
      <c r="N133" t="n">
        <v>0</v>
      </c>
      <c r="O133" t="n">
        <v>1</v>
      </c>
      <c r="P133" t="n">
        <v>0</v>
      </c>
      <c r="Q133" t="n">
        <v>1</v>
      </c>
      <c r="R133" s="2" t="inlineStr">
        <is>
          <t>Ullticka</t>
        </is>
      </c>
      <c r="S133">
        <f>HYPERLINK("https://klasma.github.io/Logging_2321/artfynd/A 65446-2020 artfynd.xlsx", "A 65446-2020")</f>
        <v/>
      </c>
      <c r="T133">
        <f>HYPERLINK("https://klasma.github.io/Logging_2321/kartor/A 65446-2020 karta.png", "A 65446-2020")</f>
        <v/>
      </c>
      <c r="V133">
        <f>HYPERLINK("https://klasma.github.io/Logging_2321/klagomål/A 65446-2020 FSC-klagomål.docx", "A 65446-2020")</f>
        <v/>
      </c>
      <c r="W133">
        <f>HYPERLINK("https://klasma.github.io/Logging_2321/klagomålsmail/A 65446-2020 FSC-klagomål mail.docx", "A 65446-2020")</f>
        <v/>
      </c>
      <c r="X133">
        <f>HYPERLINK("https://klasma.github.io/Logging_2321/tillsyn/A 65446-2020 tillsynsbegäran.docx", "A 65446-2020")</f>
        <v/>
      </c>
      <c r="Y133">
        <f>HYPERLINK("https://klasma.github.io/Logging_2321/tillsynsmail/A 65446-2020 tillsynsbegäran mail.docx", "A 65446-2020")</f>
        <v/>
      </c>
    </row>
    <row r="134" ht="15" customHeight="1">
      <c r="A134" t="inlineStr">
        <is>
          <t>A 2422-2021</t>
        </is>
      </c>
      <c r="B134" s="1" t="n">
        <v>44214</v>
      </c>
      <c r="C134" s="1" t="n">
        <v>45348</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11781-2021</t>
        </is>
      </c>
      <c r="B135" s="1" t="n">
        <v>44265</v>
      </c>
      <c r="C135" s="1" t="n">
        <v>45348</v>
      </c>
      <c r="D135" t="inlineStr">
        <is>
          <t>JÄMTLANDS LÄN</t>
        </is>
      </c>
      <c r="E135" t="inlineStr">
        <is>
          <t>ÅRE</t>
        </is>
      </c>
      <c r="G135" t="n">
        <v>4.1</v>
      </c>
      <c r="H135" t="n">
        <v>0</v>
      </c>
      <c r="I135" t="n">
        <v>1</v>
      </c>
      <c r="J135" t="n">
        <v>0</v>
      </c>
      <c r="K135" t="n">
        <v>0</v>
      </c>
      <c r="L135" t="n">
        <v>0</v>
      </c>
      <c r="M135" t="n">
        <v>0</v>
      </c>
      <c r="N135" t="n">
        <v>0</v>
      </c>
      <c r="O135" t="n">
        <v>0</v>
      </c>
      <c r="P135" t="n">
        <v>0</v>
      </c>
      <c r="Q135" t="n">
        <v>1</v>
      </c>
      <c r="R135" s="2" t="inlineStr">
        <is>
          <t>Finbräken</t>
        </is>
      </c>
      <c r="S135">
        <f>HYPERLINK("https://klasma.github.io/Logging_2321/artfynd/A 11781-2021 artfynd.xlsx", "A 11781-2021")</f>
        <v/>
      </c>
      <c r="T135">
        <f>HYPERLINK("https://klasma.github.io/Logging_2321/kartor/A 11781-2021 karta.png", "A 11781-2021")</f>
        <v/>
      </c>
      <c r="V135">
        <f>HYPERLINK("https://klasma.github.io/Logging_2321/klagomål/A 11781-2021 FSC-klagomål.docx", "A 11781-2021")</f>
        <v/>
      </c>
      <c r="W135">
        <f>HYPERLINK("https://klasma.github.io/Logging_2321/klagomålsmail/A 11781-2021 FSC-klagomål mail.docx", "A 11781-2021")</f>
        <v/>
      </c>
      <c r="X135">
        <f>HYPERLINK("https://klasma.github.io/Logging_2321/tillsyn/A 11781-2021 tillsynsbegäran.docx", "A 11781-2021")</f>
        <v/>
      </c>
      <c r="Y135">
        <f>HYPERLINK("https://klasma.github.io/Logging_2321/tillsynsmail/A 11781-2021 tillsynsbegäran mail.docx", "A 11781-2021")</f>
        <v/>
      </c>
    </row>
    <row r="136" ht="15" customHeight="1">
      <c r="A136" t="inlineStr">
        <is>
          <t>A 11767-2021</t>
        </is>
      </c>
      <c r="B136" s="1" t="n">
        <v>44265</v>
      </c>
      <c r="C136" s="1" t="n">
        <v>45348</v>
      </c>
      <c r="D136" t="inlineStr">
        <is>
          <t>JÄMTLANDS LÄN</t>
        </is>
      </c>
      <c r="E136" t="inlineStr">
        <is>
          <t>ÅRE</t>
        </is>
      </c>
      <c r="G136" t="n">
        <v>15.4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11767-2021 artfynd.xlsx", "A 11767-2021")</f>
        <v/>
      </c>
      <c r="T136">
        <f>HYPERLINK("https://klasma.github.io/Logging_2321/kartor/A 11767-2021 karta.png", "A 11767-2021")</f>
        <v/>
      </c>
      <c r="V136">
        <f>HYPERLINK("https://klasma.github.io/Logging_2321/klagomål/A 11767-2021 FSC-klagomål.docx", "A 11767-2021")</f>
        <v/>
      </c>
      <c r="W136">
        <f>HYPERLINK("https://klasma.github.io/Logging_2321/klagomålsmail/A 11767-2021 FSC-klagomål mail.docx", "A 11767-2021")</f>
        <v/>
      </c>
      <c r="X136">
        <f>HYPERLINK("https://klasma.github.io/Logging_2321/tillsyn/A 11767-2021 tillsynsbegäran.docx", "A 11767-2021")</f>
        <v/>
      </c>
      <c r="Y136">
        <f>HYPERLINK("https://klasma.github.io/Logging_2321/tillsynsmail/A 11767-2021 tillsynsbegäran mail.docx", "A 11767-2021")</f>
        <v/>
      </c>
      <c r="Z136">
        <f>HYPERLINK("https://klasma.github.io/Logging_2321/fåglar/A 11767-2021 prioriterade fågelarter.docx", "A 11767-2021")</f>
        <v/>
      </c>
    </row>
    <row r="137" ht="15" customHeight="1">
      <c r="A137" t="inlineStr">
        <is>
          <t>A 12970-2021</t>
        </is>
      </c>
      <c r="B137" s="1" t="n">
        <v>44271</v>
      </c>
      <c r="C137" s="1" t="n">
        <v>45348</v>
      </c>
      <c r="D137" t="inlineStr">
        <is>
          <t>JÄMTLANDS LÄN</t>
        </is>
      </c>
      <c r="E137" t="inlineStr">
        <is>
          <t>ÅRE</t>
        </is>
      </c>
      <c r="G137" t="n">
        <v>20.5</v>
      </c>
      <c r="H137" t="n">
        <v>1</v>
      </c>
      <c r="I137" t="n">
        <v>1</v>
      </c>
      <c r="J137" t="n">
        <v>0</v>
      </c>
      <c r="K137" t="n">
        <v>0</v>
      </c>
      <c r="L137" t="n">
        <v>0</v>
      </c>
      <c r="M137" t="n">
        <v>0</v>
      </c>
      <c r="N137" t="n">
        <v>0</v>
      </c>
      <c r="O137" t="n">
        <v>0</v>
      </c>
      <c r="P137" t="n">
        <v>0</v>
      </c>
      <c r="Q137" t="n">
        <v>1</v>
      </c>
      <c r="R137" s="2" t="inlineStr">
        <is>
          <t>Spindelblomster</t>
        </is>
      </c>
      <c r="S137">
        <f>HYPERLINK("https://klasma.github.io/Logging_2321/artfynd/A 12970-2021 artfynd.xlsx", "A 12970-2021")</f>
        <v/>
      </c>
      <c r="T137">
        <f>HYPERLINK("https://klasma.github.io/Logging_2321/kartor/A 12970-2021 karta.png", "A 12970-2021")</f>
        <v/>
      </c>
      <c r="V137">
        <f>HYPERLINK("https://klasma.github.io/Logging_2321/klagomål/A 12970-2021 FSC-klagomål.docx", "A 12970-2021")</f>
        <v/>
      </c>
      <c r="W137">
        <f>HYPERLINK("https://klasma.github.io/Logging_2321/klagomålsmail/A 12970-2021 FSC-klagomål mail.docx", "A 12970-2021")</f>
        <v/>
      </c>
      <c r="X137">
        <f>HYPERLINK("https://klasma.github.io/Logging_2321/tillsyn/A 12970-2021 tillsynsbegäran.docx", "A 12970-2021")</f>
        <v/>
      </c>
      <c r="Y137">
        <f>HYPERLINK("https://klasma.github.io/Logging_2321/tillsynsmail/A 12970-2021 tillsynsbegäran mail.docx", "A 12970-2021")</f>
        <v/>
      </c>
    </row>
    <row r="138" ht="15" customHeight="1">
      <c r="A138" t="inlineStr">
        <is>
          <t>A 18543-2021</t>
        </is>
      </c>
      <c r="B138" s="1" t="n">
        <v>44306</v>
      </c>
      <c r="C138" s="1" t="n">
        <v>45348</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20500-2021</t>
        </is>
      </c>
      <c r="B139" s="1" t="n">
        <v>44315</v>
      </c>
      <c r="C139" s="1" t="n">
        <v>45348</v>
      </c>
      <c r="D139" t="inlineStr">
        <is>
          <t>JÄMTLANDS LÄN</t>
        </is>
      </c>
      <c r="E139" t="inlineStr">
        <is>
          <t>ÅRE</t>
        </is>
      </c>
      <c r="G139" t="n">
        <v>3</v>
      </c>
      <c r="H139" t="n">
        <v>0</v>
      </c>
      <c r="I139" t="n">
        <v>1</v>
      </c>
      <c r="J139" t="n">
        <v>0</v>
      </c>
      <c r="K139" t="n">
        <v>0</v>
      </c>
      <c r="L139" t="n">
        <v>0</v>
      </c>
      <c r="M139" t="n">
        <v>0</v>
      </c>
      <c r="N139" t="n">
        <v>0</v>
      </c>
      <c r="O139" t="n">
        <v>0</v>
      </c>
      <c r="P139" t="n">
        <v>0</v>
      </c>
      <c r="Q139" t="n">
        <v>1</v>
      </c>
      <c r="R139" s="2" t="inlineStr">
        <is>
          <t>Svart trolldruva</t>
        </is>
      </c>
      <c r="S139">
        <f>HYPERLINK("https://klasma.github.io/Logging_2321/artfynd/A 20500-2021 artfynd.xlsx", "A 20500-2021")</f>
        <v/>
      </c>
      <c r="T139">
        <f>HYPERLINK("https://klasma.github.io/Logging_2321/kartor/A 20500-2021 karta.png", "A 20500-2021")</f>
        <v/>
      </c>
      <c r="V139">
        <f>HYPERLINK("https://klasma.github.io/Logging_2321/klagomål/A 20500-2021 FSC-klagomål.docx", "A 20500-2021")</f>
        <v/>
      </c>
      <c r="W139">
        <f>HYPERLINK("https://klasma.github.io/Logging_2321/klagomålsmail/A 20500-2021 FSC-klagomål mail.docx", "A 20500-2021")</f>
        <v/>
      </c>
      <c r="X139">
        <f>HYPERLINK("https://klasma.github.io/Logging_2321/tillsyn/A 20500-2021 tillsynsbegäran.docx", "A 20500-2021")</f>
        <v/>
      </c>
      <c r="Y139">
        <f>HYPERLINK("https://klasma.github.io/Logging_2321/tillsynsmail/A 20500-2021 tillsynsbegäran mail.docx", "A 20500-2021")</f>
        <v/>
      </c>
    </row>
    <row r="140" ht="15" customHeight="1">
      <c r="A140" t="inlineStr">
        <is>
          <t>A 23556-2021</t>
        </is>
      </c>
      <c r="B140" s="1" t="n">
        <v>44334</v>
      </c>
      <c r="C140" s="1" t="n">
        <v>45348</v>
      </c>
      <c r="D140" t="inlineStr">
        <is>
          <t>JÄMTLANDS LÄN</t>
        </is>
      </c>
      <c r="E140" t="inlineStr">
        <is>
          <t>ÅRE</t>
        </is>
      </c>
      <c r="G140" t="n">
        <v>11.1</v>
      </c>
      <c r="H140" t="n">
        <v>1</v>
      </c>
      <c r="I140" t="n">
        <v>1</v>
      </c>
      <c r="J140" t="n">
        <v>0</v>
      </c>
      <c r="K140" t="n">
        <v>0</v>
      </c>
      <c r="L140" t="n">
        <v>0</v>
      </c>
      <c r="M140" t="n">
        <v>0</v>
      </c>
      <c r="N140" t="n">
        <v>0</v>
      </c>
      <c r="O140" t="n">
        <v>0</v>
      </c>
      <c r="P140" t="n">
        <v>0</v>
      </c>
      <c r="Q140" t="n">
        <v>1</v>
      </c>
      <c r="R140" s="2" t="inlineStr">
        <is>
          <t>Tvåblad</t>
        </is>
      </c>
      <c r="S140">
        <f>HYPERLINK("https://klasma.github.io/Logging_2321/artfynd/A 23556-2021 artfynd.xlsx", "A 23556-2021")</f>
        <v/>
      </c>
      <c r="T140">
        <f>HYPERLINK("https://klasma.github.io/Logging_2321/kartor/A 23556-2021 karta.png", "A 23556-2021")</f>
        <v/>
      </c>
      <c r="V140">
        <f>HYPERLINK("https://klasma.github.io/Logging_2321/klagomål/A 23556-2021 FSC-klagomål.docx", "A 23556-2021")</f>
        <v/>
      </c>
      <c r="W140">
        <f>HYPERLINK("https://klasma.github.io/Logging_2321/klagomålsmail/A 23556-2021 FSC-klagomål mail.docx", "A 23556-2021")</f>
        <v/>
      </c>
      <c r="X140">
        <f>HYPERLINK("https://klasma.github.io/Logging_2321/tillsyn/A 23556-2021 tillsynsbegäran.docx", "A 23556-2021")</f>
        <v/>
      </c>
      <c r="Y140">
        <f>HYPERLINK("https://klasma.github.io/Logging_2321/tillsynsmail/A 23556-2021 tillsynsbegäran mail.docx", "A 23556-2021")</f>
        <v/>
      </c>
    </row>
    <row r="141" ht="15" customHeight="1">
      <c r="A141" t="inlineStr">
        <is>
          <t>A 37082-2021</t>
        </is>
      </c>
      <c r="B141" s="1" t="n">
        <v>44395</v>
      </c>
      <c r="C141" s="1" t="n">
        <v>45348</v>
      </c>
      <c r="D141" t="inlineStr">
        <is>
          <t>JÄMTLANDS LÄN</t>
        </is>
      </c>
      <c r="E141" t="inlineStr">
        <is>
          <t>ÅRE</t>
        </is>
      </c>
      <c r="G141" t="n">
        <v>14.6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37082-2021 artfynd.xlsx", "A 37082-2021")</f>
        <v/>
      </c>
      <c r="T141">
        <f>HYPERLINK("https://klasma.github.io/Logging_2321/kartor/A 37082-2021 karta.png", "A 37082-2021")</f>
        <v/>
      </c>
      <c r="V141">
        <f>HYPERLINK("https://klasma.github.io/Logging_2321/klagomål/A 37082-2021 FSC-klagomål.docx", "A 37082-2021")</f>
        <v/>
      </c>
      <c r="W141">
        <f>HYPERLINK("https://klasma.github.io/Logging_2321/klagomålsmail/A 37082-2021 FSC-klagomål mail.docx", "A 37082-2021")</f>
        <v/>
      </c>
      <c r="X141">
        <f>HYPERLINK("https://klasma.github.io/Logging_2321/tillsyn/A 37082-2021 tillsynsbegäran.docx", "A 37082-2021")</f>
        <v/>
      </c>
      <c r="Y141">
        <f>HYPERLINK("https://klasma.github.io/Logging_2321/tillsynsmail/A 37082-2021 tillsynsbegäran mail.docx", "A 37082-2021")</f>
        <v/>
      </c>
      <c r="Z141">
        <f>HYPERLINK("https://klasma.github.io/Logging_2321/fåglar/A 37082-2021 prioriterade fågelarter.docx", "A 37082-2021")</f>
        <v/>
      </c>
    </row>
    <row r="142" ht="15" customHeight="1">
      <c r="A142" t="inlineStr">
        <is>
          <t>A 56193-2021</t>
        </is>
      </c>
      <c r="B142" s="1" t="n">
        <v>44477</v>
      </c>
      <c r="C142" s="1" t="n">
        <v>45348</v>
      </c>
      <c r="D142" t="inlineStr">
        <is>
          <t>JÄMTLANDS LÄN</t>
        </is>
      </c>
      <c r="E142" t="inlineStr">
        <is>
          <t>ÅRE</t>
        </is>
      </c>
      <c r="F142" t="inlineStr">
        <is>
          <t>Övriga Aktiebolag</t>
        </is>
      </c>
      <c r="G142" t="n">
        <v>15.5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56193-2021 artfynd.xlsx", "A 56193-2021")</f>
        <v/>
      </c>
      <c r="T142">
        <f>HYPERLINK("https://klasma.github.io/Logging_2321/kartor/A 56193-2021 karta.png", "A 56193-2021")</f>
        <v/>
      </c>
      <c r="V142">
        <f>HYPERLINK("https://klasma.github.io/Logging_2321/klagomål/A 56193-2021 FSC-klagomål.docx", "A 56193-2021")</f>
        <v/>
      </c>
      <c r="W142">
        <f>HYPERLINK("https://klasma.github.io/Logging_2321/klagomålsmail/A 56193-2021 FSC-klagomål mail.docx", "A 56193-2021")</f>
        <v/>
      </c>
      <c r="X142">
        <f>HYPERLINK("https://klasma.github.io/Logging_2321/tillsyn/A 56193-2021 tillsynsbegäran.docx", "A 56193-2021")</f>
        <v/>
      </c>
      <c r="Y142">
        <f>HYPERLINK("https://klasma.github.io/Logging_2321/tillsynsmail/A 56193-2021 tillsynsbegäran mail.docx", "A 56193-2021")</f>
        <v/>
      </c>
      <c r="Z142">
        <f>HYPERLINK("https://klasma.github.io/Logging_2321/fåglar/A 56193-2021 prioriterade fågelarter.docx", "A 56193-2021")</f>
        <v/>
      </c>
    </row>
    <row r="143" ht="15" customHeight="1">
      <c r="A143" t="inlineStr">
        <is>
          <t>A 58117-2021</t>
        </is>
      </c>
      <c r="B143" s="1" t="n">
        <v>44487</v>
      </c>
      <c r="C143" s="1" t="n">
        <v>45348</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45348</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58226-2021</t>
        </is>
      </c>
      <c r="B145" s="1" t="n">
        <v>44487</v>
      </c>
      <c r="C145" s="1" t="n">
        <v>45348</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62188-2021</t>
        </is>
      </c>
      <c r="B146" s="1" t="n">
        <v>44502</v>
      </c>
      <c r="C146" s="1" t="n">
        <v>45348</v>
      </c>
      <c r="D146" t="inlineStr">
        <is>
          <t>JÄMTLANDS LÄN</t>
        </is>
      </c>
      <c r="E146" t="inlineStr">
        <is>
          <t>ÅRE</t>
        </is>
      </c>
      <c r="G146" t="n">
        <v>2.5</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62188-2021 artfynd.xlsx", "A 62188-2021")</f>
        <v/>
      </c>
      <c r="T146">
        <f>HYPERLINK("https://klasma.github.io/Logging_2321/kartor/A 62188-2021 karta.png", "A 62188-2021")</f>
        <v/>
      </c>
      <c r="V146">
        <f>HYPERLINK("https://klasma.github.io/Logging_2321/klagomål/A 62188-2021 FSC-klagomål.docx", "A 62188-2021")</f>
        <v/>
      </c>
      <c r="W146">
        <f>HYPERLINK("https://klasma.github.io/Logging_2321/klagomålsmail/A 62188-2021 FSC-klagomål mail.docx", "A 62188-2021")</f>
        <v/>
      </c>
      <c r="X146">
        <f>HYPERLINK("https://klasma.github.io/Logging_2321/tillsyn/A 62188-2021 tillsynsbegäran.docx", "A 62188-2021")</f>
        <v/>
      </c>
      <c r="Y146">
        <f>HYPERLINK("https://klasma.github.io/Logging_2321/tillsynsmail/A 62188-2021 tillsynsbegäran mail.docx", "A 62188-2021")</f>
        <v/>
      </c>
    </row>
    <row r="147" ht="15" customHeight="1">
      <c r="A147" t="inlineStr">
        <is>
          <t>A 63975-2021</t>
        </is>
      </c>
      <c r="B147" s="1" t="n">
        <v>44509</v>
      </c>
      <c r="C147" s="1" t="n">
        <v>45348</v>
      </c>
      <c r="D147" t="inlineStr">
        <is>
          <t>JÄMTLANDS LÄN</t>
        </is>
      </c>
      <c r="E147" t="inlineStr">
        <is>
          <t>ÅRE</t>
        </is>
      </c>
      <c r="G147" t="n">
        <v>2.4</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63975-2021 artfynd.xlsx", "A 63975-2021")</f>
        <v/>
      </c>
      <c r="T147">
        <f>HYPERLINK("https://klasma.github.io/Logging_2321/kartor/A 63975-2021 karta.png", "A 63975-2021")</f>
        <v/>
      </c>
      <c r="V147">
        <f>HYPERLINK("https://klasma.github.io/Logging_2321/klagomål/A 63975-2021 FSC-klagomål.docx", "A 63975-2021")</f>
        <v/>
      </c>
      <c r="W147">
        <f>HYPERLINK("https://klasma.github.io/Logging_2321/klagomålsmail/A 63975-2021 FSC-klagomål mail.docx", "A 63975-2021")</f>
        <v/>
      </c>
      <c r="X147">
        <f>HYPERLINK("https://klasma.github.io/Logging_2321/tillsyn/A 63975-2021 tillsynsbegäran.docx", "A 63975-2021")</f>
        <v/>
      </c>
      <c r="Y147">
        <f>HYPERLINK("https://klasma.github.io/Logging_2321/tillsynsmail/A 63975-2021 tillsynsbegäran mail.docx", "A 63975-2021")</f>
        <v/>
      </c>
    </row>
    <row r="148" ht="15" customHeight="1">
      <c r="A148" t="inlineStr">
        <is>
          <t>A 74392-2021</t>
        </is>
      </c>
      <c r="B148" s="1" t="n">
        <v>44559</v>
      </c>
      <c r="C148" s="1" t="n">
        <v>45348</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45348</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17692-2022</t>
        </is>
      </c>
      <c r="B150" s="1" t="n">
        <v>44680</v>
      </c>
      <c r="C150" s="1" t="n">
        <v>45348</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18851-2022</t>
        </is>
      </c>
      <c r="B151" s="1" t="n">
        <v>44690</v>
      </c>
      <c r="C151" s="1" t="n">
        <v>45348</v>
      </c>
      <c r="D151" t="inlineStr">
        <is>
          <t>JÄMTLANDS LÄN</t>
        </is>
      </c>
      <c r="E151" t="inlineStr">
        <is>
          <t>ÅRE</t>
        </is>
      </c>
      <c r="G151" t="n">
        <v>10.4</v>
      </c>
      <c r="H151" t="n">
        <v>0</v>
      </c>
      <c r="I151" t="n">
        <v>0</v>
      </c>
      <c r="J151" t="n">
        <v>1</v>
      </c>
      <c r="K151" t="n">
        <v>0</v>
      </c>
      <c r="L151" t="n">
        <v>0</v>
      </c>
      <c r="M151" t="n">
        <v>0</v>
      </c>
      <c r="N151" t="n">
        <v>0</v>
      </c>
      <c r="O151" t="n">
        <v>1</v>
      </c>
      <c r="P151" t="n">
        <v>0</v>
      </c>
      <c r="Q151" t="n">
        <v>1</v>
      </c>
      <c r="R151" s="2" t="inlineStr">
        <is>
          <t>Garnlav</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row>
    <row r="152" ht="15" customHeight="1">
      <c r="A152" t="inlineStr">
        <is>
          <t>A 32216-2022</t>
        </is>
      </c>
      <c r="B152" s="1" t="n">
        <v>44781</v>
      </c>
      <c r="C152" s="1" t="n">
        <v>45348</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40614-2022</t>
        </is>
      </c>
      <c r="B153" s="1" t="n">
        <v>44824</v>
      </c>
      <c r="C153" s="1" t="n">
        <v>45348</v>
      </c>
      <c r="D153" t="inlineStr">
        <is>
          <t>JÄMTLANDS LÄN</t>
        </is>
      </c>
      <c r="E153" t="inlineStr">
        <is>
          <t>ÅRE</t>
        </is>
      </c>
      <c r="F153" t="inlineStr">
        <is>
          <t>Övriga Aktiebolag</t>
        </is>
      </c>
      <c r="G153" t="n">
        <v>23.2</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40614-2022 artfynd.xlsx", "A 40614-2022")</f>
        <v/>
      </c>
      <c r="T153">
        <f>HYPERLINK("https://klasma.github.io/Logging_2321/kartor/A 40614-2022 karta.png", "A 40614-2022")</f>
        <v/>
      </c>
      <c r="V153">
        <f>HYPERLINK("https://klasma.github.io/Logging_2321/klagomål/A 40614-2022 FSC-klagomål.docx", "A 40614-2022")</f>
        <v/>
      </c>
      <c r="W153">
        <f>HYPERLINK("https://klasma.github.io/Logging_2321/klagomålsmail/A 40614-2022 FSC-klagomål mail.docx", "A 40614-2022")</f>
        <v/>
      </c>
      <c r="X153">
        <f>HYPERLINK("https://klasma.github.io/Logging_2321/tillsyn/A 40614-2022 tillsynsbegäran.docx", "A 40614-2022")</f>
        <v/>
      </c>
      <c r="Y153">
        <f>HYPERLINK("https://klasma.github.io/Logging_2321/tillsynsmail/A 40614-2022 tillsynsbegäran mail.docx", "A 40614-2022")</f>
        <v/>
      </c>
      <c r="Z153">
        <f>HYPERLINK("https://klasma.github.io/Logging_2321/fåglar/A 40614-2022 prioriterade fågelarter.docx", "A 40614-2022")</f>
        <v/>
      </c>
    </row>
    <row r="154" ht="15" customHeight="1">
      <c r="A154" t="inlineStr">
        <is>
          <t>A 55805-2022</t>
        </is>
      </c>
      <c r="B154" s="1" t="n">
        <v>44888</v>
      </c>
      <c r="C154" s="1" t="n">
        <v>45348</v>
      </c>
      <c r="D154" t="inlineStr">
        <is>
          <t>JÄMTLANDS LÄN</t>
        </is>
      </c>
      <c r="E154" t="inlineStr">
        <is>
          <t>ÅRE</t>
        </is>
      </c>
      <c r="F154" t="inlineStr">
        <is>
          <t>Övriga Aktiebolag</t>
        </is>
      </c>
      <c r="G154" t="n">
        <v>17.7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55805-2022 artfynd.xlsx", "A 55805-2022")</f>
        <v/>
      </c>
      <c r="T154">
        <f>HYPERLINK("https://klasma.github.io/Logging_2321/kartor/A 55805-2022 karta.png", "A 55805-2022")</f>
        <v/>
      </c>
      <c r="V154">
        <f>HYPERLINK("https://klasma.github.io/Logging_2321/klagomål/A 55805-2022 FSC-klagomål.docx", "A 55805-2022")</f>
        <v/>
      </c>
      <c r="W154">
        <f>HYPERLINK("https://klasma.github.io/Logging_2321/klagomålsmail/A 55805-2022 FSC-klagomål mail.docx", "A 55805-2022")</f>
        <v/>
      </c>
      <c r="X154">
        <f>HYPERLINK("https://klasma.github.io/Logging_2321/tillsyn/A 55805-2022 tillsynsbegäran.docx", "A 55805-2022")</f>
        <v/>
      </c>
      <c r="Y154">
        <f>HYPERLINK("https://klasma.github.io/Logging_2321/tillsynsmail/A 55805-2022 tillsynsbegäran mail.docx", "A 55805-2022")</f>
        <v/>
      </c>
      <c r="Z154">
        <f>HYPERLINK("https://klasma.github.io/Logging_2321/fåglar/A 55805-2022 prioriterade fågelarter.docx", "A 55805-2022")</f>
        <v/>
      </c>
    </row>
    <row r="155" ht="15" customHeight="1">
      <c r="A155" t="inlineStr">
        <is>
          <t>A 56493-2022</t>
        </is>
      </c>
      <c r="B155" s="1" t="n">
        <v>44893</v>
      </c>
      <c r="C155" s="1" t="n">
        <v>45348</v>
      </c>
      <c r="D155" t="inlineStr">
        <is>
          <t>JÄMTLANDS LÄN</t>
        </is>
      </c>
      <c r="E155" t="inlineStr">
        <is>
          <t>ÅRE</t>
        </is>
      </c>
      <c r="F155" t="inlineStr">
        <is>
          <t>Övriga Aktiebolag</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HYPERLINK("https://klasma.github.io/Logging_2321/artfynd/A 56493-2022 artfynd.xlsx", "A 56493-2022")</f>
        <v/>
      </c>
      <c r="T155">
        <f>HYPERLINK("https://klasma.github.io/Logging_2321/kartor/A 56493-2022 karta.png", "A 56493-2022")</f>
        <v/>
      </c>
      <c r="V155">
        <f>HYPERLINK("https://klasma.github.io/Logging_2321/klagomål/A 56493-2022 FSC-klagomål.docx", "A 56493-2022")</f>
        <v/>
      </c>
      <c r="W155">
        <f>HYPERLINK("https://klasma.github.io/Logging_2321/klagomålsmail/A 56493-2022 FSC-klagomål mail.docx", "A 56493-2022")</f>
        <v/>
      </c>
      <c r="X155">
        <f>HYPERLINK("https://klasma.github.io/Logging_2321/tillsyn/A 56493-2022 tillsynsbegäran.docx", "A 56493-2022")</f>
        <v/>
      </c>
      <c r="Y155">
        <f>HYPERLINK("https://klasma.github.io/Logging_2321/tillsynsmail/A 56493-2022 tillsynsbegäran mail.docx", "A 56493-2022")</f>
        <v/>
      </c>
    </row>
    <row r="156" ht="15" customHeight="1">
      <c r="A156" t="inlineStr">
        <is>
          <t>A 56603-2022</t>
        </is>
      </c>
      <c r="B156" s="1" t="n">
        <v>44893</v>
      </c>
      <c r="C156" s="1" t="n">
        <v>45348</v>
      </c>
      <c r="D156" t="inlineStr">
        <is>
          <t>JÄMTLANDS LÄN</t>
        </is>
      </c>
      <c r="E156" t="inlineStr">
        <is>
          <t>ÅRE</t>
        </is>
      </c>
      <c r="F156" t="inlineStr">
        <is>
          <t>Övriga Aktiebolag</t>
        </is>
      </c>
      <c r="G156" t="n">
        <v>14.3</v>
      </c>
      <c r="H156" t="n">
        <v>1</v>
      </c>
      <c r="I156" t="n">
        <v>0</v>
      </c>
      <c r="J156" t="n">
        <v>1</v>
      </c>
      <c r="K156" t="n">
        <v>0</v>
      </c>
      <c r="L156" t="n">
        <v>0</v>
      </c>
      <c r="M156" t="n">
        <v>0</v>
      </c>
      <c r="N156" t="n">
        <v>0</v>
      </c>
      <c r="O156" t="n">
        <v>1</v>
      </c>
      <c r="P156" t="n">
        <v>0</v>
      </c>
      <c r="Q156" t="n">
        <v>1</v>
      </c>
      <c r="R156" s="2" t="inlineStr">
        <is>
          <t>Talltita</t>
        </is>
      </c>
      <c r="S156">
        <f>HYPERLINK("https://klasma.github.io/Logging_2321/artfynd/A 56603-2022 artfynd.xlsx", "A 56603-2022")</f>
        <v/>
      </c>
      <c r="T156">
        <f>HYPERLINK("https://klasma.github.io/Logging_2321/kartor/A 56603-2022 karta.png", "A 56603-2022")</f>
        <v/>
      </c>
      <c r="V156">
        <f>HYPERLINK("https://klasma.github.io/Logging_2321/klagomål/A 56603-2022 FSC-klagomål.docx", "A 56603-2022")</f>
        <v/>
      </c>
      <c r="W156">
        <f>HYPERLINK("https://klasma.github.io/Logging_2321/klagomålsmail/A 56603-2022 FSC-klagomål mail.docx", "A 56603-2022")</f>
        <v/>
      </c>
      <c r="X156">
        <f>HYPERLINK("https://klasma.github.io/Logging_2321/tillsyn/A 56603-2022 tillsynsbegäran.docx", "A 56603-2022")</f>
        <v/>
      </c>
      <c r="Y156">
        <f>HYPERLINK("https://klasma.github.io/Logging_2321/tillsynsmail/A 56603-2022 tillsynsbegäran mail.docx", "A 56603-2022")</f>
        <v/>
      </c>
      <c r="Z156">
        <f>HYPERLINK("https://klasma.github.io/Logging_2321/fåglar/A 56603-2022 prioriterade fågelarter.docx", "A 56603-2022")</f>
        <v/>
      </c>
    </row>
    <row r="157" ht="15" customHeight="1">
      <c r="A157" t="inlineStr">
        <is>
          <t>A 57396-2022</t>
        </is>
      </c>
      <c r="B157" s="1" t="n">
        <v>44896</v>
      </c>
      <c r="C157" s="1" t="n">
        <v>45348</v>
      </c>
      <c r="D157" t="inlineStr">
        <is>
          <t>JÄMTLANDS LÄN</t>
        </is>
      </c>
      <c r="E157" t="inlineStr">
        <is>
          <t>ÅRE</t>
        </is>
      </c>
      <c r="G157" t="n">
        <v>3.1</v>
      </c>
      <c r="H157" t="n">
        <v>0</v>
      </c>
      <c r="I157" t="n">
        <v>0</v>
      </c>
      <c r="J157" t="n">
        <v>1</v>
      </c>
      <c r="K157" t="n">
        <v>0</v>
      </c>
      <c r="L157" t="n">
        <v>0</v>
      </c>
      <c r="M157" t="n">
        <v>0</v>
      </c>
      <c r="N157" t="n">
        <v>0</v>
      </c>
      <c r="O157" t="n">
        <v>1</v>
      </c>
      <c r="P157" t="n">
        <v>0</v>
      </c>
      <c r="Q157" t="n">
        <v>1</v>
      </c>
      <c r="R157" s="2" t="inlineStr">
        <is>
          <t>Granticka</t>
        </is>
      </c>
      <c r="S157">
        <f>HYPERLINK("https://klasma.github.io/Logging_2321/artfynd/A 57396-2022 artfynd.xlsx", "A 57396-2022")</f>
        <v/>
      </c>
      <c r="T157">
        <f>HYPERLINK("https://klasma.github.io/Logging_2321/kartor/A 57396-2022 karta.png", "A 57396-2022")</f>
        <v/>
      </c>
      <c r="V157">
        <f>HYPERLINK("https://klasma.github.io/Logging_2321/klagomål/A 57396-2022 FSC-klagomål.docx", "A 57396-2022")</f>
        <v/>
      </c>
      <c r="W157">
        <f>HYPERLINK("https://klasma.github.io/Logging_2321/klagomålsmail/A 57396-2022 FSC-klagomål mail.docx", "A 57396-2022")</f>
        <v/>
      </c>
      <c r="X157">
        <f>HYPERLINK("https://klasma.github.io/Logging_2321/tillsyn/A 57396-2022 tillsynsbegäran.docx", "A 57396-2022")</f>
        <v/>
      </c>
      <c r="Y157">
        <f>HYPERLINK("https://klasma.github.io/Logging_2321/tillsynsmail/A 57396-2022 tillsynsbegäran mail.docx", "A 57396-2022")</f>
        <v/>
      </c>
    </row>
    <row r="158" ht="15" customHeight="1">
      <c r="A158" t="inlineStr">
        <is>
          <t>A 60544-2022</t>
        </is>
      </c>
      <c r="B158" s="1" t="n">
        <v>44904</v>
      </c>
      <c r="C158" s="1" t="n">
        <v>45348</v>
      </c>
      <c r="D158" t="inlineStr">
        <is>
          <t>JÄMTLANDS LÄN</t>
        </is>
      </c>
      <c r="E158" t="inlineStr">
        <is>
          <t>ÅRE</t>
        </is>
      </c>
      <c r="G158" t="n">
        <v>1.2</v>
      </c>
      <c r="H158" t="n">
        <v>1</v>
      </c>
      <c r="I158" t="n">
        <v>0</v>
      </c>
      <c r="J158" t="n">
        <v>1</v>
      </c>
      <c r="K158" t="n">
        <v>0</v>
      </c>
      <c r="L158" t="n">
        <v>0</v>
      </c>
      <c r="M158" t="n">
        <v>0</v>
      </c>
      <c r="N158" t="n">
        <v>0</v>
      </c>
      <c r="O158" t="n">
        <v>1</v>
      </c>
      <c r="P158" t="n">
        <v>0</v>
      </c>
      <c r="Q158" t="n">
        <v>1</v>
      </c>
      <c r="R158" s="2" t="inlineStr">
        <is>
          <t>Järpe</t>
        </is>
      </c>
      <c r="S158">
        <f>HYPERLINK("https://klasma.github.io/Logging_2321/artfynd/A 60544-2022 artfynd.xlsx", "A 60544-2022")</f>
        <v/>
      </c>
      <c r="T158">
        <f>HYPERLINK("https://klasma.github.io/Logging_2321/kartor/A 60544-2022 karta.png", "A 60544-2022")</f>
        <v/>
      </c>
      <c r="V158">
        <f>HYPERLINK("https://klasma.github.io/Logging_2321/klagomål/A 60544-2022 FSC-klagomål.docx", "A 60544-2022")</f>
        <v/>
      </c>
      <c r="W158">
        <f>HYPERLINK("https://klasma.github.io/Logging_2321/klagomålsmail/A 60544-2022 FSC-klagomål mail.docx", "A 60544-2022")</f>
        <v/>
      </c>
      <c r="X158">
        <f>HYPERLINK("https://klasma.github.io/Logging_2321/tillsyn/A 60544-2022 tillsynsbegäran.docx", "A 60544-2022")</f>
        <v/>
      </c>
      <c r="Y158">
        <f>HYPERLINK("https://klasma.github.io/Logging_2321/tillsynsmail/A 60544-2022 tillsynsbegäran mail.docx", "A 60544-2022")</f>
        <v/>
      </c>
      <c r="Z158">
        <f>HYPERLINK("https://klasma.github.io/Logging_2321/fåglar/A 60544-2022 prioriterade fågelarter.docx", "A 60544-2022")</f>
        <v/>
      </c>
    </row>
    <row r="159" ht="15" customHeight="1">
      <c r="A159" t="inlineStr">
        <is>
          <t>A 60435-2022</t>
        </is>
      </c>
      <c r="B159" s="1" t="n">
        <v>44911</v>
      </c>
      <c r="C159" s="1" t="n">
        <v>45348</v>
      </c>
      <c r="D159" t="inlineStr">
        <is>
          <t>JÄMTLANDS LÄN</t>
        </is>
      </c>
      <c r="E159" t="inlineStr">
        <is>
          <t>ÅRE</t>
        </is>
      </c>
      <c r="F159" t="inlineStr">
        <is>
          <t>Övriga Aktiebolag</t>
        </is>
      </c>
      <c r="G159" t="n">
        <v>7.9</v>
      </c>
      <c r="H159" t="n">
        <v>0</v>
      </c>
      <c r="I159" t="n">
        <v>1</v>
      </c>
      <c r="J159" t="n">
        <v>0</v>
      </c>
      <c r="K159" t="n">
        <v>0</v>
      </c>
      <c r="L159" t="n">
        <v>0</v>
      </c>
      <c r="M159" t="n">
        <v>0</v>
      </c>
      <c r="N159" t="n">
        <v>0</v>
      </c>
      <c r="O159" t="n">
        <v>0</v>
      </c>
      <c r="P159" t="n">
        <v>0</v>
      </c>
      <c r="Q159" t="n">
        <v>1</v>
      </c>
      <c r="R159" s="2" t="inlineStr">
        <is>
          <t>Kransrams</t>
        </is>
      </c>
      <c r="S159">
        <f>HYPERLINK("https://klasma.github.io/Logging_2321/artfynd/A 60435-2022 artfynd.xlsx", "A 60435-2022")</f>
        <v/>
      </c>
      <c r="T159">
        <f>HYPERLINK("https://klasma.github.io/Logging_2321/kartor/A 60435-2022 karta.png", "A 60435-2022")</f>
        <v/>
      </c>
      <c r="V159">
        <f>HYPERLINK("https://klasma.github.io/Logging_2321/klagomål/A 60435-2022 FSC-klagomål.docx", "A 60435-2022")</f>
        <v/>
      </c>
      <c r="W159">
        <f>HYPERLINK("https://klasma.github.io/Logging_2321/klagomålsmail/A 60435-2022 FSC-klagomål mail.docx", "A 60435-2022")</f>
        <v/>
      </c>
      <c r="X159">
        <f>HYPERLINK("https://klasma.github.io/Logging_2321/tillsyn/A 60435-2022 tillsynsbegäran.docx", "A 60435-2022")</f>
        <v/>
      </c>
      <c r="Y159">
        <f>HYPERLINK("https://klasma.github.io/Logging_2321/tillsynsmail/A 60435-2022 tillsynsbegäran mail.docx", "A 60435-2022")</f>
        <v/>
      </c>
    </row>
    <row r="160" ht="15" customHeight="1">
      <c r="A160" t="inlineStr">
        <is>
          <t>A 5480-2023</t>
        </is>
      </c>
      <c r="B160" s="1" t="n">
        <v>44957</v>
      </c>
      <c r="C160" s="1" t="n">
        <v>45348</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10632-2023</t>
        </is>
      </c>
      <c r="B161" s="1" t="n">
        <v>44984</v>
      </c>
      <c r="C161" s="1" t="n">
        <v>45348</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13625-2023</t>
        </is>
      </c>
      <c r="B162" s="1" t="n">
        <v>45006</v>
      </c>
      <c r="C162" s="1" t="n">
        <v>45348</v>
      </c>
      <c r="D162" t="inlineStr">
        <is>
          <t>JÄMTLANDS LÄN</t>
        </is>
      </c>
      <c r="E162" t="inlineStr">
        <is>
          <t>ÅRE</t>
        </is>
      </c>
      <c r="G162" t="n">
        <v>22.9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13625-2023 artfynd.xlsx", "A 13625-2023")</f>
        <v/>
      </c>
      <c r="T162">
        <f>HYPERLINK("https://klasma.github.io/Logging_2321/kartor/A 13625-2023 karta.png", "A 13625-2023")</f>
        <v/>
      </c>
      <c r="V162">
        <f>HYPERLINK("https://klasma.github.io/Logging_2321/klagomål/A 13625-2023 FSC-klagomål.docx", "A 13625-2023")</f>
        <v/>
      </c>
      <c r="W162">
        <f>HYPERLINK("https://klasma.github.io/Logging_2321/klagomålsmail/A 13625-2023 FSC-klagomål mail.docx", "A 13625-2023")</f>
        <v/>
      </c>
      <c r="X162">
        <f>HYPERLINK("https://klasma.github.io/Logging_2321/tillsyn/A 13625-2023 tillsynsbegäran.docx", "A 13625-2023")</f>
        <v/>
      </c>
      <c r="Y162">
        <f>HYPERLINK("https://klasma.github.io/Logging_2321/tillsynsmail/A 13625-2023 tillsynsbegäran mail.docx", "A 13625-2023")</f>
        <v/>
      </c>
      <c r="Z162">
        <f>HYPERLINK("https://klasma.github.io/Logging_2321/fåglar/A 13625-2023 prioriterade fågelarter.docx", "A 13625-2023")</f>
        <v/>
      </c>
    </row>
    <row r="163" ht="15" customHeight="1">
      <c r="A163" t="inlineStr">
        <is>
          <t>A 41405-2023</t>
        </is>
      </c>
      <c r="B163" s="1" t="n">
        <v>45174</v>
      </c>
      <c r="C163" s="1" t="n">
        <v>45348</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45348</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45348</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45348</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45348</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45348</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45348</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45348</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45348</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45348</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45348</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45348</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45348</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45348</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45348</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45348</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45348</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45348</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45348</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45348</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45348</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45348</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45348</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45348</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45348</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45348</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45348</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45348</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45348</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45348</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45348</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45348</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45348</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45348</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45348</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45348</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45348</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45348</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45348</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45348</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45348</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45348</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45348</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45348</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45348</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45348</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45348</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45348</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45348</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45348</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45348</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45348</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45348</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45348</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45348</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45348</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45348</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45348</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45348</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45348</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45348</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45348</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45348</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45348</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45348</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45348</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45348</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45348</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45348</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45348</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45348</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45348</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45348</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45348</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45348</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45348</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45348</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45348</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45348</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45348</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45348</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45348</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45348</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45348</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45348</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45348</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45348</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45348</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45348</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45348</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45348</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45348</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45348</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45348</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45348</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45348</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45348</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45348</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45348</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45348</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45348</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45348</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45348</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45348</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45348</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45348</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45348</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45348</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45348</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45348</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45348</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45348</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45348</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45348</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45348</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45348</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45348</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45348</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45348</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45348</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45348</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45348</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45348</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45348</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45348</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45348</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45348</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45348</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45348</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45348</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45348</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45348</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45348</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45348</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45348</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45348</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45348</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45348</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45348</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45348</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45348</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45348</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45348</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45348</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45348</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45348</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45348</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45348</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45348</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45348</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45348</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45348</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45348</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45348</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45348</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45348</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45348</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45348</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45348</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45348</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45348</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45348</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45348</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45348</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45348</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45348</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45348</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45348</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45348</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45348</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45348</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45348</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45348</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45348</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45348</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45348</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45348</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45348</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45348</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45348</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45348</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45348</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45348</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45348</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45348</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45348</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45348</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45348</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45348</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45348</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45348</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45348</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45348</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45348</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45348</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45348</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45348</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45348</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45348</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45348</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45348</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45348</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45348</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45348</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45348</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45348</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45348</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45348</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45348</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45348</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45348</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45348</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45348</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45348</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45348</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45348</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45348</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45348</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45348</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45348</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45348</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45348</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45348</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45348</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45348</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45348</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45348</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45348</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45348</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45348</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45348</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45348</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45348</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45348</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45348</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45348</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45348</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45348</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45348</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45348</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45348</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45348</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45348</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45348</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45348</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45348</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45348</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45348</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45348</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45348</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45348</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45348</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45348</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45348</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45348</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45348</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45348</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45348</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45348</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45348</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45348</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45348</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45348</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45348</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45348</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45348</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45348</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45348</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45348</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45348</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45348</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45348</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45348</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45348</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45348</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45348</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45348</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45348</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45348</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45348</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45348</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45348</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45348</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45348</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45348</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45348</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45348</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45348</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45348</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45348</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45348</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45348</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45348</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45348</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45348</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45348</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45348</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45348</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45348</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45348</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45348</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45348</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45348</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45348</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45348</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45348</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45348</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45348</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45348</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45348</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45348</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45348</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45348</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45348</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45348</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45348</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45348</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45348</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45348</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45348</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45348</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45348</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45348</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45348</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45348</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45348</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45348</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45348</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45348</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45348</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45348</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45348</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45348</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45348</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45348</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45348</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45348</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45348</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45348</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45348</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45348</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45348</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45348</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45348</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45348</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45348</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45348</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45348</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45348</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45348</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45348</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45348</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45348</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45348</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45348</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45348</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45348</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45348</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45348</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45348</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45348</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45348</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45348</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45348</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45348</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45348</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45348</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45348</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45348</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45348</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45348</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45348</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45348</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45348</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45348</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45348</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45348</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45348</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45348</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45348</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45348</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45348</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45348</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45348</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45348</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45348</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45348</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45348</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45348</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45348</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45348</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45348</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45348</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45348</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45348</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45348</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45348</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45348</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45348</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45348</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45348</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45348</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45348</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45348</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45348</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45348</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45348</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45348</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45348</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45348</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45348</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45348</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45348</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45348</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45348</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45348</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45348</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45348</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45348</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45348</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45348</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45348</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45348</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45348</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45348</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45348</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45348</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45348</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45348</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45348</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45348</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45348</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45348</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45348</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45348</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45348</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45348</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45348</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45348</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45348</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45348</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45348</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45348</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45348</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45348</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45348</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45348</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45348</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45348</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45348</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45348</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45348</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45348</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45348</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45348</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45348</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45348</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45348</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45348</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45348</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45348</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45348</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45348</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45348</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45348</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45348</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45348</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45348</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45348</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45348</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45348</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45348</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45348</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45348</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45348</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45348</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45348</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45348</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45348</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45348</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45348</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45348</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45348</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45348</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45348</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45348</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45348</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45348</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45348</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45348</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45348</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45348</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45348</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45348</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45348</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45348</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45348</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45348</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45348</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45348</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45348</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45348</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45348</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45348</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45348</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45348</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45348</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45348</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45348</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45348</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45348</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45348</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45348</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45348</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45348</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45348</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45348</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45348</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45348</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45348</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45348</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45348</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45348</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45348</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45348</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45348</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45348</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45348</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45348</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45348</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45348</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45348</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45348</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45348</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45348</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45348</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45348</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45348</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45348</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45348</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45348</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45348</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45348</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45348</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45348</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45348</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45348</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45348</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45348</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45348</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45348</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45348</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45348</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45348</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45348</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45348</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45348</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45348</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45348</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45348</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45348</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45348</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45348</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45348</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45348</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45348</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45348</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45348</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45348</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45348</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45348</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45348</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45348</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45348</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45348</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45348</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45348</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45348</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45348</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45348</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45348</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45348</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45348</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45348</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45348</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45348</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45348</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45348</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45348</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45348</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45348</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45348</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45348</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45348</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45348</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45348</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45348</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45348</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45348</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45348</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45348</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45348</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45348</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45348</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45348</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45348</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45348</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45348</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45348</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45348</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45348</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45348</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45348</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45348</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45348</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45348</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c r="A779" t="inlineStr">
        <is>
          <t>A 7334-2024</t>
        </is>
      </c>
      <c r="B779" s="1" t="n">
        <v>45345</v>
      </c>
      <c r="C779" s="1" t="n">
        <v>45348</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2024-02-26T13:02:44Z</dcterms:created>
  <dcterms:modified xmlns:dcterms="http://purl.org/dc/terms/" xmlns:xsi="http://www.w3.org/2001/XMLSchema-instance" xsi:type="dcterms:W3CDTF">2024-02-26T13:02:45Z</dcterms:modified>
</cp:coreProperties>
</file>