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45803</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45803</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45803</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45803</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45803</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45803</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45803</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45803</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45803</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45803</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45803</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45803</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45803</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45803</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45803</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45803</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45803</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45803</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45803</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45803</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45803</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45803</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45803</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45803</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45803</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45803</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45803</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45803</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45803</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45803</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45803</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45803</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45803</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45803</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45803</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45803</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15145-2025</t>
        </is>
      </c>
      <c r="B38" s="1" t="n">
        <v>45744</v>
      </c>
      <c r="C38" s="1" t="n">
        <v>45803</v>
      </c>
      <c r="D38" t="inlineStr">
        <is>
          <t>JÄMTLANDS LÄN</t>
        </is>
      </c>
      <c r="E38" t="inlineStr">
        <is>
          <t>ÅRE</t>
        </is>
      </c>
      <c r="G38" t="n">
        <v>16.1</v>
      </c>
      <c r="H38" t="n">
        <v>7</v>
      </c>
      <c r="I38" t="n">
        <v>5</v>
      </c>
      <c r="J38" t="n">
        <v>3</v>
      </c>
      <c r="K38" t="n">
        <v>0</v>
      </c>
      <c r="L38" t="n">
        <v>0</v>
      </c>
      <c r="M38" t="n">
        <v>0</v>
      </c>
      <c r="N38" t="n">
        <v>0</v>
      </c>
      <c r="O38" t="n">
        <v>3</v>
      </c>
      <c r="P38" t="n">
        <v>0</v>
      </c>
      <c r="Q38" t="n">
        <v>11</v>
      </c>
      <c r="R38" s="2" t="inlineStr">
        <is>
          <t>Granticka
Rosenticka
Tretåig hackspett
Korallrot
Norrlandslav
Spindelblomster
Tvåblad
Ögonpyrola
Lavskrika
Fläcknycklar
Revlummer</t>
        </is>
      </c>
      <c r="S38">
        <f>HYPERLINK("https://klasma.github.io/Logging_232321/artfynd/A 15145-2025 artfynd.xlsx", "A 15145-2025")</f>
        <v/>
      </c>
      <c r="T38">
        <f>HYPERLINK("https://klasma.github.io/Logging_232321/kartor/A 15145-2025 karta.png", "A 15145-2025")</f>
        <v/>
      </c>
      <c r="V38">
        <f>HYPERLINK("https://klasma.github.io/Logging_232321/klagomål/A 15145-2025 FSC-klagomål.docx", "A 15145-2025")</f>
        <v/>
      </c>
      <c r="W38">
        <f>HYPERLINK("https://klasma.github.io/Logging_232321/klagomålsmail/A 15145-2025 FSC-klagomål mail.docx", "A 15145-2025")</f>
        <v/>
      </c>
      <c r="X38">
        <f>HYPERLINK("https://klasma.github.io/Logging_232321/tillsyn/A 15145-2025 tillsynsbegäran.docx", "A 15145-2025")</f>
        <v/>
      </c>
      <c r="Y38">
        <f>HYPERLINK("https://klasma.github.io/Logging_232321/tillsynsmail/A 15145-2025 tillsynsbegäran mail.docx", "A 15145-2025")</f>
        <v/>
      </c>
      <c r="Z38">
        <f>HYPERLINK("https://klasma.github.io/Logging_232321/fåglar/A 15145-2025 prioriterade fågelarter.docx", "A 15145-2025")</f>
        <v/>
      </c>
    </row>
    <row r="39" ht="15" customHeight="1">
      <c r="A39" t="inlineStr">
        <is>
          <t>A 20658-2021</t>
        </is>
      </c>
      <c r="B39" s="1" t="n">
        <v>44316</v>
      </c>
      <c r="C39" s="1" t="n">
        <v>45803</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38082-2024</t>
        </is>
      </c>
      <c r="B40" s="1" t="n">
        <v>45545</v>
      </c>
      <c r="C40" s="1" t="n">
        <v>45803</v>
      </c>
      <c r="D40" t="inlineStr">
        <is>
          <t>JÄMTLANDS LÄN</t>
        </is>
      </c>
      <c r="E40" t="inlineStr">
        <is>
          <t>ÅRE</t>
        </is>
      </c>
      <c r="F40" t="inlineStr">
        <is>
          <t>Övriga Aktiebolag</t>
        </is>
      </c>
      <c r="G40" t="n">
        <v>17.4</v>
      </c>
      <c r="H40" t="n">
        <v>5</v>
      </c>
      <c r="I40" t="n">
        <v>1</v>
      </c>
      <c r="J40" t="n">
        <v>6</v>
      </c>
      <c r="K40" t="n">
        <v>0</v>
      </c>
      <c r="L40" t="n">
        <v>0</v>
      </c>
      <c r="M40" t="n">
        <v>0</v>
      </c>
      <c r="N40" t="n">
        <v>0</v>
      </c>
      <c r="O40" t="n">
        <v>6</v>
      </c>
      <c r="P40" t="n">
        <v>0</v>
      </c>
      <c r="Q40" t="n">
        <v>10</v>
      </c>
      <c r="R40" s="2" t="inlineStr">
        <is>
          <t>Garnlav
Granticka
Rosenticka
Talltita
Tretåig hackspett
Ullticka
Trådticka
Gråspett
Lavskrika
Sparvuggla</t>
        </is>
      </c>
      <c r="S40">
        <f>HYPERLINK("https://klasma.github.io/Logging_2321/artfynd/A 38082-2024 artfynd.xlsx", "A 38082-2024")</f>
        <v/>
      </c>
      <c r="T40">
        <f>HYPERLINK("https://klasma.github.io/Logging_2321/kartor/A 38082-2024 karta.png", "A 38082-2024")</f>
        <v/>
      </c>
      <c r="V40">
        <f>HYPERLINK("https://klasma.github.io/Logging_2321/klagomål/A 38082-2024 FSC-klagomål.docx", "A 38082-2024")</f>
        <v/>
      </c>
      <c r="W40">
        <f>HYPERLINK("https://klasma.github.io/Logging_2321/klagomålsmail/A 38082-2024 FSC-klagomål mail.docx", "A 38082-2024")</f>
        <v/>
      </c>
      <c r="X40">
        <f>HYPERLINK("https://klasma.github.io/Logging_2321/tillsyn/A 38082-2024 tillsynsbegäran.docx", "A 38082-2024")</f>
        <v/>
      </c>
      <c r="Y40">
        <f>HYPERLINK("https://klasma.github.io/Logging_2321/tillsynsmail/A 38082-2024 tillsynsbegäran mail.docx", "A 38082-2024")</f>
        <v/>
      </c>
      <c r="Z40">
        <f>HYPERLINK("https://klasma.github.io/Logging_2321/fåglar/A 38082-2024 prioriterade fågelarter.docx", "A 38082-2024")</f>
        <v/>
      </c>
    </row>
    <row r="41" ht="15" customHeight="1">
      <c r="A41" t="inlineStr">
        <is>
          <t>A 36432-2020</t>
        </is>
      </c>
      <c r="B41" s="1" t="n">
        <v>44049</v>
      </c>
      <c r="C41" s="1" t="n">
        <v>45803</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45803</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45803</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45803</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45803</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45803</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45803</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45803</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45803</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45803</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45803</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45803</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45803</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45803</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45803</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45803</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45803</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45803</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45803</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45803</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45803</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45803</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45803</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45803</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45803</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45803</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45803</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45803</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45803</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45803</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45803</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45803</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45803</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45803</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45803</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45803</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45803</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45803</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45803</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45803</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45803</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45803</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45803</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45803</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45803</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45803</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45803</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45803</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45803</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45803</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45803</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45803</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45803</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45803</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45803</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45803</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45803</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45803</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45803</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45803</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45803</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45803</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45803</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45803</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45803</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45803</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45803</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45803</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45803</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45803</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45803</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45803</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45803</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45803</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45803</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45803</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45803</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45803</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45803</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45803</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45803</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45803</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45803</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45803</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45803</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45803</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45803</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45803</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45803</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45803</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45803</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45803</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45803</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45803</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45803</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45803</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45803</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45803</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45803</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45803</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45803</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45803</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45803</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45803</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45803</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45803</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45803</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45803</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45803</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45803</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45803</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45803</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45803</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45803</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45803</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45803</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45803</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45803</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45803</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45803</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45803</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45803</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45803</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45803</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45803</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45803</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45803</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45803</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45803</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45803</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45803</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45803</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45803</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45803</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45803</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45803</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45803</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45803</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45803</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45803</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45803</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45803</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45803</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45803</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45803</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45803</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45803</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45803</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45803</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45803</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45803</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45803</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45803</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45803</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45803</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45803</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45803</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45803</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45803</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45803</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45803</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45803</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45803</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45803</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45803</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45803</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45803</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45803</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45803</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45803</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45803</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45803</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45803</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45803</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45803</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45803</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45803</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45803</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45803</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45803</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45803</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45803</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45803</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45803</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45803</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45803</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45803</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45803</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45803</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45803</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45803</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45803</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45803</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45803</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45803</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45803</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45803</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45803</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45803</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45803</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45803</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45803</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45803</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45803</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45803</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45803</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45803</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45803</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45803</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45803</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45803</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45803</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45803</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45803</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45803</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45803</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45803</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45803</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45803</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45803</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45803</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45803</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45803</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45803</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45803</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45803</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45803</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45803</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45803</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45803</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45803</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45803</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45803</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45803</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45803</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45803</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45803</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45803</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45803</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45803</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45803</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45803</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45803</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45803</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45803</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45803</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45803</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45803</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45803</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45803</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45803</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45803</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45803</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45803</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45803</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45803</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45803</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45803</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45803</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45803</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45803</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45803</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45803</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45803</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45803</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45803</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45803</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45803</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45803</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45803</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45803</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45803</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45803</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45803</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45803</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45803</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45803</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45803</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45803</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45803</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45803</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45803</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45803</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45803</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45803</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45803</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45803</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45803</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45803</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45803</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45803</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45803</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45803</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45803</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45803</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45803</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45803</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45803</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45803</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45803</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45803</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45803</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45803</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45803</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45803</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45803</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45803</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45803</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45803</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45803</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45803</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45803</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45803</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45803</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45803</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45803</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45803</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45803</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45803</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45803</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45803</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45803</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45803</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45803</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45803</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45803</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45803</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45803</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45803</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45803</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45803</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45803</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45803</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45803</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45803</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45803</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45803</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45803</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45803</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45803</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45803</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45803</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45803</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45803</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45803</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45803</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45803</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45803</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45803</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45803</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45803</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45803</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45803</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45803</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45803</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45803</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45803</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45803</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45803</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45803</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45803</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45803</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45803</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45803</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45803</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45803</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45803</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45803</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45803</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45803</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45803</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45803</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45803</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45803</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45803</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45803</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45803</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45803</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45803</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45803</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45803</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45803</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45803</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45803</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45803</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45803</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45803</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45803</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45803</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45803</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45803</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45803</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45803</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45803</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45803</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45803</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45803</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45803</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45803</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45803</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45803</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45803</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45803</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45803</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45803</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45803</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45803</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45803</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45803</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45803</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45803</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45803</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45803</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45803</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45803</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45803</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45803</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45803</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45803</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45803</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45803</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45803</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45803</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45803</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45803</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45803</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45803</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45803</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45803</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45803</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45803</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45803</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45803</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45803</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45803</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45803</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45803</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45803</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45803</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45803</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45803</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45803</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45803</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45803</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45803</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45803</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45803</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45803</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45803</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45803</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45803</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45803</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45803</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45803</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45803</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45803</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45803</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45803</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45803</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45803</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45803</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45803</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45803</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45803</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45803</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45803</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45803</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45803</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45803</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45803</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45803</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45803</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45803</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45803</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45803</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45803</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45803</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45803</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45803</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45803</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45803</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45803</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45803</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45803</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45803</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45803</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45803</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45803</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45803</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45803</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45803</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45803</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45803</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45803</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45803</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45803</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45803</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45803</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45803</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45803</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45803</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45803</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45803</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45803</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45803</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45803</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45803</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45803</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45803</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45803</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45803</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45803</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45803</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45803</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45803</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45803</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45803</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45803</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45803</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45803</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45803</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45803</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45803</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45803</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45803</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45803</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45803</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45803</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45803</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45803</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45803</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45803</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45803</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45803</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45803</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45803</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45803</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45803</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45803</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45803</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45803</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45803</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45803</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45803</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45803</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45803</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45803</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45803</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45803</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45803</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45803</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45803</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45803</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45803</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45803</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45803</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45803</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45803</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45803</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45803</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45803</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45803</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45803</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45803</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45803</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45803</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45803</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45803</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45803</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45803</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45803</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45803</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45803</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45803</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45803</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45803</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45803</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45803</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45803</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45803</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45803</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45803</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45803</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45803</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45803</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45803</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45803</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45803</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45803</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45803</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45803</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45803</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45803</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45803</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45803</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45803</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45803</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45803</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45803</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45803</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45803</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45803</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45803</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45803</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45803</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45803</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45803</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45803</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45803</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45803</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45803</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45803</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45803</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45803</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45803</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45803</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45803</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45803</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45803</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45803</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45803</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45803</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45803</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45803</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45803</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45803</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45803</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45803</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45803</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45803</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45803</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45803</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45803</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45803</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45803</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45803</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45803</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45803</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45803</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45803</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45803</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45803</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45803</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45803</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45803</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45803</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45803</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45803</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45803</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45803</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45803</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45803</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45803</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45803</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45803</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45803</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45803</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45803</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45803</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45803</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45803</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45803</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45803</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45803</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45803</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45803</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45803</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45803</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45803</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45803</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45803</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45803</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45803</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45803</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45803</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45803</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45803</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45803</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45803</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45803</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45803</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45803</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45803</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45803</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45803</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45803</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45803</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45803</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45803</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45803</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45803</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45803</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45803</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45803</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45803</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45803</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45803</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45803</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45803</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45803</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45803</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45803</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45803</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45803</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45803</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45803</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45803</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45803</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45803</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45803</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45803</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45803</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45803</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45803</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45803</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45803</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45803</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45803</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45803</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45803</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45803</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45803</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45803</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45803</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45803</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45803</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45803</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45803</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45803</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45803</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45803</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45803</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45803</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45803</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45803</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45803</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45803</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45803</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45803</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45803</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45803</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45803</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45803</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45803</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45803</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45803</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45803</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45803</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45803</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45803</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45803</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45803</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45803</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45803</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45803</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45803</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45803</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45803</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45803</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45803</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45803</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45803</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45803</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45803</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45803</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45803</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45803</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45803</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45803</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45803</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45803</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45803</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45803</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45803</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45803</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45803</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45803</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45803</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45803</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45803</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45803</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45803</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45803</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45803</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45803</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45803</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45803</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45803</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45803</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45803</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45803</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45803</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45803</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45803</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45803</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45803</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45803</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45803</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45803</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45803</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45803</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45803</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45803</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45803</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45803</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45803</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45803</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45803</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45803</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45803</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45803</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45803</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45803</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45803</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45803</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45803</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45803</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45803</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45803</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45803</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45803</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45803</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45803</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45803</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45803</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45803</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45803</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45803</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45803</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45803</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45803</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45803</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45803</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45803</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45803</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45803</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45803</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45803</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45803</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45803</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45803</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45803</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45803</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45803</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45803</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45803</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45803</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45803</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45803</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45803</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45803</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45803</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45803</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45803</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45803</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45803</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45803</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45803</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45803</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45803</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45803</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45803</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45803</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45803</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45803</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45803</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45803</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45803</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45803</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45803</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45803</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45803</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45803</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45803</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45803</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45803</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45803</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45803</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45803</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45803</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45803</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45803</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45803</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45803</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45803</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45803</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45803</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45803</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45803</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45803</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45803</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45803</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45803</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45803</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45803</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45803</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45803</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45803</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45803</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45803</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45803</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45803</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45803</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45803</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45803</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45803</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45803</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45803</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45803</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45803</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45803</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45803</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45803</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45803</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45803</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45803</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45803</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45803</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45803</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45803</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45803</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45803</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45803</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45803</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45803</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45803</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45803</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45803</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45803</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45803</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45803</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45803</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45803</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45803</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45803</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45803</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45803</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45803</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45803</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45803</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45803</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45803</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45803</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45803</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45803</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45803</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45803</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45803</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45803</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45803</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45803</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45803</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45803</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45803</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45803</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45803</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45803</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45803</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45803</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45803</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45803</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45803</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45803</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45803</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45803</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45803</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45803</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45803</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19800-2025</t>
        </is>
      </c>
      <c r="B1009" s="1" t="n">
        <v>45771</v>
      </c>
      <c r="C1009" s="1" t="n">
        <v>45803</v>
      </c>
      <c r="D1009" t="inlineStr">
        <is>
          <t>JÄMTLANDS LÄN</t>
        </is>
      </c>
      <c r="E1009" t="inlineStr">
        <is>
          <t>ÅRE</t>
        </is>
      </c>
      <c r="F1009" t="inlineStr">
        <is>
          <t>Övriga Aktiebolag</t>
        </is>
      </c>
      <c r="G1009" t="n">
        <v>13.8</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45803</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45803</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45803</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21181-2025</t>
        </is>
      </c>
      <c r="B1013" s="1" t="n">
        <v>45779</v>
      </c>
      <c r="C1013" s="1" t="n">
        <v>45803</v>
      </c>
      <c r="D1013" t="inlineStr">
        <is>
          <t>JÄMTLANDS LÄN</t>
        </is>
      </c>
      <c r="E1013" t="inlineStr">
        <is>
          <t>ÅRE</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21167-2025</t>
        </is>
      </c>
      <c r="B1014" s="1" t="n">
        <v>45779</v>
      </c>
      <c r="C1014" s="1" t="n">
        <v>45803</v>
      </c>
      <c r="D1014" t="inlineStr">
        <is>
          <t>JÄMTLANDS LÄN</t>
        </is>
      </c>
      <c r="E1014" t="inlineStr">
        <is>
          <t>ÅRE</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22602-2025</t>
        </is>
      </c>
      <c r="B1015" s="1" t="n">
        <v>45786</v>
      </c>
      <c r="C1015" s="1" t="n">
        <v>45803</v>
      </c>
      <c r="D1015" t="inlineStr">
        <is>
          <t>JÄMTLANDS LÄN</t>
        </is>
      </c>
      <c r="E1015" t="inlineStr">
        <is>
          <t>ÅRE</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45803</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23651-2025</t>
        </is>
      </c>
      <c r="B1017" s="1" t="n">
        <v>45792</v>
      </c>
      <c r="C1017" s="1" t="n">
        <v>45803</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25267-2025</t>
        </is>
      </c>
      <c r="B1018" s="1" t="n">
        <v>45800</v>
      </c>
      <c r="C1018" s="1" t="n">
        <v>45803</v>
      </c>
      <c r="D1018" t="inlineStr">
        <is>
          <t>JÄMTLANDS LÄN</t>
        </is>
      </c>
      <c r="E1018" t="inlineStr">
        <is>
          <t>ÅRE</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25275-2025</t>
        </is>
      </c>
      <c r="B1019" s="1" t="n">
        <v>45800</v>
      </c>
      <c r="C1019" s="1" t="n">
        <v>45803</v>
      </c>
      <c r="D1019" t="inlineStr">
        <is>
          <t>JÄMTLANDS LÄN</t>
        </is>
      </c>
      <c r="E1019" t="inlineStr">
        <is>
          <t>ÅRE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25224-2025</t>
        </is>
      </c>
      <c r="B1020" s="1" t="n">
        <v>45800</v>
      </c>
      <c r="C1020" s="1" t="n">
        <v>45803</v>
      </c>
      <c r="D1020" t="inlineStr">
        <is>
          <t>JÄMTLANDS LÄN</t>
        </is>
      </c>
      <c r="E1020" t="inlineStr">
        <is>
          <t>ÅRE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25200-2025</t>
        </is>
      </c>
      <c r="B1021" s="1" t="n">
        <v>45800</v>
      </c>
      <c r="C1021" s="1" t="n">
        <v>45803</v>
      </c>
      <c r="D1021" t="inlineStr">
        <is>
          <t>JÄMTLANDS LÄN</t>
        </is>
      </c>
      <c r="E1021" t="inlineStr">
        <is>
          <t>ÅRE</t>
        </is>
      </c>
      <c r="G1021" t="n">
        <v>3.3</v>
      </c>
      <c r="H1021" t="n">
        <v>0</v>
      </c>
      <c r="I1021" t="n">
        <v>0</v>
      </c>
      <c r="J1021" t="n">
        <v>0</v>
      </c>
      <c r="K1021" t="n">
        <v>0</v>
      </c>
      <c r="L1021" t="n">
        <v>0</v>
      </c>
      <c r="M1021" t="n">
        <v>0</v>
      </c>
      <c r="N1021" t="n">
        <v>0</v>
      </c>
      <c r="O1021" t="n">
        <v>0</v>
      </c>
      <c r="P1021" t="n">
        <v>0</v>
      </c>
      <c r="Q1021" t="n">
        <v>0</v>
      </c>
      <c r="R1021" s="2" t="inlineStr"/>
    </row>
    <row r="1022">
      <c r="A1022" t="inlineStr">
        <is>
          <t>A 25208-2025</t>
        </is>
      </c>
      <c r="B1022" s="1" t="n">
        <v>45800</v>
      </c>
      <c r="C1022" s="1" t="n">
        <v>45803</v>
      </c>
      <c r="D1022" t="inlineStr">
        <is>
          <t>JÄMTLANDS LÄN</t>
        </is>
      </c>
      <c r="E1022" t="inlineStr">
        <is>
          <t>ÅRE</t>
        </is>
      </c>
      <c r="G1022" t="n">
        <v>1.5</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2025-05-26T17:33:37Z</dcterms:created>
  <dcterms:modified xmlns:dcterms="http://purl.org/dc/terms/" xmlns:xsi="http://www.w3.org/2001/XMLSchema-instance" xsi:type="dcterms:W3CDTF">2025-05-26T17:33:38Z</dcterms:modified>
</cp:coreProperties>
</file>