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45565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45565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45565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45565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45565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45565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45565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45565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45565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45565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45565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45565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45565</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45565</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45565</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45565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45565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45565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45565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45565</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45565</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45565</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45565</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45565</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45565</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45565</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45565</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45565</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45565</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45565</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45565</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45565</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45565</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45565</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45565</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45565</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45565</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45565</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45565</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45565</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45565</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45565</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45565</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45565</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45565</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45565</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45565</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45565</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45565</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45565</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45565</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45565</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45565</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45565</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45565</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45565</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45565</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45565</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45565</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45565</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45565</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45565</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45565</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45565</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45565</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45565</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45565</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45565</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45565</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32051-2019</t>
        </is>
      </c>
      <c r="B71" s="1" t="n">
        <v>43643</v>
      </c>
      <c r="C71" s="1" t="n">
        <v>45565</v>
      </c>
      <c r="D71" t="inlineStr">
        <is>
          <t>JÄMTLANDS LÄN</t>
        </is>
      </c>
      <c r="E71" t="inlineStr">
        <is>
          <t>ÅRE</t>
        </is>
      </c>
      <c r="G71" t="n">
        <v>7.1</v>
      </c>
      <c r="H71" t="n">
        <v>2</v>
      </c>
      <c r="I71" t="n">
        <v>2</v>
      </c>
      <c r="J71" t="n">
        <v>1</v>
      </c>
      <c r="K71" t="n">
        <v>0</v>
      </c>
      <c r="L71" t="n">
        <v>0</v>
      </c>
      <c r="M71" t="n">
        <v>0</v>
      </c>
      <c r="N71" t="n">
        <v>0</v>
      </c>
      <c r="O71" t="n">
        <v>1</v>
      </c>
      <c r="P71" t="n">
        <v>0</v>
      </c>
      <c r="Q71" t="n">
        <v>4</v>
      </c>
      <c r="R71" s="2" t="inlineStr">
        <is>
          <t>Lunglav
Guckusko
Tibast
Blåsippa</t>
        </is>
      </c>
      <c r="S71">
        <f>HYPERLINK("https://klasma.github.io/Logging_2321/artfynd/A 32051-2019 artfynd.xlsx", "A 32051-2019")</f>
        <v/>
      </c>
      <c r="T71">
        <f>HYPERLINK("https://klasma.github.io/Logging_2321/kartor/A 32051-2019 karta.png", "A 32051-2019")</f>
        <v/>
      </c>
      <c r="V71">
        <f>HYPERLINK("https://klasma.github.io/Logging_2321/klagomål/A 32051-2019 FSC-klagomål.docx", "A 32051-2019")</f>
        <v/>
      </c>
      <c r="W71">
        <f>HYPERLINK("https://klasma.github.io/Logging_2321/klagomålsmail/A 32051-2019 FSC-klagomål mail.docx", "A 32051-2019")</f>
        <v/>
      </c>
      <c r="X71">
        <f>HYPERLINK("https://klasma.github.io/Logging_2321/tillsyn/A 32051-2019 tillsynsbegäran.docx", "A 32051-2019")</f>
        <v/>
      </c>
      <c r="Y71">
        <f>HYPERLINK("https://klasma.github.io/Logging_2321/tillsynsmail/A 32051-2019 tillsynsbegäran mail.docx", "A 32051-2019")</f>
        <v/>
      </c>
    </row>
    <row r="72" ht="15" customHeight="1">
      <c r="A72" t="inlineStr">
        <is>
          <t>A 34717-2019</t>
        </is>
      </c>
      <c r="B72" s="1" t="n">
        <v>43657</v>
      </c>
      <c r="C72" s="1" t="n">
        <v>45565</v>
      </c>
      <c r="D72" t="inlineStr">
        <is>
          <t>JÄMTLANDS LÄN</t>
        </is>
      </c>
      <c r="E72" t="inlineStr">
        <is>
          <t>ÅRE</t>
        </is>
      </c>
      <c r="G72" t="n">
        <v>14.4</v>
      </c>
      <c r="H72" t="n">
        <v>0</v>
      </c>
      <c r="I72" t="n">
        <v>1</v>
      </c>
      <c r="J72" t="n">
        <v>3</v>
      </c>
      <c r="K72" t="n">
        <v>0</v>
      </c>
      <c r="L72" t="n">
        <v>0</v>
      </c>
      <c r="M72" t="n">
        <v>0</v>
      </c>
      <c r="N72" t="n">
        <v>0</v>
      </c>
      <c r="O72" t="n">
        <v>3</v>
      </c>
      <c r="P72" t="n">
        <v>0</v>
      </c>
      <c r="Q72" t="n">
        <v>4</v>
      </c>
      <c r="R72" s="2" t="inlineStr">
        <is>
          <t>Blanksvart spiklav
Blågrå svartspik
Vedflamlav
Dropptaggsvamp</t>
        </is>
      </c>
      <c r="S72">
        <f>HYPERLINK("https://klasma.github.io/Logging_2321/artfynd/A 34717-2019 artfynd.xlsx", "A 34717-2019")</f>
        <v/>
      </c>
      <c r="T72">
        <f>HYPERLINK("https://klasma.github.io/Logging_2321/kartor/A 34717-2019 karta.png", "A 34717-2019")</f>
        <v/>
      </c>
      <c r="V72">
        <f>HYPERLINK("https://klasma.github.io/Logging_2321/klagomål/A 34717-2019 FSC-klagomål.docx", "A 34717-2019")</f>
        <v/>
      </c>
      <c r="W72">
        <f>HYPERLINK("https://klasma.github.io/Logging_2321/klagomålsmail/A 34717-2019 FSC-klagomål mail.docx", "A 34717-2019")</f>
        <v/>
      </c>
      <c r="X72">
        <f>HYPERLINK("https://klasma.github.io/Logging_2321/tillsyn/A 34717-2019 tillsynsbegäran.docx", "A 34717-2019")</f>
        <v/>
      </c>
      <c r="Y72">
        <f>HYPERLINK("https://klasma.github.io/Logging_2321/tillsynsmail/A 34717-2019 tillsynsbegäran mail.docx", "A 34717-2019")</f>
        <v/>
      </c>
    </row>
    <row r="73" ht="15" customHeight="1">
      <c r="A73" t="inlineStr">
        <is>
          <t>A 1781-2020</t>
        </is>
      </c>
      <c r="B73" s="1" t="n">
        <v>43844</v>
      </c>
      <c r="C73" s="1" t="n">
        <v>45565</v>
      </c>
      <c r="D73" t="inlineStr">
        <is>
          <t>JÄMTLANDS LÄN</t>
        </is>
      </c>
      <c r="E73" t="inlineStr">
        <is>
          <t>ÅRE</t>
        </is>
      </c>
      <c r="G73" t="n">
        <v>9.300000000000001</v>
      </c>
      <c r="H73" t="n">
        <v>0</v>
      </c>
      <c r="I73" t="n">
        <v>3</v>
      </c>
      <c r="J73" t="n">
        <v>1</v>
      </c>
      <c r="K73" t="n">
        <v>0</v>
      </c>
      <c r="L73" t="n">
        <v>0</v>
      </c>
      <c r="M73" t="n">
        <v>0</v>
      </c>
      <c r="N73" t="n">
        <v>0</v>
      </c>
      <c r="O73" t="n">
        <v>1</v>
      </c>
      <c r="P73" t="n">
        <v>0</v>
      </c>
      <c r="Q73" t="n">
        <v>4</v>
      </c>
      <c r="R73" s="2" t="inlineStr">
        <is>
          <t>Vitgrynig nållav
Kransrams
Kryddspindling
Svavelriska</t>
        </is>
      </c>
      <c r="S73">
        <f>HYPERLINK("https://klasma.github.io/Logging_2321/artfynd/A 1781-2020 artfynd.xlsx", "A 1781-2020")</f>
        <v/>
      </c>
      <c r="T73">
        <f>HYPERLINK("https://klasma.github.io/Logging_2321/kartor/A 1781-2020 karta.png", "A 1781-2020")</f>
        <v/>
      </c>
      <c r="V73">
        <f>HYPERLINK("https://klasma.github.io/Logging_2321/klagomål/A 1781-2020 FSC-klagomål.docx", "A 1781-2020")</f>
        <v/>
      </c>
      <c r="W73">
        <f>HYPERLINK("https://klasma.github.io/Logging_2321/klagomålsmail/A 1781-2020 FSC-klagomål mail.docx", "A 1781-2020")</f>
        <v/>
      </c>
      <c r="X73">
        <f>HYPERLINK("https://klasma.github.io/Logging_2321/tillsyn/A 1781-2020 tillsynsbegäran.docx", "A 1781-2020")</f>
        <v/>
      </c>
      <c r="Y73">
        <f>HYPERLINK("https://klasma.github.io/Logging_2321/tillsynsmail/A 1781-2020 tillsynsbegäran mail.docx", "A 1781-2020")</f>
        <v/>
      </c>
    </row>
    <row r="74" ht="15" customHeight="1">
      <c r="A74" t="inlineStr">
        <is>
          <t>A 16005-2020</t>
        </is>
      </c>
      <c r="B74" s="1" t="n">
        <v>43916</v>
      </c>
      <c r="C74" s="1" t="n">
        <v>45565</v>
      </c>
      <c r="D74" t="inlineStr">
        <is>
          <t>JÄMTLANDS LÄN</t>
        </is>
      </c>
      <c r="E74" t="inlineStr">
        <is>
          <t>ÅRE</t>
        </is>
      </c>
      <c r="G74" t="n">
        <v>13.3</v>
      </c>
      <c r="H74" t="n">
        <v>1</v>
      </c>
      <c r="I74" t="n">
        <v>2</v>
      </c>
      <c r="J74" t="n">
        <v>1</v>
      </c>
      <c r="K74" t="n">
        <v>0</v>
      </c>
      <c r="L74" t="n">
        <v>0</v>
      </c>
      <c r="M74" t="n">
        <v>0</v>
      </c>
      <c r="N74" t="n">
        <v>0</v>
      </c>
      <c r="O74" t="n">
        <v>1</v>
      </c>
      <c r="P74" t="n">
        <v>0</v>
      </c>
      <c r="Q74" t="n">
        <v>4</v>
      </c>
      <c r="R74" s="2" t="inlineStr">
        <is>
          <t>Orange taggsvamp
Dropptaggsvamp
Kransrams
Blåsippa</t>
        </is>
      </c>
      <c r="S74">
        <f>HYPERLINK("https://klasma.github.io/Logging_2321/artfynd/A 16005-2020 artfynd.xlsx", "A 16005-2020")</f>
        <v/>
      </c>
      <c r="T74">
        <f>HYPERLINK("https://klasma.github.io/Logging_2321/kartor/A 16005-2020 karta.png", "A 16005-2020")</f>
        <v/>
      </c>
      <c r="V74">
        <f>HYPERLINK("https://klasma.github.io/Logging_2321/klagomål/A 16005-2020 FSC-klagomål.docx", "A 16005-2020")</f>
        <v/>
      </c>
      <c r="W74">
        <f>HYPERLINK("https://klasma.github.io/Logging_2321/klagomålsmail/A 16005-2020 FSC-klagomål mail.docx", "A 16005-2020")</f>
        <v/>
      </c>
      <c r="X74">
        <f>HYPERLINK("https://klasma.github.io/Logging_2321/tillsyn/A 16005-2020 tillsynsbegäran.docx", "A 16005-2020")</f>
        <v/>
      </c>
      <c r="Y74">
        <f>HYPERLINK("https://klasma.github.io/Logging_2321/tillsynsmail/A 16005-2020 tillsynsbegäran mail.docx", "A 16005-2020")</f>
        <v/>
      </c>
    </row>
    <row r="75" ht="15" customHeight="1">
      <c r="A75" t="inlineStr">
        <is>
          <t>A 45849-2020</t>
        </is>
      </c>
      <c r="B75" s="1" t="n">
        <v>44090</v>
      </c>
      <c r="C75" s="1" t="n">
        <v>45565</v>
      </c>
      <c r="D75" t="inlineStr">
        <is>
          <t>JÄMTLANDS LÄN</t>
        </is>
      </c>
      <c r="E75" t="inlineStr">
        <is>
          <t>ÅRE</t>
        </is>
      </c>
      <c r="G75" t="n">
        <v>2.7</v>
      </c>
      <c r="H75" t="n">
        <v>0</v>
      </c>
      <c r="I75" t="n">
        <v>1</v>
      </c>
      <c r="J75" t="n">
        <v>3</v>
      </c>
      <c r="K75" t="n">
        <v>0</v>
      </c>
      <c r="L75" t="n">
        <v>0</v>
      </c>
      <c r="M75" t="n">
        <v>0</v>
      </c>
      <c r="N75" t="n">
        <v>0</v>
      </c>
      <c r="O75" t="n">
        <v>3</v>
      </c>
      <c r="P75" t="n">
        <v>0</v>
      </c>
      <c r="Q75" t="n">
        <v>4</v>
      </c>
      <c r="R75" s="2" t="inlineStr">
        <is>
          <t>Garnlav
Granticka
Harticka
Stuplav</t>
        </is>
      </c>
      <c r="S75">
        <f>HYPERLINK("https://klasma.github.io/Logging_2321/artfynd/A 45849-2020 artfynd.xlsx", "A 45849-2020")</f>
        <v/>
      </c>
      <c r="T75">
        <f>HYPERLINK("https://klasma.github.io/Logging_2321/kartor/A 45849-2020 karta.png", "A 45849-2020")</f>
        <v/>
      </c>
      <c r="V75">
        <f>HYPERLINK("https://klasma.github.io/Logging_2321/klagomål/A 45849-2020 FSC-klagomål.docx", "A 45849-2020")</f>
        <v/>
      </c>
      <c r="W75">
        <f>HYPERLINK("https://klasma.github.io/Logging_2321/klagomålsmail/A 45849-2020 FSC-klagomål mail.docx", "A 45849-2020")</f>
        <v/>
      </c>
      <c r="X75">
        <f>HYPERLINK("https://klasma.github.io/Logging_2321/tillsyn/A 45849-2020 tillsynsbegäran.docx", "A 45849-2020")</f>
        <v/>
      </c>
      <c r="Y75">
        <f>HYPERLINK("https://klasma.github.io/Logging_2321/tillsynsmail/A 45849-2020 tillsynsbegäran mail.docx", "A 45849-2020")</f>
        <v/>
      </c>
    </row>
    <row r="76" ht="15" customHeight="1">
      <c r="A76" t="inlineStr">
        <is>
          <t>A 69317-2020</t>
        </is>
      </c>
      <c r="B76" s="1" t="n">
        <v>44193</v>
      </c>
      <c r="C76" s="1" t="n">
        <v>45565</v>
      </c>
      <c r="D76" t="inlineStr">
        <is>
          <t>JÄMTLANDS LÄN</t>
        </is>
      </c>
      <c r="E76" t="inlineStr">
        <is>
          <t>ÅRE</t>
        </is>
      </c>
      <c r="G76" t="n">
        <v>10.3</v>
      </c>
      <c r="H76" t="n">
        <v>2</v>
      </c>
      <c r="I76" t="n">
        <v>0</v>
      </c>
      <c r="J76" t="n">
        <v>4</v>
      </c>
      <c r="K76" t="n">
        <v>0</v>
      </c>
      <c r="L76" t="n">
        <v>0</v>
      </c>
      <c r="M76" t="n">
        <v>0</v>
      </c>
      <c r="N76" t="n">
        <v>0</v>
      </c>
      <c r="O76" t="n">
        <v>4</v>
      </c>
      <c r="P76" t="n">
        <v>0</v>
      </c>
      <c r="Q76" t="n">
        <v>4</v>
      </c>
      <c r="R76" s="2" t="inlineStr">
        <is>
          <t>Garnlav
Granticka
Spillkråka
Tretåig hackspett</t>
        </is>
      </c>
      <c r="S76">
        <f>HYPERLINK("https://klasma.github.io/Logging_2321/artfynd/A 69317-2020 artfynd.xlsx", "A 69317-2020")</f>
        <v/>
      </c>
      <c r="T76">
        <f>HYPERLINK("https://klasma.github.io/Logging_2321/kartor/A 69317-2020 karta.png", "A 69317-2020")</f>
        <v/>
      </c>
      <c r="V76">
        <f>HYPERLINK("https://klasma.github.io/Logging_2321/klagomål/A 69317-2020 FSC-klagomål.docx", "A 69317-2020")</f>
        <v/>
      </c>
      <c r="W76">
        <f>HYPERLINK("https://klasma.github.io/Logging_2321/klagomålsmail/A 69317-2020 FSC-klagomål mail.docx", "A 69317-2020")</f>
        <v/>
      </c>
      <c r="X76">
        <f>HYPERLINK("https://klasma.github.io/Logging_2321/tillsyn/A 69317-2020 tillsynsbegäran.docx", "A 69317-2020")</f>
        <v/>
      </c>
      <c r="Y76">
        <f>HYPERLINK("https://klasma.github.io/Logging_2321/tillsynsmail/A 69317-2020 tillsynsbegäran mail.docx", "A 69317-2020")</f>
        <v/>
      </c>
      <c r="Z76">
        <f>HYPERLINK("https://klasma.github.io/Logging_2321/fåglar/A 69317-2020 prioriterade fågelarter.docx", "A 69317-2020")</f>
        <v/>
      </c>
    </row>
    <row r="77" ht="15" customHeight="1">
      <c r="A77" t="inlineStr">
        <is>
          <t>A 6236-2021</t>
        </is>
      </c>
      <c r="B77" s="1" t="n">
        <v>44231</v>
      </c>
      <c r="C77" s="1" t="n">
        <v>45565</v>
      </c>
      <c r="D77" t="inlineStr">
        <is>
          <t>JÄMTLANDS LÄN</t>
        </is>
      </c>
      <c r="E77" t="inlineStr">
        <is>
          <t>ÅRE</t>
        </is>
      </c>
      <c r="G77" t="n">
        <v>39.1</v>
      </c>
      <c r="H77" t="n">
        <v>0</v>
      </c>
      <c r="I77" t="n">
        <v>3</v>
      </c>
      <c r="J77" t="n">
        <v>1</v>
      </c>
      <c r="K77" t="n">
        <v>0</v>
      </c>
      <c r="L77" t="n">
        <v>0</v>
      </c>
      <c r="M77" t="n">
        <v>0</v>
      </c>
      <c r="N77" t="n">
        <v>0</v>
      </c>
      <c r="O77" t="n">
        <v>1</v>
      </c>
      <c r="P77" t="n">
        <v>0</v>
      </c>
      <c r="Q77" t="n">
        <v>4</v>
      </c>
      <c r="R77" s="2" t="inlineStr">
        <is>
          <t>Garnlav
Bårdlav
Gytterlav
Stuplav</t>
        </is>
      </c>
      <c r="S77">
        <f>HYPERLINK("https://klasma.github.io/Logging_2321/artfynd/A 6236-2021 artfynd.xlsx", "A 6236-2021")</f>
        <v/>
      </c>
      <c r="T77">
        <f>HYPERLINK("https://klasma.github.io/Logging_2321/kartor/A 6236-2021 karta.png", "A 6236-2021")</f>
        <v/>
      </c>
      <c r="V77">
        <f>HYPERLINK("https://klasma.github.io/Logging_2321/klagomål/A 6236-2021 FSC-klagomål.docx", "A 6236-2021")</f>
        <v/>
      </c>
      <c r="W77">
        <f>HYPERLINK("https://klasma.github.io/Logging_2321/klagomålsmail/A 6236-2021 FSC-klagomål mail.docx", "A 6236-2021")</f>
        <v/>
      </c>
      <c r="X77">
        <f>HYPERLINK("https://klasma.github.io/Logging_2321/tillsyn/A 6236-2021 tillsynsbegäran.docx", "A 6236-2021")</f>
        <v/>
      </c>
      <c r="Y77">
        <f>HYPERLINK("https://klasma.github.io/Logging_2321/tillsynsmail/A 6236-2021 tillsynsbegäran mail.docx", "A 6236-2021")</f>
        <v/>
      </c>
    </row>
    <row r="78" ht="15" customHeight="1">
      <c r="A78" t="inlineStr">
        <is>
          <t>A 19277-2021</t>
        </is>
      </c>
      <c r="B78" s="1" t="n">
        <v>44309</v>
      </c>
      <c r="C78" s="1" t="n">
        <v>45565</v>
      </c>
      <c r="D78" t="inlineStr">
        <is>
          <t>JÄMTLANDS LÄN</t>
        </is>
      </c>
      <c r="E78" t="inlineStr">
        <is>
          <t>ÅRE</t>
        </is>
      </c>
      <c r="G78" t="n">
        <v>3.2</v>
      </c>
      <c r="H78" t="n">
        <v>0</v>
      </c>
      <c r="I78" t="n">
        <v>2</v>
      </c>
      <c r="J78" t="n">
        <v>2</v>
      </c>
      <c r="K78" t="n">
        <v>0</v>
      </c>
      <c r="L78" t="n">
        <v>0</v>
      </c>
      <c r="M78" t="n">
        <v>0</v>
      </c>
      <c r="N78" t="n">
        <v>0</v>
      </c>
      <c r="O78" t="n">
        <v>2</v>
      </c>
      <c r="P78" t="n">
        <v>0</v>
      </c>
      <c r="Q78" t="n">
        <v>4</v>
      </c>
      <c r="R78" s="2" t="inlineStr">
        <is>
          <t>Garnlav
Gränsticka
Korallblylav
Stuplav</t>
        </is>
      </c>
      <c r="S78">
        <f>HYPERLINK("https://klasma.github.io/Logging_2321/artfynd/A 19277-2021 artfynd.xlsx", "A 19277-2021")</f>
        <v/>
      </c>
      <c r="T78">
        <f>HYPERLINK("https://klasma.github.io/Logging_2321/kartor/A 19277-2021 karta.png", "A 19277-2021")</f>
        <v/>
      </c>
      <c r="V78">
        <f>HYPERLINK("https://klasma.github.io/Logging_2321/klagomål/A 19277-2021 FSC-klagomål.docx", "A 19277-2021")</f>
        <v/>
      </c>
      <c r="W78">
        <f>HYPERLINK("https://klasma.github.io/Logging_2321/klagomålsmail/A 19277-2021 FSC-klagomål mail.docx", "A 19277-2021")</f>
        <v/>
      </c>
      <c r="X78">
        <f>HYPERLINK("https://klasma.github.io/Logging_2321/tillsyn/A 19277-2021 tillsynsbegäran.docx", "A 19277-2021")</f>
        <v/>
      </c>
      <c r="Y78">
        <f>HYPERLINK("https://klasma.github.io/Logging_2321/tillsynsmail/A 19277-2021 tillsynsbegäran mail.docx", "A 19277-2021")</f>
        <v/>
      </c>
    </row>
    <row r="79" ht="15" customHeight="1">
      <c r="A79" t="inlineStr">
        <is>
          <t>A 12271-2022</t>
        </is>
      </c>
      <c r="B79" s="1" t="n">
        <v>44637</v>
      </c>
      <c r="C79" s="1" t="n">
        <v>45565</v>
      </c>
      <c r="D79" t="inlineStr">
        <is>
          <t>JÄMTLANDS LÄN</t>
        </is>
      </c>
      <c r="E79" t="inlineStr">
        <is>
          <t>ÅRE</t>
        </is>
      </c>
      <c r="G79" t="n">
        <v>19.9</v>
      </c>
      <c r="H79" t="n">
        <v>0</v>
      </c>
      <c r="I79" t="n">
        <v>1</v>
      </c>
      <c r="J79" t="n">
        <v>3</v>
      </c>
      <c r="K79" t="n">
        <v>0</v>
      </c>
      <c r="L79" t="n">
        <v>0</v>
      </c>
      <c r="M79" t="n">
        <v>0</v>
      </c>
      <c r="N79" t="n">
        <v>0</v>
      </c>
      <c r="O79" t="n">
        <v>3</v>
      </c>
      <c r="P79" t="n">
        <v>0</v>
      </c>
      <c r="Q79" t="n">
        <v>4</v>
      </c>
      <c r="R79" s="2" t="inlineStr">
        <is>
          <t>Granticka
Gränsticka
Skrovellav
Stuplav</t>
        </is>
      </c>
      <c r="S79">
        <f>HYPERLINK("https://klasma.github.io/Logging_2321/artfynd/A 12271-2022 artfynd.xlsx", "A 12271-2022")</f>
        <v/>
      </c>
      <c r="T79">
        <f>HYPERLINK("https://klasma.github.io/Logging_2321/kartor/A 12271-2022 karta.png", "A 12271-2022")</f>
        <v/>
      </c>
      <c r="V79">
        <f>HYPERLINK("https://klasma.github.io/Logging_2321/klagomål/A 12271-2022 FSC-klagomål.docx", "A 12271-2022")</f>
        <v/>
      </c>
      <c r="W79">
        <f>HYPERLINK("https://klasma.github.io/Logging_2321/klagomålsmail/A 12271-2022 FSC-klagomål mail.docx", "A 12271-2022")</f>
        <v/>
      </c>
      <c r="X79">
        <f>HYPERLINK("https://klasma.github.io/Logging_2321/tillsyn/A 12271-2022 tillsynsbegäran.docx", "A 12271-2022")</f>
        <v/>
      </c>
      <c r="Y79">
        <f>HYPERLINK("https://klasma.github.io/Logging_2321/tillsynsmail/A 12271-2022 tillsynsbegäran mail.docx", "A 12271-2022")</f>
        <v/>
      </c>
    </row>
    <row r="80" ht="15" customHeight="1">
      <c r="A80" t="inlineStr">
        <is>
          <t>A 52464-2022</t>
        </is>
      </c>
      <c r="B80" s="1" t="n">
        <v>44874</v>
      </c>
      <c r="C80" s="1" t="n">
        <v>45565</v>
      </c>
      <c r="D80" t="inlineStr">
        <is>
          <t>JÄMTLANDS LÄN</t>
        </is>
      </c>
      <c r="E80" t="inlineStr">
        <is>
          <t>ÅRE</t>
        </is>
      </c>
      <c r="G80" t="n">
        <v>6.5</v>
      </c>
      <c r="H80" t="n">
        <v>1</v>
      </c>
      <c r="I80" t="n">
        <v>0</v>
      </c>
      <c r="J80" t="n">
        <v>4</v>
      </c>
      <c r="K80" t="n">
        <v>0</v>
      </c>
      <c r="L80" t="n">
        <v>0</v>
      </c>
      <c r="M80" t="n">
        <v>0</v>
      </c>
      <c r="N80" t="n">
        <v>0</v>
      </c>
      <c r="O80" t="n">
        <v>4</v>
      </c>
      <c r="P80" t="n">
        <v>0</v>
      </c>
      <c r="Q80" t="n">
        <v>4</v>
      </c>
      <c r="R80" s="2" t="inlineStr">
        <is>
          <t>Garnlav
Liten svartspik
Tretåig hackspett
Vitgrynig nållav</t>
        </is>
      </c>
      <c r="S80">
        <f>HYPERLINK("https://klasma.github.io/Logging_2321/artfynd/A 52464-2022 artfynd.xlsx", "A 52464-2022")</f>
        <v/>
      </c>
      <c r="T80">
        <f>HYPERLINK("https://klasma.github.io/Logging_2321/kartor/A 52464-2022 karta.png", "A 52464-2022")</f>
        <v/>
      </c>
      <c r="V80">
        <f>HYPERLINK("https://klasma.github.io/Logging_2321/klagomål/A 52464-2022 FSC-klagomål.docx", "A 52464-2022")</f>
        <v/>
      </c>
      <c r="W80">
        <f>HYPERLINK("https://klasma.github.io/Logging_2321/klagomålsmail/A 52464-2022 FSC-klagomål mail.docx", "A 52464-2022")</f>
        <v/>
      </c>
      <c r="X80">
        <f>HYPERLINK("https://klasma.github.io/Logging_2321/tillsyn/A 52464-2022 tillsynsbegäran.docx", "A 52464-2022")</f>
        <v/>
      </c>
      <c r="Y80">
        <f>HYPERLINK("https://klasma.github.io/Logging_2321/tillsynsmail/A 52464-2022 tillsynsbegäran mail.docx", "A 52464-2022")</f>
        <v/>
      </c>
      <c r="Z80">
        <f>HYPERLINK("https://klasma.github.io/Logging_2321/fåglar/A 52464-2022 prioriterade fågelarter.docx", "A 52464-2022")</f>
        <v/>
      </c>
    </row>
    <row r="81" ht="15" customHeight="1">
      <c r="A81" t="inlineStr">
        <is>
          <t>A 56183-2022</t>
        </is>
      </c>
      <c r="B81" s="1" t="n">
        <v>44889</v>
      </c>
      <c r="C81" s="1" t="n">
        <v>45565</v>
      </c>
      <c r="D81" t="inlineStr">
        <is>
          <t>JÄMTLANDS LÄN</t>
        </is>
      </c>
      <c r="E81" t="inlineStr">
        <is>
          <t>ÅRE</t>
        </is>
      </c>
      <c r="G81" t="n">
        <v>29.8</v>
      </c>
      <c r="H81" t="n">
        <v>1</v>
      </c>
      <c r="I81" t="n">
        <v>0</v>
      </c>
      <c r="J81" t="n">
        <v>4</v>
      </c>
      <c r="K81" t="n">
        <v>0</v>
      </c>
      <c r="L81" t="n">
        <v>0</v>
      </c>
      <c r="M81" t="n">
        <v>0</v>
      </c>
      <c r="N81" t="n">
        <v>0</v>
      </c>
      <c r="O81" t="n">
        <v>4</v>
      </c>
      <c r="P81" t="n">
        <v>0</v>
      </c>
      <c r="Q81" t="n">
        <v>4</v>
      </c>
      <c r="R81" s="2" t="inlineStr">
        <is>
          <t>Gammelgransskål
Granticka
Skrovellav
Tretåig hackspett</t>
        </is>
      </c>
      <c r="S81">
        <f>HYPERLINK("https://klasma.github.io/Logging_2321/artfynd/A 56183-2022 artfynd.xlsx", "A 56183-2022")</f>
        <v/>
      </c>
      <c r="T81">
        <f>HYPERLINK("https://klasma.github.io/Logging_2321/kartor/A 56183-2022 karta.png", "A 56183-2022")</f>
        <v/>
      </c>
      <c r="V81">
        <f>HYPERLINK("https://klasma.github.io/Logging_2321/klagomål/A 56183-2022 FSC-klagomål.docx", "A 56183-2022")</f>
        <v/>
      </c>
      <c r="W81">
        <f>HYPERLINK("https://klasma.github.io/Logging_2321/klagomålsmail/A 56183-2022 FSC-klagomål mail.docx", "A 56183-2022")</f>
        <v/>
      </c>
      <c r="X81">
        <f>HYPERLINK("https://klasma.github.io/Logging_2321/tillsyn/A 56183-2022 tillsynsbegäran.docx", "A 56183-2022")</f>
        <v/>
      </c>
      <c r="Y81">
        <f>HYPERLINK("https://klasma.github.io/Logging_2321/tillsynsmail/A 56183-2022 tillsynsbegäran mail.docx", "A 56183-2022")</f>
        <v/>
      </c>
      <c r="Z81">
        <f>HYPERLINK("https://klasma.github.io/Logging_2321/fåglar/A 56183-2022 prioriterade fågelarter.docx", "A 56183-2022")</f>
        <v/>
      </c>
    </row>
    <row r="82" ht="15" customHeight="1">
      <c r="A82" t="inlineStr">
        <is>
          <t>A 19701-2023</t>
        </is>
      </c>
      <c r="B82" s="1" t="n">
        <v>45051</v>
      </c>
      <c r="C82" s="1" t="n">
        <v>45565</v>
      </c>
      <c r="D82" t="inlineStr">
        <is>
          <t>JÄMTLANDS LÄN</t>
        </is>
      </c>
      <c r="E82" t="inlineStr">
        <is>
          <t>ÅRE</t>
        </is>
      </c>
      <c r="G82" t="n">
        <v>9.800000000000001</v>
      </c>
      <c r="H82" t="n">
        <v>2</v>
      </c>
      <c r="I82" t="n">
        <v>2</v>
      </c>
      <c r="J82" t="n">
        <v>1</v>
      </c>
      <c r="K82" t="n">
        <v>0</v>
      </c>
      <c r="L82" t="n">
        <v>0</v>
      </c>
      <c r="M82" t="n">
        <v>0</v>
      </c>
      <c r="N82" t="n">
        <v>0</v>
      </c>
      <c r="O82" t="n">
        <v>1</v>
      </c>
      <c r="P82" t="n">
        <v>0</v>
      </c>
      <c r="Q82" t="n">
        <v>4</v>
      </c>
      <c r="R82" s="2" t="inlineStr">
        <is>
          <t>Granticka
Spindelblomster
Ögonpyrola
Revlummer</t>
        </is>
      </c>
      <c r="S82">
        <f>HYPERLINK("https://klasma.github.io/Logging_2321/artfynd/A 19701-2023 artfynd.xlsx", "A 19701-2023")</f>
        <v/>
      </c>
      <c r="T82">
        <f>HYPERLINK("https://klasma.github.io/Logging_2321/kartor/A 19701-2023 karta.png", "A 19701-2023")</f>
        <v/>
      </c>
      <c r="V82">
        <f>HYPERLINK("https://klasma.github.io/Logging_2321/klagomål/A 19701-2023 FSC-klagomål.docx", "A 19701-2023")</f>
        <v/>
      </c>
      <c r="W82">
        <f>HYPERLINK("https://klasma.github.io/Logging_2321/klagomålsmail/A 19701-2023 FSC-klagomål mail.docx", "A 19701-2023")</f>
        <v/>
      </c>
      <c r="X82">
        <f>HYPERLINK("https://klasma.github.io/Logging_2321/tillsyn/A 19701-2023 tillsynsbegäran.docx", "A 19701-2023")</f>
        <v/>
      </c>
      <c r="Y82">
        <f>HYPERLINK("https://klasma.github.io/Logging_2321/tillsynsmail/A 19701-2023 tillsynsbegäran mail.docx", "A 19701-2023")</f>
        <v/>
      </c>
    </row>
    <row r="83" ht="15" customHeight="1">
      <c r="A83" t="inlineStr">
        <is>
          <t>A 20035-2024</t>
        </is>
      </c>
      <c r="B83" s="1" t="n">
        <v>45434</v>
      </c>
      <c r="C83" s="1" t="n">
        <v>45565</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31842-2024</t>
        </is>
      </c>
      <c r="B84" s="1" t="n">
        <v>45509</v>
      </c>
      <c r="C84" s="1" t="n">
        <v>45565</v>
      </c>
      <c r="D84" t="inlineStr">
        <is>
          <t>JÄMTLANDS LÄN</t>
        </is>
      </c>
      <c r="E84" t="inlineStr">
        <is>
          <t>ÅRE</t>
        </is>
      </c>
      <c r="G84" t="n">
        <v>7.6</v>
      </c>
      <c r="H84" t="n">
        <v>1</v>
      </c>
      <c r="I84" t="n">
        <v>0</v>
      </c>
      <c r="J84" t="n">
        <v>4</v>
      </c>
      <c r="K84" t="n">
        <v>0</v>
      </c>
      <c r="L84" t="n">
        <v>0</v>
      </c>
      <c r="M84" t="n">
        <v>0</v>
      </c>
      <c r="N84" t="n">
        <v>0</v>
      </c>
      <c r="O84" t="n">
        <v>4</v>
      </c>
      <c r="P84" t="n">
        <v>0</v>
      </c>
      <c r="Q84" t="n">
        <v>4</v>
      </c>
      <c r="R84" s="2" t="inlineStr">
        <is>
          <t>Garnlav
Harticka
Tretåig hackspett
Ullticka</t>
        </is>
      </c>
      <c r="S84">
        <f>HYPERLINK("https://klasma.github.io/Logging_2321/artfynd/A 31842-2024 artfynd.xlsx", "A 31842-2024")</f>
        <v/>
      </c>
      <c r="T84">
        <f>HYPERLINK("https://klasma.github.io/Logging_2321/kartor/A 31842-2024 karta.png", "A 31842-2024")</f>
        <v/>
      </c>
      <c r="V84">
        <f>HYPERLINK("https://klasma.github.io/Logging_2321/klagomål/A 31842-2024 FSC-klagomål.docx", "A 31842-2024")</f>
        <v/>
      </c>
      <c r="W84">
        <f>HYPERLINK("https://klasma.github.io/Logging_2321/klagomålsmail/A 31842-2024 FSC-klagomål mail.docx", "A 31842-2024")</f>
        <v/>
      </c>
      <c r="X84">
        <f>HYPERLINK("https://klasma.github.io/Logging_2321/tillsyn/A 31842-2024 tillsynsbegäran.docx", "A 31842-2024")</f>
        <v/>
      </c>
      <c r="Y84">
        <f>HYPERLINK("https://klasma.github.io/Logging_2321/tillsynsmail/A 31842-2024 tillsynsbegäran mail.docx", "A 31842-2024")</f>
        <v/>
      </c>
      <c r="Z84">
        <f>HYPERLINK("https://klasma.github.io/Logging_2321/fåglar/A 31842-2024 prioriterade fågelarter.docx", "A 31842-2024")</f>
        <v/>
      </c>
    </row>
    <row r="85" ht="15" customHeight="1">
      <c r="A85" t="inlineStr">
        <is>
          <t>A 24163-2019</t>
        </is>
      </c>
      <c r="B85" s="1" t="n">
        <v>43598</v>
      </c>
      <c r="C85" s="1" t="n">
        <v>45565</v>
      </c>
      <c r="D85" t="inlineStr">
        <is>
          <t>JÄMTLANDS LÄN</t>
        </is>
      </c>
      <c r="E85" t="inlineStr">
        <is>
          <t>ÅRE</t>
        </is>
      </c>
      <c r="G85" t="n">
        <v>16.5</v>
      </c>
      <c r="H85" t="n">
        <v>0</v>
      </c>
      <c r="I85" t="n">
        <v>0</v>
      </c>
      <c r="J85" t="n">
        <v>3</v>
      </c>
      <c r="K85" t="n">
        <v>0</v>
      </c>
      <c r="L85" t="n">
        <v>0</v>
      </c>
      <c r="M85" t="n">
        <v>0</v>
      </c>
      <c r="N85" t="n">
        <v>0</v>
      </c>
      <c r="O85" t="n">
        <v>3</v>
      </c>
      <c r="P85" t="n">
        <v>0</v>
      </c>
      <c r="Q85" t="n">
        <v>3</v>
      </c>
      <c r="R85" s="2" t="inlineStr">
        <is>
          <t>Garnlav
Lunglav
Rosenticka</t>
        </is>
      </c>
      <c r="S85">
        <f>HYPERLINK("https://klasma.github.io/Logging_2321/artfynd/A 24163-2019 artfynd.xlsx", "A 24163-2019")</f>
        <v/>
      </c>
      <c r="T85">
        <f>HYPERLINK("https://klasma.github.io/Logging_2321/kartor/A 24163-2019 karta.png", "A 24163-2019")</f>
        <v/>
      </c>
      <c r="V85">
        <f>HYPERLINK("https://klasma.github.io/Logging_2321/klagomål/A 24163-2019 FSC-klagomål.docx", "A 24163-2019")</f>
        <v/>
      </c>
      <c r="W85">
        <f>HYPERLINK("https://klasma.github.io/Logging_2321/klagomålsmail/A 24163-2019 FSC-klagomål mail.docx", "A 24163-2019")</f>
        <v/>
      </c>
      <c r="X85">
        <f>HYPERLINK("https://klasma.github.io/Logging_2321/tillsyn/A 24163-2019 tillsynsbegäran.docx", "A 24163-2019")</f>
        <v/>
      </c>
      <c r="Y85">
        <f>HYPERLINK("https://klasma.github.io/Logging_2321/tillsynsmail/A 24163-2019 tillsynsbegäran mail.docx", "A 24163-2019")</f>
        <v/>
      </c>
    </row>
    <row r="86" ht="15" customHeight="1">
      <c r="A86" t="inlineStr">
        <is>
          <t>A 29082-2020</t>
        </is>
      </c>
      <c r="B86" s="1" t="n">
        <v>44002</v>
      </c>
      <c r="C86" s="1" t="n">
        <v>45565</v>
      </c>
      <c r="D86" t="inlineStr">
        <is>
          <t>JÄMTLANDS LÄN</t>
        </is>
      </c>
      <c r="E86" t="inlineStr">
        <is>
          <t>ÅRE</t>
        </is>
      </c>
      <c r="G86" t="n">
        <v>3.1</v>
      </c>
      <c r="H86" t="n">
        <v>1</v>
      </c>
      <c r="I86" t="n">
        <v>0</v>
      </c>
      <c r="J86" t="n">
        <v>2</v>
      </c>
      <c r="K86" t="n">
        <v>0</v>
      </c>
      <c r="L86" t="n">
        <v>0</v>
      </c>
      <c r="M86" t="n">
        <v>0</v>
      </c>
      <c r="N86" t="n">
        <v>0</v>
      </c>
      <c r="O86" t="n">
        <v>2</v>
      </c>
      <c r="P86" t="n">
        <v>0</v>
      </c>
      <c r="Q86" t="n">
        <v>3</v>
      </c>
      <c r="R86" s="2" t="inlineStr">
        <is>
          <t>Garnlav
Granticka
Fläcknycklar</t>
        </is>
      </c>
      <c r="S86">
        <f>HYPERLINK("https://klasma.github.io/Logging_2321/artfynd/A 29082-2020 artfynd.xlsx", "A 29082-2020")</f>
        <v/>
      </c>
      <c r="T86">
        <f>HYPERLINK("https://klasma.github.io/Logging_2321/kartor/A 29082-2020 karta.png", "A 29082-2020")</f>
        <v/>
      </c>
      <c r="V86">
        <f>HYPERLINK("https://klasma.github.io/Logging_2321/klagomål/A 29082-2020 FSC-klagomål.docx", "A 29082-2020")</f>
        <v/>
      </c>
      <c r="W86">
        <f>HYPERLINK("https://klasma.github.io/Logging_2321/klagomålsmail/A 29082-2020 FSC-klagomål mail.docx", "A 29082-2020")</f>
        <v/>
      </c>
      <c r="X86">
        <f>HYPERLINK("https://klasma.github.io/Logging_2321/tillsyn/A 29082-2020 tillsynsbegäran.docx", "A 29082-2020")</f>
        <v/>
      </c>
      <c r="Y86">
        <f>HYPERLINK("https://klasma.github.io/Logging_2321/tillsynsmail/A 29082-2020 tillsynsbegäran mail.docx", "A 29082-2020")</f>
        <v/>
      </c>
    </row>
    <row r="87" ht="15" customHeight="1">
      <c r="A87" t="inlineStr">
        <is>
          <t>A 54743-2020</t>
        </is>
      </c>
      <c r="B87" s="1" t="n">
        <v>44127</v>
      </c>
      <c r="C87" s="1" t="n">
        <v>45565</v>
      </c>
      <c r="D87" t="inlineStr">
        <is>
          <t>JÄMTLANDS LÄN</t>
        </is>
      </c>
      <c r="E87" t="inlineStr">
        <is>
          <t>ÅRE</t>
        </is>
      </c>
      <c r="G87" t="n">
        <v>3.4</v>
      </c>
      <c r="H87" t="n">
        <v>0</v>
      </c>
      <c r="I87" t="n">
        <v>2</v>
      </c>
      <c r="J87" t="n">
        <v>1</v>
      </c>
      <c r="K87" t="n">
        <v>0</v>
      </c>
      <c r="L87" t="n">
        <v>0</v>
      </c>
      <c r="M87" t="n">
        <v>0</v>
      </c>
      <c r="N87" t="n">
        <v>0</v>
      </c>
      <c r="O87" t="n">
        <v>1</v>
      </c>
      <c r="P87" t="n">
        <v>0</v>
      </c>
      <c r="Q87" t="n">
        <v>3</v>
      </c>
      <c r="R87" s="2" t="inlineStr">
        <is>
          <t>Dofttaggsvamp
Kryddspindling
Svavelriska</t>
        </is>
      </c>
      <c r="S87">
        <f>HYPERLINK("https://klasma.github.io/Logging_2321/artfynd/A 54743-2020 artfynd.xlsx", "A 54743-2020")</f>
        <v/>
      </c>
      <c r="T87">
        <f>HYPERLINK("https://klasma.github.io/Logging_2321/kartor/A 54743-2020 karta.png", "A 54743-2020")</f>
        <v/>
      </c>
      <c r="V87">
        <f>HYPERLINK("https://klasma.github.io/Logging_2321/klagomål/A 54743-2020 FSC-klagomål.docx", "A 54743-2020")</f>
        <v/>
      </c>
      <c r="W87">
        <f>HYPERLINK("https://klasma.github.io/Logging_2321/klagomålsmail/A 54743-2020 FSC-klagomål mail.docx", "A 54743-2020")</f>
        <v/>
      </c>
      <c r="X87">
        <f>HYPERLINK("https://klasma.github.io/Logging_2321/tillsyn/A 54743-2020 tillsynsbegäran.docx", "A 54743-2020")</f>
        <v/>
      </c>
      <c r="Y87">
        <f>HYPERLINK("https://klasma.github.io/Logging_2321/tillsynsmail/A 54743-2020 tillsynsbegäran mail.docx", "A 54743-2020")</f>
        <v/>
      </c>
    </row>
    <row r="88" ht="15" customHeight="1">
      <c r="A88" t="inlineStr">
        <is>
          <t>A 54988-2020</t>
        </is>
      </c>
      <c r="B88" s="1" t="n">
        <v>44130</v>
      </c>
      <c r="C88" s="1" t="n">
        <v>45565</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61189-2020</t>
        </is>
      </c>
      <c r="B89" s="1" t="n">
        <v>44155</v>
      </c>
      <c r="C89" s="1" t="n">
        <v>45565</v>
      </c>
      <c r="D89" t="inlineStr">
        <is>
          <t>JÄMTLANDS LÄN</t>
        </is>
      </c>
      <c r="E89" t="inlineStr">
        <is>
          <t>ÅRE</t>
        </is>
      </c>
      <c r="F89" t="inlineStr">
        <is>
          <t>Övriga Aktiebolag</t>
        </is>
      </c>
      <c r="G89" t="n">
        <v>26.5</v>
      </c>
      <c r="H89" t="n">
        <v>0</v>
      </c>
      <c r="I89" t="n">
        <v>0</v>
      </c>
      <c r="J89" t="n">
        <v>3</v>
      </c>
      <c r="K89" t="n">
        <v>0</v>
      </c>
      <c r="L89" t="n">
        <v>0</v>
      </c>
      <c r="M89" t="n">
        <v>0</v>
      </c>
      <c r="N89" t="n">
        <v>0</v>
      </c>
      <c r="O89" t="n">
        <v>3</v>
      </c>
      <c r="P89" t="n">
        <v>0</v>
      </c>
      <c r="Q89" t="n">
        <v>3</v>
      </c>
      <c r="R89" s="2" t="inlineStr">
        <is>
          <t>Gammelgransskål
Garnlav
Gränsticka</t>
        </is>
      </c>
      <c r="S89">
        <f>HYPERLINK("https://klasma.github.io/Logging_2321/artfynd/A 61189-2020 artfynd.xlsx", "A 61189-2020")</f>
        <v/>
      </c>
      <c r="T89">
        <f>HYPERLINK("https://klasma.github.io/Logging_2321/kartor/A 61189-2020 karta.png", "A 61189-2020")</f>
        <v/>
      </c>
      <c r="V89">
        <f>HYPERLINK("https://klasma.github.io/Logging_2321/klagomål/A 61189-2020 FSC-klagomål.docx", "A 61189-2020")</f>
        <v/>
      </c>
      <c r="W89">
        <f>HYPERLINK("https://klasma.github.io/Logging_2321/klagomålsmail/A 61189-2020 FSC-klagomål mail.docx", "A 61189-2020")</f>
        <v/>
      </c>
      <c r="X89">
        <f>HYPERLINK("https://klasma.github.io/Logging_2321/tillsyn/A 61189-2020 tillsynsbegäran.docx", "A 61189-2020")</f>
        <v/>
      </c>
      <c r="Y89">
        <f>HYPERLINK("https://klasma.github.io/Logging_2321/tillsynsmail/A 61189-2020 tillsynsbegäran mail.docx", "A 61189-2020")</f>
        <v/>
      </c>
    </row>
    <row r="90" ht="15" customHeight="1">
      <c r="A90" t="inlineStr">
        <is>
          <t>A 61510-2020</t>
        </is>
      </c>
      <c r="B90" s="1" t="n">
        <v>44158</v>
      </c>
      <c r="C90" s="1" t="n">
        <v>45565</v>
      </c>
      <c r="D90" t="inlineStr">
        <is>
          <t>JÄMTLANDS LÄN</t>
        </is>
      </c>
      <c r="E90" t="inlineStr">
        <is>
          <t>ÅRE</t>
        </is>
      </c>
      <c r="F90" t="inlineStr">
        <is>
          <t>Övriga Aktiebolag</t>
        </is>
      </c>
      <c r="G90" t="n">
        <v>5.9</v>
      </c>
      <c r="H90" t="n">
        <v>2</v>
      </c>
      <c r="I90" t="n">
        <v>0</v>
      </c>
      <c r="J90" t="n">
        <v>2</v>
      </c>
      <c r="K90" t="n">
        <v>0</v>
      </c>
      <c r="L90" t="n">
        <v>0</v>
      </c>
      <c r="M90" t="n">
        <v>0</v>
      </c>
      <c r="N90" t="n">
        <v>0</v>
      </c>
      <c r="O90" t="n">
        <v>2</v>
      </c>
      <c r="P90" t="n">
        <v>0</v>
      </c>
      <c r="Q90" t="n">
        <v>3</v>
      </c>
      <c r="R90" s="2" t="inlineStr">
        <is>
          <t>Garnlav
Tretåig hackspett
Enkelbeckasin</t>
        </is>
      </c>
      <c r="S90">
        <f>HYPERLINK("https://klasma.github.io/Logging_2321/artfynd/A 61510-2020 artfynd.xlsx", "A 61510-2020")</f>
        <v/>
      </c>
      <c r="T90">
        <f>HYPERLINK("https://klasma.github.io/Logging_2321/kartor/A 61510-2020 karta.png", "A 61510-2020")</f>
        <v/>
      </c>
      <c r="V90">
        <f>HYPERLINK("https://klasma.github.io/Logging_2321/klagomål/A 61510-2020 FSC-klagomål.docx", "A 61510-2020")</f>
        <v/>
      </c>
      <c r="W90">
        <f>HYPERLINK("https://klasma.github.io/Logging_2321/klagomålsmail/A 61510-2020 FSC-klagomål mail.docx", "A 61510-2020")</f>
        <v/>
      </c>
      <c r="X90">
        <f>HYPERLINK("https://klasma.github.io/Logging_2321/tillsyn/A 61510-2020 tillsynsbegäran.docx", "A 61510-2020")</f>
        <v/>
      </c>
      <c r="Y90">
        <f>HYPERLINK("https://klasma.github.io/Logging_2321/tillsynsmail/A 61510-2020 tillsynsbegäran mail.docx", "A 61510-2020")</f>
        <v/>
      </c>
      <c r="Z90">
        <f>HYPERLINK("https://klasma.github.io/Logging_2321/fåglar/A 61510-2020 prioriterade fågelarter.docx", "A 61510-2020")</f>
        <v/>
      </c>
    </row>
    <row r="91" ht="15" customHeight="1">
      <c r="A91" t="inlineStr">
        <is>
          <t>A 10773-2021</t>
        </is>
      </c>
      <c r="B91" s="1" t="n">
        <v>44259</v>
      </c>
      <c r="C91" s="1" t="n">
        <v>45565</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14198-2021</t>
        </is>
      </c>
      <c r="B92" s="1" t="n">
        <v>44278</v>
      </c>
      <c r="C92" s="1" t="n">
        <v>45565</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45565</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72934-2021</t>
        </is>
      </c>
      <c r="B94" s="1" t="n">
        <v>44547</v>
      </c>
      <c r="C94" s="1" t="n">
        <v>45565</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12269-2022</t>
        </is>
      </c>
      <c r="B95" s="1" t="n">
        <v>44637</v>
      </c>
      <c r="C95" s="1" t="n">
        <v>45565</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21006-2022</t>
        </is>
      </c>
      <c r="B96" s="1" t="n">
        <v>44701</v>
      </c>
      <c r="C96" s="1" t="n">
        <v>45565</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58082-2022</t>
        </is>
      </c>
      <c r="B97" s="1" t="n">
        <v>44900</v>
      </c>
      <c r="C97" s="1" t="n">
        <v>45565</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59237-2022</t>
        </is>
      </c>
      <c r="B98" s="1" t="n">
        <v>44904</v>
      </c>
      <c r="C98" s="1" t="n">
        <v>45565</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8438-2023</t>
        </is>
      </c>
      <c r="B99" s="1" t="n">
        <v>44977</v>
      </c>
      <c r="C99" s="1" t="n">
        <v>45565</v>
      </c>
      <c r="D99" t="inlineStr">
        <is>
          <t>JÄMTLANDS LÄN</t>
        </is>
      </c>
      <c r="E99" t="inlineStr">
        <is>
          <t>ÅRE</t>
        </is>
      </c>
      <c r="F99" t="inlineStr">
        <is>
          <t>Övriga Aktiebolag</t>
        </is>
      </c>
      <c r="G99" t="n">
        <v>0.6</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8438-2023 artfynd.xlsx", "A 8438-2023")</f>
        <v/>
      </c>
      <c r="T99">
        <f>HYPERLINK("https://klasma.github.io/Logging_2321/kartor/A 8438-2023 karta.png", "A 8438-2023")</f>
        <v/>
      </c>
      <c r="V99">
        <f>HYPERLINK("https://klasma.github.io/Logging_2321/klagomål/A 8438-2023 FSC-klagomål.docx", "A 8438-2023")</f>
        <v/>
      </c>
      <c r="W99">
        <f>HYPERLINK("https://klasma.github.io/Logging_2321/klagomålsmail/A 8438-2023 FSC-klagomål mail.docx", "A 8438-2023")</f>
        <v/>
      </c>
      <c r="X99">
        <f>HYPERLINK("https://klasma.github.io/Logging_2321/tillsyn/A 8438-2023 tillsynsbegäran.docx", "A 8438-2023")</f>
        <v/>
      </c>
      <c r="Y99">
        <f>HYPERLINK("https://klasma.github.io/Logging_2321/tillsynsmail/A 8438-2023 tillsynsbegäran mail.docx", "A 8438-2023")</f>
        <v/>
      </c>
      <c r="Z99">
        <f>HYPERLINK("https://klasma.github.io/Logging_2321/fåglar/A 8438-2023 prioriterade fågelarter.docx", "A 8438-2023")</f>
        <v/>
      </c>
    </row>
    <row r="100" ht="15" customHeight="1">
      <c r="A100" t="inlineStr">
        <is>
          <t>A 8470-2023</t>
        </is>
      </c>
      <c r="B100" s="1" t="n">
        <v>44977</v>
      </c>
      <c r="C100" s="1" t="n">
        <v>45565</v>
      </c>
      <c r="D100" t="inlineStr">
        <is>
          <t>JÄMTLANDS LÄN</t>
        </is>
      </c>
      <c r="E100" t="inlineStr">
        <is>
          <t>ÅRE</t>
        </is>
      </c>
      <c r="F100" t="inlineStr">
        <is>
          <t>Övriga Aktiebolag</t>
        </is>
      </c>
      <c r="G100" t="n">
        <v>8.699999999999999</v>
      </c>
      <c r="H100" t="n">
        <v>1</v>
      </c>
      <c r="I100" t="n">
        <v>1</v>
      </c>
      <c r="J100" t="n">
        <v>2</v>
      </c>
      <c r="K100" t="n">
        <v>0</v>
      </c>
      <c r="L100" t="n">
        <v>0</v>
      </c>
      <c r="M100" t="n">
        <v>0</v>
      </c>
      <c r="N100" t="n">
        <v>0</v>
      </c>
      <c r="O100" t="n">
        <v>2</v>
      </c>
      <c r="P100" t="n">
        <v>0</v>
      </c>
      <c r="Q100" t="n">
        <v>3</v>
      </c>
      <c r="R100" s="2" t="inlineStr">
        <is>
          <t>Granticka
Tretåig hackspett
Skinnlav</t>
        </is>
      </c>
      <c r="S100">
        <f>HYPERLINK("https://klasma.github.io/Logging_2321/artfynd/A 8470-2023 artfynd.xlsx", "A 8470-2023")</f>
        <v/>
      </c>
      <c r="T100">
        <f>HYPERLINK("https://klasma.github.io/Logging_2321/kartor/A 8470-2023 karta.png", "A 8470-2023")</f>
        <v/>
      </c>
      <c r="V100">
        <f>HYPERLINK("https://klasma.github.io/Logging_2321/klagomål/A 8470-2023 FSC-klagomål.docx", "A 8470-2023")</f>
        <v/>
      </c>
      <c r="W100">
        <f>HYPERLINK("https://klasma.github.io/Logging_2321/klagomålsmail/A 8470-2023 FSC-klagomål mail.docx", "A 8470-2023")</f>
        <v/>
      </c>
      <c r="X100">
        <f>HYPERLINK("https://klasma.github.io/Logging_2321/tillsyn/A 8470-2023 tillsynsbegäran.docx", "A 8470-2023")</f>
        <v/>
      </c>
      <c r="Y100">
        <f>HYPERLINK("https://klasma.github.io/Logging_2321/tillsynsmail/A 8470-2023 tillsynsbegäran mail.docx", "A 8470-2023")</f>
        <v/>
      </c>
      <c r="Z100">
        <f>HYPERLINK("https://klasma.github.io/Logging_2321/fåglar/A 8470-2023 prioriterade fågelarter.docx", "A 8470-2023")</f>
        <v/>
      </c>
    </row>
    <row r="101" ht="15" customHeight="1">
      <c r="A101" t="inlineStr">
        <is>
          <t>A 10627-2023</t>
        </is>
      </c>
      <c r="B101" s="1" t="n">
        <v>44984</v>
      </c>
      <c r="C101" s="1" t="n">
        <v>45565</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20124-2023</t>
        </is>
      </c>
      <c r="B102" s="1" t="n">
        <v>45055</v>
      </c>
      <c r="C102" s="1" t="n">
        <v>45565</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23638-2023</t>
        </is>
      </c>
      <c r="B103" s="1" t="n">
        <v>45072</v>
      </c>
      <c r="C103" s="1" t="n">
        <v>45565</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23729-2023</t>
        </is>
      </c>
      <c r="B104" s="1" t="n">
        <v>45072</v>
      </c>
      <c r="C104" s="1" t="n">
        <v>45565</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24549-2023</t>
        </is>
      </c>
      <c r="B105" s="1" t="n">
        <v>45082</v>
      </c>
      <c r="C105" s="1" t="n">
        <v>45565</v>
      </c>
      <c r="D105" t="inlineStr">
        <is>
          <t>JÄMTLANDS LÄN</t>
        </is>
      </c>
      <c r="E105" t="inlineStr">
        <is>
          <t>ÅRE</t>
        </is>
      </c>
      <c r="G105" t="n">
        <v>6.4</v>
      </c>
      <c r="H105" t="n">
        <v>2</v>
      </c>
      <c r="I105" t="n">
        <v>2</v>
      </c>
      <c r="J105" t="n">
        <v>0</v>
      </c>
      <c r="K105" t="n">
        <v>0</v>
      </c>
      <c r="L105" t="n">
        <v>0</v>
      </c>
      <c r="M105" t="n">
        <v>0</v>
      </c>
      <c r="N105" t="n">
        <v>0</v>
      </c>
      <c r="O105" t="n">
        <v>0</v>
      </c>
      <c r="P105" t="n">
        <v>0</v>
      </c>
      <c r="Q105" t="n">
        <v>3</v>
      </c>
      <c r="R105" s="2" t="inlineStr">
        <is>
          <t>Spindelblomster
Ögonpyrola
Revlummer</t>
        </is>
      </c>
      <c r="S105">
        <f>HYPERLINK("https://klasma.github.io/Logging_2321/artfynd/A 24549-2023 artfynd.xlsx", "A 24549-2023")</f>
        <v/>
      </c>
      <c r="T105">
        <f>HYPERLINK("https://klasma.github.io/Logging_2321/kartor/A 24549-2023 karta.png", "A 24549-2023")</f>
        <v/>
      </c>
      <c r="V105">
        <f>HYPERLINK("https://klasma.github.io/Logging_2321/klagomål/A 24549-2023 FSC-klagomål.docx", "A 24549-2023")</f>
        <v/>
      </c>
      <c r="W105">
        <f>HYPERLINK("https://klasma.github.io/Logging_2321/klagomålsmail/A 24549-2023 FSC-klagomål mail.docx", "A 24549-2023")</f>
        <v/>
      </c>
      <c r="X105">
        <f>HYPERLINK("https://klasma.github.io/Logging_2321/tillsyn/A 24549-2023 tillsynsbegäran.docx", "A 24549-2023")</f>
        <v/>
      </c>
      <c r="Y105">
        <f>HYPERLINK("https://klasma.github.io/Logging_2321/tillsynsmail/A 24549-2023 tillsynsbegäran mail.docx", "A 24549-2023")</f>
        <v/>
      </c>
    </row>
    <row r="106" ht="15" customHeight="1">
      <c r="A106" t="inlineStr">
        <is>
          <t>A 36260-2023</t>
        </is>
      </c>
      <c r="B106" s="1" t="n">
        <v>45151</v>
      </c>
      <c r="C106" s="1" t="n">
        <v>45565</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40245-2023</t>
        </is>
      </c>
      <c r="B107" s="1" t="n">
        <v>45167</v>
      </c>
      <c r="C107" s="1" t="n">
        <v>45565</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58387-2023</t>
        </is>
      </c>
      <c r="B108" s="1" t="n">
        <v>45250</v>
      </c>
      <c r="C108" s="1" t="n">
        <v>45565</v>
      </c>
      <c r="D108" t="inlineStr">
        <is>
          <t>JÄMTLANDS LÄN</t>
        </is>
      </c>
      <c r="E108" t="inlineStr">
        <is>
          <t>ÅRE</t>
        </is>
      </c>
      <c r="G108" t="n">
        <v>24.7</v>
      </c>
      <c r="H108" t="n">
        <v>3</v>
      </c>
      <c r="I108" t="n">
        <v>0</v>
      </c>
      <c r="J108" t="n">
        <v>2</v>
      </c>
      <c r="K108" t="n">
        <v>0</v>
      </c>
      <c r="L108" t="n">
        <v>0</v>
      </c>
      <c r="M108" t="n">
        <v>0</v>
      </c>
      <c r="N108" t="n">
        <v>0</v>
      </c>
      <c r="O108" t="n">
        <v>2</v>
      </c>
      <c r="P108" t="n">
        <v>0</v>
      </c>
      <c r="Q108" t="n">
        <v>3</v>
      </c>
      <c r="R108" s="2" t="inlineStr">
        <is>
          <t>Spillkråka
Tretåig hackspett
Lavskrika</t>
        </is>
      </c>
      <c r="S108">
        <f>HYPERLINK("https://klasma.github.io/Logging_2321/artfynd/A 58387-2023 artfynd.xlsx", "A 58387-2023")</f>
        <v/>
      </c>
      <c r="T108">
        <f>HYPERLINK("https://klasma.github.io/Logging_2321/kartor/A 58387-2023 karta.png", "A 58387-2023")</f>
        <v/>
      </c>
      <c r="V108">
        <f>HYPERLINK("https://klasma.github.io/Logging_2321/klagomål/A 58387-2023 FSC-klagomål.docx", "A 58387-2023")</f>
        <v/>
      </c>
      <c r="W108">
        <f>HYPERLINK("https://klasma.github.io/Logging_2321/klagomålsmail/A 58387-2023 FSC-klagomål mail.docx", "A 58387-2023")</f>
        <v/>
      </c>
      <c r="X108">
        <f>HYPERLINK("https://klasma.github.io/Logging_2321/tillsyn/A 58387-2023 tillsynsbegäran.docx", "A 58387-2023")</f>
        <v/>
      </c>
      <c r="Y108">
        <f>HYPERLINK("https://klasma.github.io/Logging_2321/tillsynsmail/A 58387-2023 tillsynsbegäran mail.docx", "A 58387-2023")</f>
        <v/>
      </c>
      <c r="Z108">
        <f>HYPERLINK("https://klasma.github.io/Logging_2321/fåglar/A 58387-2023 prioriterade fågelarter.docx", "A 58387-2023")</f>
        <v/>
      </c>
    </row>
    <row r="109" ht="15" customHeight="1">
      <c r="A109" t="inlineStr">
        <is>
          <t>A 8121-2024</t>
        </is>
      </c>
      <c r="B109" s="1" t="n">
        <v>45351</v>
      </c>
      <c r="C109" s="1" t="n">
        <v>45565</v>
      </c>
      <c r="D109" t="inlineStr">
        <is>
          <t>JÄMTLANDS LÄN</t>
        </is>
      </c>
      <c r="E109" t="inlineStr">
        <is>
          <t>ÅRE</t>
        </is>
      </c>
      <c r="F109" t="inlineStr">
        <is>
          <t>Övriga Aktiebolag</t>
        </is>
      </c>
      <c r="G109" t="n">
        <v>14.7</v>
      </c>
      <c r="H109" t="n">
        <v>0</v>
      </c>
      <c r="I109" t="n">
        <v>0</v>
      </c>
      <c r="J109" t="n">
        <v>3</v>
      </c>
      <c r="K109" t="n">
        <v>0</v>
      </c>
      <c r="L109" t="n">
        <v>0</v>
      </c>
      <c r="M109" t="n">
        <v>0</v>
      </c>
      <c r="N109" t="n">
        <v>0</v>
      </c>
      <c r="O109" t="n">
        <v>3</v>
      </c>
      <c r="P109" t="n">
        <v>0</v>
      </c>
      <c r="Q109" t="n">
        <v>3</v>
      </c>
      <c r="R109" s="2" t="inlineStr">
        <is>
          <t>Dvärgbägarlav
Nordtagging
Skrovellav</t>
        </is>
      </c>
      <c r="S109">
        <f>HYPERLINK("https://klasma.github.io/Logging_2321/artfynd/A 8121-2024 artfynd.xlsx", "A 8121-2024")</f>
        <v/>
      </c>
      <c r="T109">
        <f>HYPERLINK("https://klasma.github.io/Logging_2321/kartor/A 8121-2024 karta.png", "A 8121-2024")</f>
        <v/>
      </c>
      <c r="V109">
        <f>HYPERLINK("https://klasma.github.io/Logging_2321/klagomål/A 8121-2024 FSC-klagomål.docx", "A 8121-2024")</f>
        <v/>
      </c>
      <c r="W109">
        <f>HYPERLINK("https://klasma.github.io/Logging_2321/klagomålsmail/A 8121-2024 FSC-klagomål mail.docx", "A 8121-2024")</f>
        <v/>
      </c>
      <c r="X109">
        <f>HYPERLINK("https://klasma.github.io/Logging_2321/tillsyn/A 8121-2024 tillsynsbegäran.docx", "A 8121-2024")</f>
        <v/>
      </c>
      <c r="Y109">
        <f>HYPERLINK("https://klasma.github.io/Logging_2321/tillsynsmail/A 8121-2024 tillsynsbegäran mail.docx", "A 8121-2024")</f>
        <v/>
      </c>
    </row>
    <row r="110" ht="15" customHeight="1">
      <c r="A110" t="inlineStr">
        <is>
          <t>A 10501-2024</t>
        </is>
      </c>
      <c r="B110" s="1" t="n">
        <v>45366</v>
      </c>
      <c r="C110" s="1" t="n">
        <v>45565</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17637-2024</t>
        </is>
      </c>
      <c r="B111" s="1" t="n">
        <v>45418</v>
      </c>
      <c r="C111" s="1" t="n">
        <v>45565</v>
      </c>
      <c r="D111" t="inlineStr">
        <is>
          <t>JÄMTLANDS LÄN</t>
        </is>
      </c>
      <c r="E111" t="inlineStr">
        <is>
          <t>ÅRE</t>
        </is>
      </c>
      <c r="F111" t="inlineStr">
        <is>
          <t>Övriga Aktiebolag</t>
        </is>
      </c>
      <c r="G111" t="n">
        <v>16.1</v>
      </c>
      <c r="H111" t="n">
        <v>1</v>
      </c>
      <c r="I111" t="n">
        <v>0</v>
      </c>
      <c r="J111" t="n">
        <v>2</v>
      </c>
      <c r="K111" t="n">
        <v>0</v>
      </c>
      <c r="L111" t="n">
        <v>0</v>
      </c>
      <c r="M111" t="n">
        <v>0</v>
      </c>
      <c r="N111" t="n">
        <v>0</v>
      </c>
      <c r="O111" t="n">
        <v>2</v>
      </c>
      <c r="P111" t="n">
        <v>0</v>
      </c>
      <c r="Q111" t="n">
        <v>3</v>
      </c>
      <c r="R111" s="2" t="inlineStr">
        <is>
          <t>Doftskinn
Garnlav
Fläcknycklar</t>
        </is>
      </c>
      <c r="S111">
        <f>HYPERLINK("https://klasma.github.io/Logging_2321/artfynd/A 17637-2024 artfynd.xlsx", "A 17637-2024")</f>
        <v/>
      </c>
      <c r="T111">
        <f>HYPERLINK("https://klasma.github.io/Logging_2321/kartor/A 17637-2024 karta.png", "A 17637-2024")</f>
        <v/>
      </c>
      <c r="V111">
        <f>HYPERLINK("https://klasma.github.io/Logging_2321/klagomål/A 17637-2024 FSC-klagomål.docx", "A 17637-2024")</f>
        <v/>
      </c>
      <c r="W111">
        <f>HYPERLINK("https://klasma.github.io/Logging_2321/klagomålsmail/A 17637-2024 FSC-klagomål mail.docx", "A 17637-2024")</f>
        <v/>
      </c>
      <c r="X111">
        <f>HYPERLINK("https://klasma.github.io/Logging_2321/tillsyn/A 17637-2024 tillsynsbegäran.docx", "A 17637-2024")</f>
        <v/>
      </c>
      <c r="Y111">
        <f>HYPERLINK("https://klasma.github.io/Logging_2321/tillsynsmail/A 17637-2024 tillsynsbegäran mail.docx", "A 17637-2024")</f>
        <v/>
      </c>
    </row>
    <row r="112" ht="15" customHeight="1">
      <c r="A112" t="inlineStr">
        <is>
          <t>A 18716-2024</t>
        </is>
      </c>
      <c r="B112" s="1" t="n">
        <v>45426</v>
      </c>
      <c r="C112" s="1" t="n">
        <v>45565</v>
      </c>
      <c r="D112" t="inlineStr">
        <is>
          <t>JÄMTLANDS LÄN</t>
        </is>
      </c>
      <c r="E112" t="inlineStr">
        <is>
          <t>ÅRE</t>
        </is>
      </c>
      <c r="F112" t="inlineStr">
        <is>
          <t>Övriga Aktiebolag</t>
        </is>
      </c>
      <c r="G112" t="n">
        <v>1.3</v>
      </c>
      <c r="H112" t="n">
        <v>1</v>
      </c>
      <c r="I112" t="n">
        <v>0</v>
      </c>
      <c r="J112" t="n">
        <v>3</v>
      </c>
      <c r="K112" t="n">
        <v>0</v>
      </c>
      <c r="L112" t="n">
        <v>0</v>
      </c>
      <c r="M112" t="n">
        <v>0</v>
      </c>
      <c r="N112" t="n">
        <v>0</v>
      </c>
      <c r="O112" t="n">
        <v>3</v>
      </c>
      <c r="P112" t="n">
        <v>0</v>
      </c>
      <c r="Q112" t="n">
        <v>3</v>
      </c>
      <c r="R112" s="2" t="inlineStr">
        <is>
          <t>Doftskinn
Granticka
Tretåig hackspett</t>
        </is>
      </c>
      <c r="S112">
        <f>HYPERLINK("https://klasma.github.io/Logging_2321/artfynd/A 18716-2024 artfynd.xlsx", "A 18716-2024")</f>
        <v/>
      </c>
      <c r="T112">
        <f>HYPERLINK("https://klasma.github.io/Logging_2321/kartor/A 18716-2024 karta.png", "A 18716-2024")</f>
        <v/>
      </c>
      <c r="V112">
        <f>HYPERLINK("https://klasma.github.io/Logging_2321/klagomål/A 18716-2024 FSC-klagomål.docx", "A 18716-2024")</f>
        <v/>
      </c>
      <c r="W112">
        <f>HYPERLINK("https://klasma.github.io/Logging_2321/klagomålsmail/A 18716-2024 FSC-klagomål mail.docx", "A 18716-2024")</f>
        <v/>
      </c>
      <c r="X112">
        <f>HYPERLINK("https://klasma.github.io/Logging_2321/tillsyn/A 18716-2024 tillsynsbegäran.docx", "A 18716-2024")</f>
        <v/>
      </c>
      <c r="Y112">
        <f>HYPERLINK("https://klasma.github.io/Logging_2321/tillsynsmail/A 18716-2024 tillsynsbegäran mail.docx", "A 18716-2024")</f>
        <v/>
      </c>
      <c r="Z112">
        <f>HYPERLINK("https://klasma.github.io/Logging_2321/fåglar/A 18716-2024 prioriterade fågelarter.docx", "A 18716-2024")</f>
        <v/>
      </c>
    </row>
    <row r="113" ht="15" customHeight="1">
      <c r="A113" t="inlineStr">
        <is>
          <t>A 35409-2019</t>
        </is>
      </c>
      <c r="B113" s="1" t="n">
        <v>43661</v>
      </c>
      <c r="C113" s="1" t="n">
        <v>45565</v>
      </c>
      <c r="D113" t="inlineStr">
        <is>
          <t>JÄMTLANDS LÄN</t>
        </is>
      </c>
      <c r="E113" t="inlineStr">
        <is>
          <t>ÅRE</t>
        </is>
      </c>
      <c r="G113" t="n">
        <v>2.5</v>
      </c>
      <c r="H113" t="n">
        <v>0</v>
      </c>
      <c r="I113" t="n">
        <v>1</v>
      </c>
      <c r="J113" t="n">
        <v>1</v>
      </c>
      <c r="K113" t="n">
        <v>0</v>
      </c>
      <c r="L113" t="n">
        <v>0</v>
      </c>
      <c r="M113" t="n">
        <v>0</v>
      </c>
      <c r="N113" t="n">
        <v>0</v>
      </c>
      <c r="O113" t="n">
        <v>1</v>
      </c>
      <c r="P113" t="n">
        <v>0</v>
      </c>
      <c r="Q113" t="n">
        <v>2</v>
      </c>
      <c r="R113" s="2" t="inlineStr">
        <is>
          <t>Garnlav
Trådticka</t>
        </is>
      </c>
      <c r="S113">
        <f>HYPERLINK("https://klasma.github.io/Logging_2321/artfynd/A 35409-2019 artfynd.xlsx", "A 35409-2019")</f>
        <v/>
      </c>
      <c r="T113">
        <f>HYPERLINK("https://klasma.github.io/Logging_2321/kartor/A 35409-2019 karta.png", "A 35409-2019")</f>
        <v/>
      </c>
      <c r="V113">
        <f>HYPERLINK("https://klasma.github.io/Logging_2321/klagomål/A 35409-2019 FSC-klagomål.docx", "A 35409-2019")</f>
        <v/>
      </c>
      <c r="W113">
        <f>HYPERLINK("https://klasma.github.io/Logging_2321/klagomålsmail/A 35409-2019 FSC-klagomål mail.docx", "A 35409-2019")</f>
        <v/>
      </c>
      <c r="X113">
        <f>HYPERLINK("https://klasma.github.io/Logging_2321/tillsyn/A 35409-2019 tillsynsbegäran.docx", "A 35409-2019")</f>
        <v/>
      </c>
      <c r="Y113">
        <f>HYPERLINK("https://klasma.github.io/Logging_2321/tillsynsmail/A 35409-2019 tillsynsbegäran mail.docx", "A 35409-2019")</f>
        <v/>
      </c>
    </row>
    <row r="114" ht="15" customHeight="1">
      <c r="A114" t="inlineStr">
        <is>
          <t>A 46012-2019</t>
        </is>
      </c>
      <c r="B114" s="1" t="n">
        <v>43718</v>
      </c>
      <c r="C114" s="1" t="n">
        <v>45565</v>
      </c>
      <c r="D114" t="inlineStr">
        <is>
          <t>JÄMTLANDS LÄN</t>
        </is>
      </c>
      <c r="E114" t="inlineStr">
        <is>
          <t>ÅRE</t>
        </is>
      </c>
      <c r="F114" t="inlineStr">
        <is>
          <t>Kommuner</t>
        </is>
      </c>
      <c r="G114" t="n">
        <v>13.4</v>
      </c>
      <c r="H114" t="n">
        <v>1</v>
      </c>
      <c r="I114" t="n">
        <v>0</v>
      </c>
      <c r="J114" t="n">
        <v>1</v>
      </c>
      <c r="K114" t="n">
        <v>1</v>
      </c>
      <c r="L114" t="n">
        <v>0</v>
      </c>
      <c r="M114" t="n">
        <v>0</v>
      </c>
      <c r="N114" t="n">
        <v>0</v>
      </c>
      <c r="O114" t="n">
        <v>2</v>
      </c>
      <c r="P114" t="n">
        <v>1</v>
      </c>
      <c r="Q114" t="n">
        <v>2</v>
      </c>
      <c r="R114" s="2" t="inlineStr">
        <is>
          <t>Knärot
Ullticka</t>
        </is>
      </c>
      <c r="S114">
        <f>HYPERLINK("https://klasma.github.io/Logging_2321/artfynd/A 46012-2019 artfynd.xlsx", "A 46012-2019")</f>
        <v/>
      </c>
      <c r="T114">
        <f>HYPERLINK("https://klasma.github.io/Logging_2321/kartor/A 46012-2019 karta.png", "A 46012-2019")</f>
        <v/>
      </c>
      <c r="U114">
        <f>HYPERLINK("https://klasma.github.io/Logging_2321/knärot/A 46012-2019 karta knärot.png", "A 46012-2019")</f>
        <v/>
      </c>
      <c r="V114">
        <f>HYPERLINK("https://klasma.github.io/Logging_2321/klagomål/A 46012-2019 FSC-klagomål.docx", "A 46012-2019")</f>
        <v/>
      </c>
      <c r="W114">
        <f>HYPERLINK("https://klasma.github.io/Logging_2321/klagomålsmail/A 46012-2019 FSC-klagomål mail.docx", "A 46012-2019")</f>
        <v/>
      </c>
      <c r="X114">
        <f>HYPERLINK("https://klasma.github.io/Logging_2321/tillsyn/A 46012-2019 tillsynsbegäran.docx", "A 46012-2019")</f>
        <v/>
      </c>
      <c r="Y114">
        <f>HYPERLINK("https://klasma.github.io/Logging_2321/tillsynsmail/A 46012-2019 tillsynsbegäran mail.docx", "A 46012-2019")</f>
        <v/>
      </c>
    </row>
    <row r="115" ht="15" customHeight="1">
      <c r="A115" t="inlineStr">
        <is>
          <t>A 32661-2020</t>
        </is>
      </c>
      <c r="B115" s="1" t="n">
        <v>44018</v>
      </c>
      <c r="C115" s="1" t="n">
        <v>45565</v>
      </c>
      <c r="D115" t="inlineStr">
        <is>
          <t>JÄMTLANDS LÄN</t>
        </is>
      </c>
      <c r="E115" t="inlineStr">
        <is>
          <t>ÅRE</t>
        </is>
      </c>
      <c r="G115" t="n">
        <v>1.8</v>
      </c>
      <c r="H115" t="n">
        <v>0</v>
      </c>
      <c r="I115" t="n">
        <v>1</v>
      </c>
      <c r="J115" t="n">
        <v>1</v>
      </c>
      <c r="K115" t="n">
        <v>0</v>
      </c>
      <c r="L115" t="n">
        <v>0</v>
      </c>
      <c r="M115" t="n">
        <v>0</v>
      </c>
      <c r="N115" t="n">
        <v>0</v>
      </c>
      <c r="O115" t="n">
        <v>1</v>
      </c>
      <c r="P115" t="n">
        <v>0</v>
      </c>
      <c r="Q115" t="n">
        <v>2</v>
      </c>
      <c r="R115" s="2" t="inlineStr">
        <is>
          <t>Garnlav
Luddlav</t>
        </is>
      </c>
      <c r="S115">
        <f>HYPERLINK("https://klasma.github.io/Logging_2321/artfynd/A 32661-2020 artfynd.xlsx", "A 32661-2020")</f>
        <v/>
      </c>
      <c r="T115">
        <f>HYPERLINK("https://klasma.github.io/Logging_2321/kartor/A 32661-2020 karta.png", "A 32661-2020")</f>
        <v/>
      </c>
      <c r="V115">
        <f>HYPERLINK("https://klasma.github.io/Logging_2321/klagomål/A 32661-2020 FSC-klagomål.docx", "A 32661-2020")</f>
        <v/>
      </c>
      <c r="W115">
        <f>HYPERLINK("https://klasma.github.io/Logging_2321/klagomålsmail/A 32661-2020 FSC-klagomål mail.docx", "A 32661-2020")</f>
        <v/>
      </c>
      <c r="X115">
        <f>HYPERLINK("https://klasma.github.io/Logging_2321/tillsyn/A 32661-2020 tillsynsbegäran.docx", "A 32661-2020")</f>
        <v/>
      </c>
      <c r="Y115">
        <f>HYPERLINK("https://klasma.github.io/Logging_2321/tillsynsmail/A 32661-2020 tillsynsbegäran mail.docx", "A 32661-2020")</f>
        <v/>
      </c>
    </row>
    <row r="116" ht="15" customHeight="1">
      <c r="A116" t="inlineStr">
        <is>
          <t>A 35623-2020</t>
        </is>
      </c>
      <c r="B116" s="1" t="n">
        <v>44046</v>
      </c>
      <c r="C116" s="1" t="n">
        <v>45565</v>
      </c>
      <c r="D116" t="inlineStr">
        <is>
          <t>JÄMTLANDS LÄN</t>
        </is>
      </c>
      <c r="E116" t="inlineStr">
        <is>
          <t>ÅRE</t>
        </is>
      </c>
      <c r="G116" t="n">
        <v>15.8</v>
      </c>
      <c r="H116" t="n">
        <v>0</v>
      </c>
      <c r="I116" t="n">
        <v>0</v>
      </c>
      <c r="J116" t="n">
        <v>1</v>
      </c>
      <c r="K116" t="n">
        <v>1</v>
      </c>
      <c r="L116" t="n">
        <v>0</v>
      </c>
      <c r="M116" t="n">
        <v>0</v>
      </c>
      <c r="N116" t="n">
        <v>0</v>
      </c>
      <c r="O116" t="n">
        <v>2</v>
      </c>
      <c r="P116" t="n">
        <v>1</v>
      </c>
      <c r="Q116" t="n">
        <v>2</v>
      </c>
      <c r="R116" s="2" t="inlineStr">
        <is>
          <t>Norsk näverlav
Gammelgransskål</t>
        </is>
      </c>
      <c r="S116">
        <f>HYPERLINK("https://klasma.github.io/Logging_2321/artfynd/A 35623-2020 artfynd.xlsx", "A 35623-2020")</f>
        <v/>
      </c>
      <c r="T116">
        <f>HYPERLINK("https://klasma.github.io/Logging_2321/kartor/A 35623-2020 karta.png", "A 35623-2020")</f>
        <v/>
      </c>
      <c r="V116">
        <f>HYPERLINK("https://klasma.github.io/Logging_2321/klagomål/A 35623-2020 FSC-klagomål.docx", "A 35623-2020")</f>
        <v/>
      </c>
      <c r="W116">
        <f>HYPERLINK("https://klasma.github.io/Logging_2321/klagomålsmail/A 35623-2020 FSC-klagomål mail.docx", "A 35623-2020")</f>
        <v/>
      </c>
      <c r="X116">
        <f>HYPERLINK("https://klasma.github.io/Logging_2321/tillsyn/A 35623-2020 tillsynsbegäran.docx", "A 35623-2020")</f>
        <v/>
      </c>
      <c r="Y116">
        <f>HYPERLINK("https://klasma.github.io/Logging_2321/tillsynsmail/A 35623-2020 tillsynsbegäran mail.docx", "A 35623-2020")</f>
        <v/>
      </c>
    </row>
    <row r="117" ht="15" customHeight="1">
      <c r="A117" t="inlineStr">
        <is>
          <t>A 52778-2020</t>
        </is>
      </c>
      <c r="B117" s="1" t="n">
        <v>44119</v>
      </c>
      <c r="C117" s="1" t="n">
        <v>45565</v>
      </c>
      <c r="D117" t="inlineStr">
        <is>
          <t>JÄMTLANDS LÄN</t>
        </is>
      </c>
      <c r="E117" t="inlineStr">
        <is>
          <t>ÅRE</t>
        </is>
      </c>
      <c r="G117" t="n">
        <v>16.5</v>
      </c>
      <c r="H117" t="n">
        <v>0</v>
      </c>
      <c r="I117" t="n">
        <v>0</v>
      </c>
      <c r="J117" t="n">
        <v>2</v>
      </c>
      <c r="K117" t="n">
        <v>0</v>
      </c>
      <c r="L117" t="n">
        <v>0</v>
      </c>
      <c r="M117" t="n">
        <v>0</v>
      </c>
      <c r="N117" t="n">
        <v>0</v>
      </c>
      <c r="O117" t="n">
        <v>2</v>
      </c>
      <c r="P117" t="n">
        <v>0</v>
      </c>
      <c r="Q117" t="n">
        <v>2</v>
      </c>
      <c r="R117" s="2" t="inlineStr">
        <is>
          <t>Garnlav
Granticka</t>
        </is>
      </c>
      <c r="S117">
        <f>HYPERLINK("https://klasma.github.io/Logging_2321/artfynd/A 52778-2020 artfynd.xlsx", "A 52778-2020")</f>
        <v/>
      </c>
      <c r="T117">
        <f>HYPERLINK("https://klasma.github.io/Logging_2321/kartor/A 52778-2020 karta.png", "A 52778-2020")</f>
        <v/>
      </c>
      <c r="V117">
        <f>HYPERLINK("https://klasma.github.io/Logging_2321/klagomål/A 52778-2020 FSC-klagomål.docx", "A 52778-2020")</f>
        <v/>
      </c>
      <c r="W117">
        <f>HYPERLINK("https://klasma.github.io/Logging_2321/klagomålsmail/A 52778-2020 FSC-klagomål mail.docx", "A 52778-2020")</f>
        <v/>
      </c>
      <c r="X117">
        <f>HYPERLINK("https://klasma.github.io/Logging_2321/tillsyn/A 52778-2020 tillsynsbegäran.docx", "A 52778-2020")</f>
        <v/>
      </c>
      <c r="Y117">
        <f>HYPERLINK("https://klasma.github.io/Logging_2321/tillsynsmail/A 52778-2020 tillsynsbegäran mail.docx", "A 52778-2020")</f>
        <v/>
      </c>
    </row>
    <row r="118" ht="15" customHeight="1">
      <c r="A118" t="inlineStr">
        <is>
          <t>A 5388-2021</t>
        </is>
      </c>
      <c r="B118" s="1" t="n">
        <v>44229</v>
      </c>
      <c r="C118" s="1" t="n">
        <v>45565</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18792-2021</t>
        </is>
      </c>
      <c r="B119" s="1" t="n">
        <v>44307</v>
      </c>
      <c r="C119" s="1" t="n">
        <v>45565</v>
      </c>
      <c r="D119" t="inlineStr">
        <is>
          <t>JÄMTLANDS LÄN</t>
        </is>
      </c>
      <c r="E119" t="inlineStr">
        <is>
          <t>ÅRE</t>
        </is>
      </c>
      <c r="G119" t="n">
        <v>16.6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18792-2021 artfynd.xlsx", "A 18792-2021")</f>
        <v/>
      </c>
      <c r="T119">
        <f>HYPERLINK("https://klasma.github.io/Logging_2321/kartor/A 18792-2021 karta.png", "A 18792-2021")</f>
        <v/>
      </c>
      <c r="V119">
        <f>HYPERLINK("https://klasma.github.io/Logging_2321/klagomål/A 18792-2021 FSC-klagomål.docx", "A 18792-2021")</f>
        <v/>
      </c>
      <c r="W119">
        <f>HYPERLINK("https://klasma.github.io/Logging_2321/klagomålsmail/A 18792-2021 FSC-klagomål mail.docx", "A 18792-2021")</f>
        <v/>
      </c>
      <c r="X119">
        <f>HYPERLINK("https://klasma.github.io/Logging_2321/tillsyn/A 18792-2021 tillsynsbegäran.docx", "A 18792-2021")</f>
        <v/>
      </c>
      <c r="Y119">
        <f>HYPERLINK("https://klasma.github.io/Logging_2321/tillsynsmail/A 18792-2021 tillsynsbegäran mail.docx", "A 18792-2021")</f>
        <v/>
      </c>
      <c r="Z119">
        <f>HYPERLINK("https://klasma.github.io/Logging_2321/fåglar/A 18792-2021 prioriterade fågelarter.docx", "A 18792-2021")</f>
        <v/>
      </c>
    </row>
    <row r="120" ht="15" customHeight="1">
      <c r="A120" t="inlineStr">
        <is>
          <t>A 23566-2021</t>
        </is>
      </c>
      <c r="B120" s="1" t="n">
        <v>44334</v>
      </c>
      <c r="C120" s="1" t="n">
        <v>45565</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46984-2021</t>
        </is>
      </c>
      <c r="B121" s="1" t="n">
        <v>44446</v>
      </c>
      <c r="C121" s="1" t="n">
        <v>45565</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64663-2021</t>
        </is>
      </c>
      <c r="B122" s="1" t="n">
        <v>44512</v>
      </c>
      <c r="C122" s="1" t="n">
        <v>45565</v>
      </c>
      <c r="D122" t="inlineStr">
        <is>
          <t>JÄMTLANDS LÄN</t>
        </is>
      </c>
      <c r="E122" t="inlineStr">
        <is>
          <t>ÅRE</t>
        </is>
      </c>
      <c r="G122" t="n">
        <v>14.5</v>
      </c>
      <c r="H122" t="n">
        <v>0</v>
      </c>
      <c r="I122" t="n">
        <v>0</v>
      </c>
      <c r="J122" t="n">
        <v>1</v>
      </c>
      <c r="K122" t="n">
        <v>1</v>
      </c>
      <c r="L122" t="n">
        <v>0</v>
      </c>
      <c r="M122" t="n">
        <v>0</v>
      </c>
      <c r="N122" t="n">
        <v>0</v>
      </c>
      <c r="O122" t="n">
        <v>2</v>
      </c>
      <c r="P122" t="n">
        <v>1</v>
      </c>
      <c r="Q122" t="n">
        <v>2</v>
      </c>
      <c r="R122" s="2" t="inlineStr">
        <is>
          <t>Sotbandad spindling
Vitterspindling</t>
        </is>
      </c>
      <c r="S122">
        <f>HYPERLINK("https://klasma.github.io/Logging_2321/artfynd/A 64663-2021 artfynd.xlsx", "A 64663-2021")</f>
        <v/>
      </c>
      <c r="T122">
        <f>HYPERLINK("https://klasma.github.io/Logging_2321/kartor/A 64663-2021 karta.png", "A 64663-2021")</f>
        <v/>
      </c>
      <c r="V122">
        <f>HYPERLINK("https://klasma.github.io/Logging_2321/klagomål/A 64663-2021 FSC-klagomål.docx", "A 64663-2021")</f>
        <v/>
      </c>
      <c r="W122">
        <f>HYPERLINK("https://klasma.github.io/Logging_2321/klagomålsmail/A 64663-2021 FSC-klagomål mail.docx", "A 64663-2021")</f>
        <v/>
      </c>
      <c r="X122">
        <f>HYPERLINK("https://klasma.github.io/Logging_2321/tillsyn/A 64663-2021 tillsynsbegäran.docx", "A 64663-2021")</f>
        <v/>
      </c>
      <c r="Y122">
        <f>HYPERLINK("https://klasma.github.io/Logging_2321/tillsynsmail/A 64663-2021 tillsynsbegäran mail.docx", "A 64663-2021")</f>
        <v/>
      </c>
    </row>
    <row r="123" ht="15" customHeight="1">
      <c r="A123" t="inlineStr">
        <is>
          <t>A 64668-2021</t>
        </is>
      </c>
      <c r="B123" s="1" t="n">
        <v>44512</v>
      </c>
      <c r="C123" s="1" t="n">
        <v>45565</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5160-2022</t>
        </is>
      </c>
      <c r="B124" s="1" t="n">
        <v>44593</v>
      </c>
      <c r="C124" s="1" t="n">
        <v>45565</v>
      </c>
      <c r="D124" t="inlineStr">
        <is>
          <t>JÄMTLANDS LÄN</t>
        </is>
      </c>
      <c r="E124" t="inlineStr">
        <is>
          <t>ÅRE</t>
        </is>
      </c>
      <c r="G124" t="n">
        <v>11.4</v>
      </c>
      <c r="H124" t="n">
        <v>2</v>
      </c>
      <c r="I124" t="n">
        <v>0</v>
      </c>
      <c r="J124" t="n">
        <v>1</v>
      </c>
      <c r="K124" t="n">
        <v>0</v>
      </c>
      <c r="L124" t="n">
        <v>0</v>
      </c>
      <c r="M124" t="n">
        <v>0</v>
      </c>
      <c r="N124" t="n">
        <v>0</v>
      </c>
      <c r="O124" t="n">
        <v>1</v>
      </c>
      <c r="P124" t="n">
        <v>0</v>
      </c>
      <c r="Q124" t="n">
        <v>2</v>
      </c>
      <c r="R124" s="2" t="inlineStr">
        <is>
          <t>Tretåig hackspett
Vanlig groda</t>
        </is>
      </c>
      <c r="S124">
        <f>HYPERLINK("https://klasma.github.io/Logging_2321/artfynd/A 5160-2022 artfynd.xlsx", "A 5160-2022")</f>
        <v/>
      </c>
      <c r="T124">
        <f>HYPERLINK("https://klasma.github.io/Logging_2321/kartor/A 5160-2022 karta.png", "A 5160-2022")</f>
        <v/>
      </c>
      <c r="V124">
        <f>HYPERLINK("https://klasma.github.io/Logging_2321/klagomål/A 5160-2022 FSC-klagomål.docx", "A 5160-2022")</f>
        <v/>
      </c>
      <c r="W124">
        <f>HYPERLINK("https://klasma.github.io/Logging_2321/klagomålsmail/A 5160-2022 FSC-klagomål mail.docx", "A 5160-2022")</f>
        <v/>
      </c>
      <c r="X124">
        <f>HYPERLINK("https://klasma.github.io/Logging_2321/tillsyn/A 5160-2022 tillsynsbegäran.docx", "A 5160-2022")</f>
        <v/>
      </c>
      <c r="Y124">
        <f>HYPERLINK("https://klasma.github.io/Logging_2321/tillsynsmail/A 5160-2022 tillsynsbegäran mail.docx", "A 5160-2022")</f>
        <v/>
      </c>
      <c r="Z124">
        <f>HYPERLINK("https://klasma.github.io/Logging_2321/fåglar/A 5160-2022 prioriterade fågelarter.docx", "A 5160-2022")</f>
        <v/>
      </c>
    </row>
    <row r="125" ht="15" customHeight="1">
      <c r="A125" t="inlineStr">
        <is>
          <t>A 22231-2022</t>
        </is>
      </c>
      <c r="B125" s="1" t="n">
        <v>44712</v>
      </c>
      <c r="C125" s="1" t="n">
        <v>45565</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22974-2022</t>
        </is>
      </c>
      <c r="B126" s="1" t="n">
        <v>44716</v>
      </c>
      <c r="C126" s="1" t="n">
        <v>45565</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32207-2022</t>
        </is>
      </c>
      <c r="B127" s="1" t="n">
        <v>44781</v>
      </c>
      <c r="C127" s="1" t="n">
        <v>45565</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55739-2022</t>
        </is>
      </c>
      <c r="B128" s="1" t="n">
        <v>44888</v>
      </c>
      <c r="C128" s="1" t="n">
        <v>45565</v>
      </c>
      <c r="D128" t="inlineStr">
        <is>
          <t>JÄMTLANDS LÄN</t>
        </is>
      </c>
      <c r="E128" t="inlineStr">
        <is>
          <t>ÅRE</t>
        </is>
      </c>
      <c r="F128" t="inlineStr">
        <is>
          <t>Övriga Aktiebolag</t>
        </is>
      </c>
      <c r="G128" t="n">
        <v>10.2</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55739-2022 artfynd.xlsx", "A 55739-2022")</f>
        <v/>
      </c>
      <c r="T128">
        <f>HYPERLINK("https://klasma.github.io/Logging_2321/kartor/A 55739-2022 karta.png", "A 55739-2022")</f>
        <v/>
      </c>
      <c r="V128">
        <f>HYPERLINK("https://klasma.github.io/Logging_2321/klagomål/A 55739-2022 FSC-klagomål.docx", "A 55739-2022")</f>
        <v/>
      </c>
      <c r="W128">
        <f>HYPERLINK("https://klasma.github.io/Logging_2321/klagomålsmail/A 55739-2022 FSC-klagomål mail.docx", "A 55739-2022")</f>
        <v/>
      </c>
      <c r="X128">
        <f>HYPERLINK("https://klasma.github.io/Logging_2321/tillsyn/A 55739-2022 tillsynsbegäran.docx", "A 55739-2022")</f>
        <v/>
      </c>
      <c r="Y128">
        <f>HYPERLINK("https://klasma.github.io/Logging_2321/tillsynsmail/A 55739-2022 tillsynsbegäran mail.docx", "A 55739-2022")</f>
        <v/>
      </c>
      <c r="Z128">
        <f>HYPERLINK("https://klasma.github.io/Logging_2321/fåglar/A 55739-2022 prioriterade fågelarter.docx", "A 55739-2022")</f>
        <v/>
      </c>
    </row>
    <row r="129" ht="15" customHeight="1">
      <c r="A129" t="inlineStr">
        <is>
          <t>A 56472-2022</t>
        </is>
      </c>
      <c r="B129" s="1" t="n">
        <v>44893</v>
      </c>
      <c r="C129" s="1" t="n">
        <v>45565</v>
      </c>
      <c r="D129" t="inlineStr">
        <is>
          <t>JÄMTLANDS LÄN</t>
        </is>
      </c>
      <c r="E129" t="inlineStr">
        <is>
          <t>ÅRE</t>
        </is>
      </c>
      <c r="F129" t="inlineStr">
        <is>
          <t>Övriga Aktiebolag</t>
        </is>
      </c>
      <c r="G129" t="n">
        <v>22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56472-2022 artfynd.xlsx", "A 56472-2022")</f>
        <v/>
      </c>
      <c r="T129">
        <f>HYPERLINK("https://klasma.github.io/Logging_2321/kartor/A 56472-2022 karta.png", "A 56472-2022")</f>
        <v/>
      </c>
      <c r="V129">
        <f>HYPERLINK("https://klasma.github.io/Logging_2321/klagomål/A 56472-2022 FSC-klagomål.docx", "A 56472-2022")</f>
        <v/>
      </c>
      <c r="W129">
        <f>HYPERLINK("https://klasma.github.io/Logging_2321/klagomålsmail/A 56472-2022 FSC-klagomål mail.docx", "A 56472-2022")</f>
        <v/>
      </c>
      <c r="X129">
        <f>HYPERLINK("https://klasma.github.io/Logging_2321/tillsyn/A 56472-2022 tillsynsbegäran.docx", "A 56472-2022")</f>
        <v/>
      </c>
      <c r="Y129">
        <f>HYPERLINK("https://klasma.github.io/Logging_2321/tillsynsmail/A 56472-2022 tillsynsbegäran mail.docx", "A 56472-2022")</f>
        <v/>
      </c>
      <c r="Z129">
        <f>HYPERLINK("https://klasma.github.io/Logging_2321/fåglar/A 56472-2022 prioriterade fågelarter.docx", "A 56472-2022")</f>
        <v/>
      </c>
    </row>
    <row r="130" ht="15" customHeight="1">
      <c r="A130" t="inlineStr">
        <is>
          <t>A 60533-2022</t>
        </is>
      </c>
      <c r="B130" s="1" t="n">
        <v>44904</v>
      </c>
      <c r="C130" s="1" t="n">
        <v>45565</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45565</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5531-2023</t>
        </is>
      </c>
      <c r="B132" s="1" t="n">
        <v>44957</v>
      </c>
      <c r="C132" s="1" t="n">
        <v>45565</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5418-2023</t>
        </is>
      </c>
      <c r="B133" s="1" t="n">
        <v>44957</v>
      </c>
      <c r="C133" s="1" t="n">
        <v>45565</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6107-2023</t>
        </is>
      </c>
      <c r="B134" s="1" t="n">
        <v>44964</v>
      </c>
      <c r="C134" s="1" t="n">
        <v>45565</v>
      </c>
      <c r="D134" t="inlineStr">
        <is>
          <t>JÄMTLANDS LÄN</t>
        </is>
      </c>
      <c r="E134" t="inlineStr">
        <is>
          <t>ÅRE</t>
        </is>
      </c>
      <c r="G134" t="n">
        <v>1.9</v>
      </c>
      <c r="H134" t="n">
        <v>0</v>
      </c>
      <c r="I134" t="n">
        <v>1</v>
      </c>
      <c r="J134" t="n">
        <v>1</v>
      </c>
      <c r="K134" t="n">
        <v>0</v>
      </c>
      <c r="L134" t="n">
        <v>0</v>
      </c>
      <c r="M134" t="n">
        <v>0</v>
      </c>
      <c r="N134" t="n">
        <v>0</v>
      </c>
      <c r="O134" t="n">
        <v>1</v>
      </c>
      <c r="P134" t="n">
        <v>0</v>
      </c>
      <c r="Q134" t="n">
        <v>2</v>
      </c>
      <c r="R134" s="2" t="inlineStr">
        <is>
          <t>Skrovellav
Stuplav</t>
        </is>
      </c>
      <c r="S134">
        <f>HYPERLINK("https://klasma.github.io/Logging_2321/artfynd/A 6107-2023 artfynd.xlsx", "A 6107-2023")</f>
        <v/>
      </c>
      <c r="T134">
        <f>HYPERLINK("https://klasma.github.io/Logging_2321/kartor/A 6107-2023 karta.png", "A 6107-2023")</f>
        <v/>
      </c>
      <c r="V134">
        <f>HYPERLINK("https://klasma.github.io/Logging_2321/klagomål/A 6107-2023 FSC-klagomål.docx", "A 6107-2023")</f>
        <v/>
      </c>
      <c r="W134">
        <f>HYPERLINK("https://klasma.github.io/Logging_2321/klagomålsmail/A 6107-2023 FSC-klagomål mail.docx", "A 6107-2023")</f>
        <v/>
      </c>
      <c r="X134">
        <f>HYPERLINK("https://klasma.github.io/Logging_2321/tillsyn/A 6107-2023 tillsynsbegäran.docx", "A 6107-2023")</f>
        <v/>
      </c>
      <c r="Y134">
        <f>HYPERLINK("https://klasma.github.io/Logging_2321/tillsynsmail/A 6107-2023 tillsynsbegäran mail.docx", "A 6107-2023")</f>
        <v/>
      </c>
    </row>
    <row r="135" ht="15" customHeight="1">
      <c r="A135" t="inlineStr">
        <is>
          <t>A 6108-2023</t>
        </is>
      </c>
      <c r="B135" s="1" t="n">
        <v>44964</v>
      </c>
      <c r="C135" s="1" t="n">
        <v>45565</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7401-2023</t>
        </is>
      </c>
      <c r="B136" s="1" t="n">
        <v>44966</v>
      </c>
      <c r="C136" s="1" t="n">
        <v>45565</v>
      </c>
      <c r="D136" t="inlineStr">
        <is>
          <t>JÄMTLANDS LÄN</t>
        </is>
      </c>
      <c r="E136" t="inlineStr">
        <is>
          <t>ÅRE</t>
        </is>
      </c>
      <c r="G136" t="n">
        <v>3.5</v>
      </c>
      <c r="H136" t="n">
        <v>2</v>
      </c>
      <c r="I136" t="n">
        <v>1</v>
      </c>
      <c r="J136" t="n">
        <v>0</v>
      </c>
      <c r="K136" t="n">
        <v>0</v>
      </c>
      <c r="L136" t="n">
        <v>0</v>
      </c>
      <c r="M136" t="n">
        <v>0</v>
      </c>
      <c r="N136" t="n">
        <v>0</v>
      </c>
      <c r="O136" t="n">
        <v>0</v>
      </c>
      <c r="P136" t="n">
        <v>0</v>
      </c>
      <c r="Q136" t="n">
        <v>2</v>
      </c>
      <c r="R136" s="2" t="inlineStr">
        <is>
          <t>Tvåblad
Revlummer</t>
        </is>
      </c>
      <c r="S136">
        <f>HYPERLINK("https://klasma.github.io/Logging_2321/artfynd/A 7401-2023 artfynd.xlsx", "A 7401-2023")</f>
        <v/>
      </c>
      <c r="T136">
        <f>HYPERLINK("https://klasma.github.io/Logging_2321/kartor/A 7401-2023 karta.png", "A 7401-2023")</f>
        <v/>
      </c>
      <c r="V136">
        <f>HYPERLINK("https://klasma.github.io/Logging_2321/klagomål/A 7401-2023 FSC-klagomål.docx", "A 7401-2023")</f>
        <v/>
      </c>
      <c r="W136">
        <f>HYPERLINK("https://klasma.github.io/Logging_2321/klagomålsmail/A 7401-2023 FSC-klagomål mail.docx", "A 7401-2023")</f>
        <v/>
      </c>
      <c r="X136">
        <f>HYPERLINK("https://klasma.github.io/Logging_2321/tillsyn/A 7401-2023 tillsynsbegäran.docx", "A 7401-2023")</f>
        <v/>
      </c>
      <c r="Y136">
        <f>HYPERLINK("https://klasma.github.io/Logging_2321/tillsynsmail/A 7401-2023 tillsynsbegäran mail.docx", "A 7401-2023")</f>
        <v/>
      </c>
    </row>
    <row r="137" ht="15" customHeight="1">
      <c r="A137" t="inlineStr">
        <is>
          <t>A 13625-2023</t>
        </is>
      </c>
      <c r="B137" s="1" t="n">
        <v>45006</v>
      </c>
      <c r="C137" s="1" t="n">
        <v>45565</v>
      </c>
      <c r="D137" t="inlineStr">
        <is>
          <t>JÄMTLANDS LÄN</t>
        </is>
      </c>
      <c r="E137" t="inlineStr">
        <is>
          <t>ÅRE</t>
        </is>
      </c>
      <c r="G137" t="n">
        <v>22.9</v>
      </c>
      <c r="H137" t="n">
        <v>1</v>
      </c>
      <c r="I137" t="n">
        <v>0</v>
      </c>
      <c r="J137" t="n">
        <v>2</v>
      </c>
      <c r="K137" t="n">
        <v>0</v>
      </c>
      <c r="L137" t="n">
        <v>0</v>
      </c>
      <c r="M137" t="n">
        <v>0</v>
      </c>
      <c r="N137" t="n">
        <v>0</v>
      </c>
      <c r="O137" t="n">
        <v>2</v>
      </c>
      <c r="P137" t="n">
        <v>0</v>
      </c>
      <c r="Q137" t="n">
        <v>2</v>
      </c>
      <c r="R137" s="2" t="inlineStr">
        <is>
          <t>Tretåig hackspett
Vitskaftad svartspik</t>
        </is>
      </c>
      <c r="S137">
        <f>HYPERLINK("https://klasma.github.io/Logging_2321/artfynd/A 13625-2023 artfynd.xlsx", "A 13625-2023")</f>
        <v/>
      </c>
      <c r="T137">
        <f>HYPERLINK("https://klasma.github.io/Logging_2321/kartor/A 13625-2023 karta.png", "A 13625-2023")</f>
        <v/>
      </c>
      <c r="V137">
        <f>HYPERLINK("https://klasma.github.io/Logging_2321/klagomål/A 13625-2023 FSC-klagomål.docx", "A 13625-2023")</f>
        <v/>
      </c>
      <c r="W137">
        <f>HYPERLINK("https://klasma.github.io/Logging_2321/klagomålsmail/A 13625-2023 FSC-klagomål mail.docx", "A 13625-2023")</f>
        <v/>
      </c>
      <c r="X137">
        <f>HYPERLINK("https://klasma.github.io/Logging_2321/tillsyn/A 13625-2023 tillsynsbegäran.docx", "A 13625-2023")</f>
        <v/>
      </c>
      <c r="Y137">
        <f>HYPERLINK("https://klasma.github.io/Logging_2321/tillsynsmail/A 13625-2023 tillsynsbegäran mail.docx", "A 13625-2023")</f>
        <v/>
      </c>
      <c r="Z137">
        <f>HYPERLINK("https://klasma.github.io/Logging_2321/fåglar/A 13625-2023 prioriterade fågelarter.docx", "A 13625-2023")</f>
        <v/>
      </c>
    </row>
    <row r="138" ht="15" customHeight="1">
      <c r="A138" t="inlineStr">
        <is>
          <t>A 19699-2023</t>
        </is>
      </c>
      <c r="B138" s="1" t="n">
        <v>45051</v>
      </c>
      <c r="C138" s="1" t="n">
        <v>45565</v>
      </c>
      <c r="D138" t="inlineStr">
        <is>
          <t>JÄMTLANDS LÄN</t>
        </is>
      </c>
      <c r="E138" t="inlineStr">
        <is>
          <t>ÅRE</t>
        </is>
      </c>
      <c r="G138" t="n">
        <v>0.7</v>
      </c>
      <c r="H138" t="n">
        <v>2</v>
      </c>
      <c r="I138" t="n">
        <v>1</v>
      </c>
      <c r="J138" t="n">
        <v>0</v>
      </c>
      <c r="K138" t="n">
        <v>0</v>
      </c>
      <c r="L138" t="n">
        <v>0</v>
      </c>
      <c r="M138" t="n">
        <v>0</v>
      </c>
      <c r="N138" t="n">
        <v>0</v>
      </c>
      <c r="O138" t="n">
        <v>0</v>
      </c>
      <c r="P138" t="n">
        <v>0</v>
      </c>
      <c r="Q138" t="n">
        <v>2</v>
      </c>
      <c r="R138" s="2" t="inlineStr">
        <is>
          <t>Tvåblad
Revlummer</t>
        </is>
      </c>
      <c r="S138">
        <f>HYPERLINK("https://klasma.github.io/Logging_2321/artfynd/A 19699-2023 artfynd.xlsx", "A 19699-2023")</f>
        <v/>
      </c>
      <c r="T138">
        <f>HYPERLINK("https://klasma.github.io/Logging_2321/kartor/A 19699-2023 karta.png", "A 19699-2023")</f>
        <v/>
      </c>
      <c r="V138">
        <f>HYPERLINK("https://klasma.github.io/Logging_2321/klagomål/A 19699-2023 FSC-klagomål.docx", "A 19699-2023")</f>
        <v/>
      </c>
      <c r="W138">
        <f>HYPERLINK("https://klasma.github.io/Logging_2321/klagomålsmail/A 19699-2023 FSC-klagomål mail.docx", "A 19699-2023")</f>
        <v/>
      </c>
      <c r="X138">
        <f>HYPERLINK("https://klasma.github.io/Logging_2321/tillsyn/A 19699-2023 tillsynsbegäran.docx", "A 19699-2023")</f>
        <v/>
      </c>
      <c r="Y138">
        <f>HYPERLINK("https://klasma.github.io/Logging_2321/tillsynsmail/A 19699-2023 tillsynsbegäran mail.docx", "A 19699-2023")</f>
        <v/>
      </c>
    </row>
    <row r="139" ht="15" customHeight="1">
      <c r="A139" t="inlineStr">
        <is>
          <t>A 23706-2023</t>
        </is>
      </c>
      <c r="B139" s="1" t="n">
        <v>45072</v>
      </c>
      <c r="C139" s="1" t="n">
        <v>45565</v>
      </c>
      <c r="D139" t="inlineStr">
        <is>
          <t>JÄMTLANDS LÄN</t>
        </is>
      </c>
      <c r="E139" t="inlineStr">
        <is>
          <t>ÅRE</t>
        </is>
      </c>
      <c r="G139" t="n">
        <v>8.1</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23706-2023 artfynd.xlsx", "A 23706-2023")</f>
        <v/>
      </c>
      <c r="T139">
        <f>HYPERLINK("https://klasma.github.io/Logging_2321/kartor/A 23706-2023 karta.png", "A 23706-2023")</f>
        <v/>
      </c>
      <c r="V139">
        <f>HYPERLINK("https://klasma.github.io/Logging_2321/klagomål/A 23706-2023 FSC-klagomål.docx", "A 23706-2023")</f>
        <v/>
      </c>
      <c r="W139">
        <f>HYPERLINK("https://klasma.github.io/Logging_2321/klagomålsmail/A 23706-2023 FSC-klagomål mail.docx", "A 23706-2023")</f>
        <v/>
      </c>
      <c r="X139">
        <f>HYPERLINK("https://klasma.github.io/Logging_2321/tillsyn/A 23706-2023 tillsynsbegäran.docx", "A 23706-2023")</f>
        <v/>
      </c>
      <c r="Y139">
        <f>HYPERLINK("https://klasma.github.io/Logging_2321/tillsynsmail/A 23706-2023 tillsynsbegäran mail.docx", "A 23706-2023")</f>
        <v/>
      </c>
      <c r="Z139">
        <f>HYPERLINK("https://klasma.github.io/Logging_2321/fåglar/A 23706-2023 prioriterade fågelarter.docx", "A 23706-2023")</f>
        <v/>
      </c>
    </row>
    <row r="140" ht="15" customHeight="1">
      <c r="A140" t="inlineStr">
        <is>
          <t>A 26098-2023</t>
        </is>
      </c>
      <c r="B140" s="1" t="n">
        <v>45091</v>
      </c>
      <c r="C140" s="1" t="n">
        <v>45565</v>
      </c>
      <c r="D140" t="inlineStr">
        <is>
          <t>JÄMTLANDS LÄN</t>
        </is>
      </c>
      <c r="E140" t="inlineStr">
        <is>
          <t>ÅRE</t>
        </is>
      </c>
      <c r="G140" t="n">
        <v>15.7</v>
      </c>
      <c r="H140" t="n">
        <v>0</v>
      </c>
      <c r="I140" t="n">
        <v>0</v>
      </c>
      <c r="J140" t="n">
        <v>2</v>
      </c>
      <c r="K140" t="n">
        <v>0</v>
      </c>
      <c r="L140" t="n">
        <v>0</v>
      </c>
      <c r="M140" t="n">
        <v>0</v>
      </c>
      <c r="N140" t="n">
        <v>0</v>
      </c>
      <c r="O140" t="n">
        <v>2</v>
      </c>
      <c r="P140" t="n">
        <v>0</v>
      </c>
      <c r="Q140" t="n">
        <v>2</v>
      </c>
      <c r="R140" s="2" t="inlineStr">
        <is>
          <t>Lunglav
Skrovellav</t>
        </is>
      </c>
      <c r="S140">
        <f>HYPERLINK("https://klasma.github.io/Logging_2321/artfynd/A 26098-2023 artfynd.xlsx", "A 26098-2023")</f>
        <v/>
      </c>
      <c r="T140">
        <f>HYPERLINK("https://klasma.github.io/Logging_2321/kartor/A 26098-2023 karta.png", "A 26098-2023")</f>
        <v/>
      </c>
      <c r="V140">
        <f>HYPERLINK("https://klasma.github.io/Logging_2321/klagomål/A 26098-2023 FSC-klagomål.docx", "A 26098-2023")</f>
        <v/>
      </c>
      <c r="W140">
        <f>HYPERLINK("https://klasma.github.io/Logging_2321/klagomålsmail/A 26098-2023 FSC-klagomål mail.docx", "A 26098-2023")</f>
        <v/>
      </c>
      <c r="X140">
        <f>HYPERLINK("https://klasma.github.io/Logging_2321/tillsyn/A 26098-2023 tillsynsbegäran.docx", "A 26098-2023")</f>
        <v/>
      </c>
      <c r="Y140">
        <f>HYPERLINK("https://klasma.github.io/Logging_2321/tillsynsmail/A 26098-2023 tillsynsbegäran mail.docx", "A 26098-2023")</f>
        <v/>
      </c>
    </row>
    <row r="141" ht="15" customHeight="1">
      <c r="A141" t="inlineStr">
        <is>
          <t>A 53014-2023</t>
        </is>
      </c>
      <c r="B141" s="1" t="n">
        <v>45226</v>
      </c>
      <c r="C141" s="1" t="n">
        <v>45565</v>
      </c>
      <c r="D141" t="inlineStr">
        <is>
          <t>JÄMTLANDS LÄN</t>
        </is>
      </c>
      <c r="E141" t="inlineStr">
        <is>
          <t>ÅRE</t>
        </is>
      </c>
      <c r="F141" t="inlineStr">
        <is>
          <t>Övriga Aktiebolag</t>
        </is>
      </c>
      <c r="G141" t="n">
        <v>9.4</v>
      </c>
      <c r="H141" t="n">
        <v>1</v>
      </c>
      <c r="I141" t="n">
        <v>1</v>
      </c>
      <c r="J141" t="n">
        <v>1</v>
      </c>
      <c r="K141" t="n">
        <v>0</v>
      </c>
      <c r="L141" t="n">
        <v>0</v>
      </c>
      <c r="M141" t="n">
        <v>0</v>
      </c>
      <c r="N141" t="n">
        <v>0</v>
      </c>
      <c r="O141" t="n">
        <v>1</v>
      </c>
      <c r="P141" t="n">
        <v>0</v>
      </c>
      <c r="Q141" t="n">
        <v>2</v>
      </c>
      <c r="R141" s="2" t="inlineStr">
        <is>
          <t>Vedflikmossa
Spindelblomster</t>
        </is>
      </c>
      <c r="S141">
        <f>HYPERLINK("https://klasma.github.io/Logging_2321/artfynd/A 53014-2023 artfynd.xlsx", "A 53014-2023")</f>
        <v/>
      </c>
      <c r="T141">
        <f>HYPERLINK("https://klasma.github.io/Logging_2321/kartor/A 53014-2023 karta.png", "A 53014-2023")</f>
        <v/>
      </c>
      <c r="V141">
        <f>HYPERLINK("https://klasma.github.io/Logging_2321/klagomål/A 53014-2023 FSC-klagomål.docx", "A 53014-2023")</f>
        <v/>
      </c>
      <c r="W141">
        <f>HYPERLINK("https://klasma.github.io/Logging_2321/klagomålsmail/A 53014-2023 FSC-klagomål mail.docx", "A 53014-2023")</f>
        <v/>
      </c>
      <c r="X141">
        <f>HYPERLINK("https://klasma.github.io/Logging_2321/tillsyn/A 53014-2023 tillsynsbegäran.docx", "A 53014-2023")</f>
        <v/>
      </c>
      <c r="Y141">
        <f>HYPERLINK("https://klasma.github.io/Logging_2321/tillsynsmail/A 53014-2023 tillsynsbegäran mail.docx", "A 53014-2023")</f>
        <v/>
      </c>
    </row>
    <row r="142" ht="15" customHeight="1">
      <c r="A142" t="inlineStr">
        <is>
          <t>A 54055-2023</t>
        </is>
      </c>
      <c r="B142" s="1" t="n">
        <v>45231</v>
      </c>
      <c r="C142" s="1" t="n">
        <v>45565</v>
      </c>
      <c r="D142" t="inlineStr">
        <is>
          <t>JÄMTLANDS LÄN</t>
        </is>
      </c>
      <c r="E142" t="inlineStr">
        <is>
          <t>ÅRE</t>
        </is>
      </c>
      <c r="F142" t="inlineStr">
        <is>
          <t>Övriga Aktiebolag</t>
        </is>
      </c>
      <c r="G142" t="n">
        <v>14.1</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54055-2023 artfynd.xlsx", "A 54055-2023")</f>
        <v/>
      </c>
      <c r="T142">
        <f>HYPERLINK("https://klasma.github.io/Logging_2321/kartor/A 54055-2023 karta.png", "A 54055-2023")</f>
        <v/>
      </c>
      <c r="V142">
        <f>HYPERLINK("https://klasma.github.io/Logging_2321/klagomål/A 54055-2023 FSC-klagomål.docx", "A 54055-2023")</f>
        <v/>
      </c>
      <c r="W142">
        <f>HYPERLINK("https://klasma.github.io/Logging_2321/klagomålsmail/A 54055-2023 FSC-klagomål mail.docx", "A 54055-2023")</f>
        <v/>
      </c>
      <c r="X142">
        <f>HYPERLINK("https://klasma.github.io/Logging_2321/tillsyn/A 54055-2023 tillsynsbegäran.docx", "A 54055-2023")</f>
        <v/>
      </c>
      <c r="Y142">
        <f>HYPERLINK("https://klasma.github.io/Logging_2321/tillsynsmail/A 54055-2023 tillsynsbegäran mail.docx", "A 54055-2023")</f>
        <v/>
      </c>
      <c r="Z142">
        <f>HYPERLINK("https://klasma.github.io/Logging_2321/fåglar/A 54055-2023 prioriterade fågelarter.docx", "A 54055-2023")</f>
        <v/>
      </c>
    </row>
    <row r="143" ht="15" customHeight="1">
      <c r="A143" t="inlineStr">
        <is>
          <t>A 54128-2023</t>
        </is>
      </c>
      <c r="B143" s="1" t="n">
        <v>45232</v>
      </c>
      <c r="C143" s="1" t="n">
        <v>45565</v>
      </c>
      <c r="D143" t="inlineStr">
        <is>
          <t>JÄMTLANDS LÄN</t>
        </is>
      </c>
      <c r="E143" t="inlineStr">
        <is>
          <t>ÅRE</t>
        </is>
      </c>
      <c r="G143" t="n">
        <v>3.9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54128-2023 artfynd.xlsx", "A 54128-2023")</f>
        <v/>
      </c>
      <c r="T143">
        <f>HYPERLINK("https://klasma.github.io/Logging_2321/kartor/A 54128-2023 karta.png", "A 54128-2023")</f>
        <v/>
      </c>
      <c r="V143">
        <f>HYPERLINK("https://klasma.github.io/Logging_2321/klagomål/A 54128-2023 FSC-klagomål.docx", "A 54128-2023")</f>
        <v/>
      </c>
      <c r="W143">
        <f>HYPERLINK("https://klasma.github.io/Logging_2321/klagomålsmail/A 54128-2023 FSC-klagomål mail.docx", "A 54128-2023")</f>
        <v/>
      </c>
      <c r="X143">
        <f>HYPERLINK("https://klasma.github.io/Logging_2321/tillsyn/A 54128-2023 tillsynsbegäran.docx", "A 54128-2023")</f>
        <v/>
      </c>
      <c r="Y143">
        <f>HYPERLINK("https://klasma.github.io/Logging_2321/tillsynsmail/A 54128-2023 tillsynsbegäran mail.docx", "A 54128-2023")</f>
        <v/>
      </c>
      <c r="Z143">
        <f>HYPERLINK("https://klasma.github.io/Logging_2321/fåglar/A 54128-2023 prioriterade fågelarter.docx", "A 54128-2023")</f>
        <v/>
      </c>
    </row>
    <row r="144" ht="15" customHeight="1">
      <c r="A144" t="inlineStr">
        <is>
          <t>A 57771-2023</t>
        </is>
      </c>
      <c r="B144" s="1" t="n">
        <v>45246</v>
      </c>
      <c r="C144" s="1" t="n">
        <v>45565</v>
      </c>
      <c r="D144" t="inlineStr">
        <is>
          <t>JÄMTLANDS LÄN</t>
        </is>
      </c>
      <c r="E144" t="inlineStr">
        <is>
          <t>ÅRE</t>
        </is>
      </c>
      <c r="G144" t="n">
        <v>2.1</v>
      </c>
      <c r="H144" t="n">
        <v>0</v>
      </c>
      <c r="I144" t="n">
        <v>0</v>
      </c>
      <c r="J144" t="n">
        <v>2</v>
      </c>
      <c r="K144" t="n">
        <v>0</v>
      </c>
      <c r="L144" t="n">
        <v>0</v>
      </c>
      <c r="M144" t="n">
        <v>0</v>
      </c>
      <c r="N144" t="n">
        <v>0</v>
      </c>
      <c r="O144" t="n">
        <v>2</v>
      </c>
      <c r="P144" t="n">
        <v>0</v>
      </c>
      <c r="Q144" t="n">
        <v>2</v>
      </c>
      <c r="R144" s="2" t="inlineStr">
        <is>
          <t>Granticka
Harticka</t>
        </is>
      </c>
      <c r="S144">
        <f>HYPERLINK("https://klasma.github.io/Logging_2321/artfynd/A 57771-2023 artfynd.xlsx", "A 57771-2023")</f>
        <v/>
      </c>
      <c r="T144">
        <f>HYPERLINK("https://klasma.github.io/Logging_2321/kartor/A 57771-2023 karta.png", "A 57771-2023")</f>
        <v/>
      </c>
      <c r="V144">
        <f>HYPERLINK("https://klasma.github.io/Logging_2321/klagomål/A 57771-2023 FSC-klagomål.docx", "A 57771-2023")</f>
        <v/>
      </c>
      <c r="W144">
        <f>HYPERLINK("https://klasma.github.io/Logging_2321/klagomålsmail/A 57771-2023 FSC-klagomål mail.docx", "A 57771-2023")</f>
        <v/>
      </c>
      <c r="X144">
        <f>HYPERLINK("https://klasma.github.io/Logging_2321/tillsyn/A 57771-2023 tillsynsbegäran.docx", "A 57771-2023")</f>
        <v/>
      </c>
      <c r="Y144">
        <f>HYPERLINK("https://klasma.github.io/Logging_2321/tillsynsmail/A 57771-2023 tillsynsbegäran mail.docx", "A 57771-2023")</f>
        <v/>
      </c>
    </row>
    <row r="145" ht="15" customHeight="1">
      <c r="A145" t="inlineStr">
        <is>
          <t>A 12466-2024</t>
        </is>
      </c>
      <c r="B145" s="1" t="n">
        <v>45379</v>
      </c>
      <c r="C145" s="1" t="n">
        <v>45565</v>
      </c>
      <c r="D145" t="inlineStr">
        <is>
          <t>JÄMTLANDS LÄN</t>
        </is>
      </c>
      <c r="E145" t="inlineStr">
        <is>
          <t>ÅRE</t>
        </is>
      </c>
      <c r="G145" t="n">
        <v>7.1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12466-2024 artfynd.xlsx", "A 12466-2024")</f>
        <v/>
      </c>
      <c r="T145">
        <f>HYPERLINK("https://klasma.github.io/Logging_2321/kartor/A 12466-2024 karta.png", "A 12466-2024")</f>
        <v/>
      </c>
      <c r="V145">
        <f>HYPERLINK("https://klasma.github.io/Logging_2321/klagomål/A 12466-2024 FSC-klagomål.docx", "A 12466-2024")</f>
        <v/>
      </c>
      <c r="W145">
        <f>HYPERLINK("https://klasma.github.io/Logging_2321/klagomålsmail/A 12466-2024 FSC-klagomål mail.docx", "A 12466-2024")</f>
        <v/>
      </c>
      <c r="X145">
        <f>HYPERLINK("https://klasma.github.io/Logging_2321/tillsyn/A 12466-2024 tillsynsbegäran.docx", "A 12466-2024")</f>
        <v/>
      </c>
      <c r="Y145">
        <f>HYPERLINK("https://klasma.github.io/Logging_2321/tillsynsmail/A 12466-2024 tillsynsbegäran mail.docx", "A 12466-2024")</f>
        <v/>
      </c>
      <c r="Z145">
        <f>HYPERLINK("https://klasma.github.io/Logging_2321/fåglar/A 12466-2024 prioriterade fågelarter.docx", "A 12466-2024")</f>
        <v/>
      </c>
    </row>
    <row r="146" ht="15" customHeight="1">
      <c r="A146" t="inlineStr">
        <is>
          <t>A 17489-2024</t>
        </is>
      </c>
      <c r="B146" s="1" t="n">
        <v>45415</v>
      </c>
      <c r="C146" s="1" t="n">
        <v>45565</v>
      </c>
      <c r="D146" t="inlineStr">
        <is>
          <t>JÄMTLANDS LÄN</t>
        </is>
      </c>
      <c r="E146" t="inlineStr">
        <is>
          <t>ÅRE</t>
        </is>
      </c>
      <c r="G146" t="n">
        <v>12.9</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17489-2024 artfynd.xlsx", "A 17489-2024")</f>
        <v/>
      </c>
      <c r="T146">
        <f>HYPERLINK("https://klasma.github.io/Logging_2321/kartor/A 17489-2024 karta.png", "A 17489-2024")</f>
        <v/>
      </c>
      <c r="V146">
        <f>HYPERLINK("https://klasma.github.io/Logging_2321/klagomål/A 17489-2024 FSC-klagomål.docx", "A 17489-2024")</f>
        <v/>
      </c>
      <c r="W146">
        <f>HYPERLINK("https://klasma.github.io/Logging_2321/klagomålsmail/A 17489-2024 FSC-klagomål mail.docx", "A 17489-2024")</f>
        <v/>
      </c>
      <c r="X146">
        <f>HYPERLINK("https://klasma.github.io/Logging_2321/tillsyn/A 17489-2024 tillsynsbegäran.docx", "A 17489-2024")</f>
        <v/>
      </c>
      <c r="Y146">
        <f>HYPERLINK("https://klasma.github.io/Logging_2321/tillsynsmail/A 17489-2024 tillsynsbegäran mail.docx", "A 17489-2024")</f>
        <v/>
      </c>
      <c r="Z146">
        <f>HYPERLINK("https://klasma.github.io/Logging_2321/fåglar/A 17489-2024 prioriterade fågelarter.docx", "A 17489-2024")</f>
        <v/>
      </c>
    </row>
    <row r="147" ht="15" customHeight="1">
      <c r="A147" t="inlineStr">
        <is>
          <t>A 18719-2024</t>
        </is>
      </c>
      <c r="B147" s="1" t="n">
        <v>45426</v>
      </c>
      <c r="C147" s="1" t="n">
        <v>45565</v>
      </c>
      <c r="D147" t="inlineStr">
        <is>
          <t>JÄMTLANDS LÄN</t>
        </is>
      </c>
      <c r="E147" t="inlineStr">
        <is>
          <t>ÅRE</t>
        </is>
      </c>
      <c r="F147" t="inlineStr">
        <is>
          <t>Övriga Aktiebolag</t>
        </is>
      </c>
      <c r="G147" t="n">
        <v>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18719-2024 artfynd.xlsx", "A 18719-2024")</f>
        <v/>
      </c>
      <c r="T147">
        <f>HYPERLINK("https://klasma.github.io/Logging_2321/kartor/A 18719-2024 karta.png", "A 18719-2024")</f>
        <v/>
      </c>
      <c r="V147">
        <f>HYPERLINK("https://klasma.github.io/Logging_2321/klagomål/A 18719-2024 FSC-klagomål.docx", "A 18719-2024")</f>
        <v/>
      </c>
      <c r="W147">
        <f>HYPERLINK("https://klasma.github.io/Logging_2321/klagomålsmail/A 18719-2024 FSC-klagomål mail.docx", "A 18719-2024")</f>
        <v/>
      </c>
      <c r="X147">
        <f>HYPERLINK("https://klasma.github.io/Logging_2321/tillsyn/A 18719-2024 tillsynsbegäran.docx", "A 18719-2024")</f>
        <v/>
      </c>
      <c r="Y147">
        <f>HYPERLINK("https://klasma.github.io/Logging_2321/tillsynsmail/A 18719-2024 tillsynsbegäran mail.docx", "A 18719-2024")</f>
        <v/>
      </c>
      <c r="Z147">
        <f>HYPERLINK("https://klasma.github.io/Logging_2321/fåglar/A 18719-2024 prioriterade fågelarter.docx", "A 18719-2024")</f>
        <v/>
      </c>
    </row>
    <row r="148" ht="15" customHeight="1">
      <c r="A148" t="inlineStr">
        <is>
          <t>A 23625-2024</t>
        </is>
      </c>
      <c r="B148" s="1" t="n">
        <v>45454</v>
      </c>
      <c r="C148" s="1" t="n">
        <v>45565</v>
      </c>
      <c r="D148" t="inlineStr">
        <is>
          <t>JÄMTLANDS LÄN</t>
        </is>
      </c>
      <c r="E148" t="inlineStr">
        <is>
          <t>ÅRE</t>
        </is>
      </c>
      <c r="G148" t="n">
        <v>15.2</v>
      </c>
      <c r="H148" t="n">
        <v>2</v>
      </c>
      <c r="I148" t="n">
        <v>0</v>
      </c>
      <c r="J148" t="n">
        <v>1</v>
      </c>
      <c r="K148" t="n">
        <v>0</v>
      </c>
      <c r="L148" t="n">
        <v>0</v>
      </c>
      <c r="M148" t="n">
        <v>0</v>
      </c>
      <c r="N148" t="n">
        <v>0</v>
      </c>
      <c r="O148" t="n">
        <v>1</v>
      </c>
      <c r="P148" t="n">
        <v>0</v>
      </c>
      <c r="Q148" t="n">
        <v>2</v>
      </c>
      <c r="R148" s="2" t="inlineStr">
        <is>
          <t>Tretåig hackspett
Lavskrika</t>
        </is>
      </c>
      <c r="S148">
        <f>HYPERLINK("https://klasma.github.io/Logging_2321/artfynd/A 23625-2024 artfynd.xlsx", "A 23625-2024")</f>
        <v/>
      </c>
      <c r="T148">
        <f>HYPERLINK("https://klasma.github.io/Logging_2321/kartor/A 23625-2024 karta.png", "A 23625-2024")</f>
        <v/>
      </c>
      <c r="V148">
        <f>HYPERLINK("https://klasma.github.io/Logging_2321/klagomål/A 23625-2024 FSC-klagomål.docx", "A 23625-2024")</f>
        <v/>
      </c>
      <c r="W148">
        <f>HYPERLINK("https://klasma.github.io/Logging_2321/klagomålsmail/A 23625-2024 FSC-klagomål mail.docx", "A 23625-2024")</f>
        <v/>
      </c>
      <c r="X148">
        <f>HYPERLINK("https://klasma.github.io/Logging_2321/tillsyn/A 23625-2024 tillsynsbegäran.docx", "A 23625-2024")</f>
        <v/>
      </c>
      <c r="Y148">
        <f>HYPERLINK("https://klasma.github.io/Logging_2321/tillsynsmail/A 23625-2024 tillsynsbegäran mail.docx", "A 23625-2024")</f>
        <v/>
      </c>
      <c r="Z148">
        <f>HYPERLINK("https://klasma.github.io/Logging_2321/fåglar/A 23625-2024 prioriterade fågelarter.docx", "A 23625-2024")</f>
        <v/>
      </c>
    </row>
    <row r="149" ht="15" customHeight="1">
      <c r="A149" t="inlineStr">
        <is>
          <t>A 59825-2019</t>
        </is>
      </c>
      <c r="B149" s="1" t="n">
        <v>43774</v>
      </c>
      <c r="C149" s="1" t="n">
        <v>45565</v>
      </c>
      <c r="D149" t="inlineStr">
        <is>
          <t>JÄMTLANDS LÄN</t>
        </is>
      </c>
      <c r="E149" t="inlineStr">
        <is>
          <t>ÅRE</t>
        </is>
      </c>
      <c r="G149" t="n">
        <v>6.8</v>
      </c>
      <c r="H149" t="n">
        <v>0</v>
      </c>
      <c r="I149" t="n">
        <v>0</v>
      </c>
      <c r="J149" t="n">
        <v>1</v>
      </c>
      <c r="K149" t="n">
        <v>0</v>
      </c>
      <c r="L149" t="n">
        <v>0</v>
      </c>
      <c r="M149" t="n">
        <v>0</v>
      </c>
      <c r="N149" t="n">
        <v>0</v>
      </c>
      <c r="O149" t="n">
        <v>1</v>
      </c>
      <c r="P149" t="n">
        <v>0</v>
      </c>
      <c r="Q149" t="n">
        <v>1</v>
      </c>
      <c r="R149" s="2" t="inlineStr">
        <is>
          <t>Lunglav</t>
        </is>
      </c>
      <c r="S149">
        <f>HYPERLINK("https://klasma.github.io/Logging_2321/artfynd/A 59825-2019 artfynd.xlsx", "A 59825-2019")</f>
        <v/>
      </c>
      <c r="T149">
        <f>HYPERLINK("https://klasma.github.io/Logging_2321/kartor/A 59825-2019 karta.png", "A 59825-2019")</f>
        <v/>
      </c>
      <c r="V149">
        <f>HYPERLINK("https://klasma.github.io/Logging_2321/klagomål/A 59825-2019 FSC-klagomål.docx", "A 59825-2019")</f>
        <v/>
      </c>
      <c r="W149">
        <f>HYPERLINK("https://klasma.github.io/Logging_2321/klagomålsmail/A 59825-2019 FSC-klagomål mail.docx", "A 59825-2019")</f>
        <v/>
      </c>
      <c r="X149">
        <f>HYPERLINK("https://klasma.github.io/Logging_2321/tillsyn/A 59825-2019 tillsynsbegäran.docx", "A 59825-2019")</f>
        <v/>
      </c>
      <c r="Y149">
        <f>HYPERLINK("https://klasma.github.io/Logging_2321/tillsynsmail/A 59825-2019 tillsynsbegäran mail.docx", "A 59825-2019")</f>
        <v/>
      </c>
    </row>
    <row r="150" ht="15" customHeight="1">
      <c r="A150" t="inlineStr">
        <is>
          <t>A 20979-2020</t>
        </is>
      </c>
      <c r="B150" s="1" t="n">
        <v>43950</v>
      </c>
      <c r="C150" s="1" t="n">
        <v>45565</v>
      </c>
      <c r="D150" t="inlineStr">
        <is>
          <t>JÄMTLANDS LÄN</t>
        </is>
      </c>
      <c r="E150" t="inlineStr">
        <is>
          <t>ÅRE</t>
        </is>
      </c>
      <c r="G150" t="n">
        <v>16.5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20979-2020 artfynd.xlsx", "A 20979-2020")</f>
        <v/>
      </c>
      <c r="T150">
        <f>HYPERLINK("https://klasma.github.io/Logging_2321/kartor/A 20979-2020 karta.png", "A 20979-2020")</f>
        <v/>
      </c>
      <c r="V150">
        <f>HYPERLINK("https://klasma.github.io/Logging_2321/klagomål/A 20979-2020 FSC-klagomål.docx", "A 20979-2020")</f>
        <v/>
      </c>
      <c r="W150">
        <f>HYPERLINK("https://klasma.github.io/Logging_2321/klagomålsmail/A 20979-2020 FSC-klagomål mail.docx", "A 20979-2020")</f>
        <v/>
      </c>
      <c r="X150">
        <f>HYPERLINK("https://klasma.github.io/Logging_2321/tillsyn/A 20979-2020 tillsynsbegäran.docx", "A 20979-2020")</f>
        <v/>
      </c>
      <c r="Y150">
        <f>HYPERLINK("https://klasma.github.io/Logging_2321/tillsynsmail/A 20979-2020 tillsynsbegäran mail.docx", "A 20979-2020")</f>
        <v/>
      </c>
      <c r="Z150">
        <f>HYPERLINK("https://klasma.github.io/Logging_2321/fåglar/A 20979-2020 prioriterade fågelarter.docx", "A 20979-2020")</f>
        <v/>
      </c>
    </row>
    <row r="151" ht="15" customHeight="1">
      <c r="A151" t="inlineStr">
        <is>
          <t>A 29084-2020</t>
        </is>
      </c>
      <c r="B151" s="1" t="n">
        <v>44002</v>
      </c>
      <c r="C151" s="1" t="n">
        <v>45565</v>
      </c>
      <c r="D151" t="inlineStr">
        <is>
          <t>JÄMTLANDS LÄN</t>
        </is>
      </c>
      <c r="E151" t="inlineStr">
        <is>
          <t>ÅRE</t>
        </is>
      </c>
      <c r="G151" t="n">
        <v>15.5</v>
      </c>
      <c r="H151" t="n">
        <v>0</v>
      </c>
      <c r="I151" t="n">
        <v>0</v>
      </c>
      <c r="J151" t="n">
        <v>1</v>
      </c>
      <c r="K151" t="n">
        <v>0</v>
      </c>
      <c r="L151" t="n">
        <v>0</v>
      </c>
      <c r="M151" t="n">
        <v>0</v>
      </c>
      <c r="N151" t="n">
        <v>0</v>
      </c>
      <c r="O151" t="n">
        <v>1</v>
      </c>
      <c r="P151" t="n">
        <v>0</v>
      </c>
      <c r="Q151" t="n">
        <v>1</v>
      </c>
      <c r="R151" s="2" t="inlineStr">
        <is>
          <t>Gränsticka</t>
        </is>
      </c>
      <c r="S151">
        <f>HYPERLINK("https://klasma.github.io/Logging_2321/artfynd/A 29084-2020 artfynd.xlsx", "A 29084-2020")</f>
        <v/>
      </c>
      <c r="T151">
        <f>HYPERLINK("https://klasma.github.io/Logging_2321/kartor/A 29084-2020 karta.png", "A 29084-2020")</f>
        <v/>
      </c>
      <c r="V151">
        <f>HYPERLINK("https://klasma.github.io/Logging_2321/klagomål/A 29084-2020 FSC-klagomål.docx", "A 29084-2020")</f>
        <v/>
      </c>
      <c r="W151">
        <f>HYPERLINK("https://klasma.github.io/Logging_2321/klagomålsmail/A 29084-2020 FSC-klagomål mail.docx", "A 29084-2020")</f>
        <v/>
      </c>
      <c r="X151">
        <f>HYPERLINK("https://klasma.github.io/Logging_2321/tillsyn/A 29084-2020 tillsynsbegäran.docx", "A 29084-2020")</f>
        <v/>
      </c>
      <c r="Y151">
        <f>HYPERLINK("https://klasma.github.io/Logging_2321/tillsynsmail/A 29084-2020 tillsynsbegäran mail.docx", "A 29084-2020")</f>
        <v/>
      </c>
    </row>
    <row r="152" ht="15" customHeight="1">
      <c r="A152" t="inlineStr">
        <is>
          <t>A 46966-2020</t>
        </is>
      </c>
      <c r="B152" s="1" t="n">
        <v>44090</v>
      </c>
      <c r="C152" s="1" t="n">
        <v>45565</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46959-2020</t>
        </is>
      </c>
      <c r="B153" s="1" t="n">
        <v>44090</v>
      </c>
      <c r="C153" s="1" t="n">
        <v>45565</v>
      </c>
      <c r="D153" t="inlineStr">
        <is>
          <t>JÄMTLANDS LÄN</t>
        </is>
      </c>
      <c r="E153" t="inlineStr">
        <is>
          <t>ÅRE</t>
        </is>
      </c>
      <c r="G153" t="n">
        <v>4.7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46959-2020 artfynd.xlsx", "A 46959-2020")</f>
        <v/>
      </c>
      <c r="T153">
        <f>HYPERLINK("https://klasma.github.io/Logging_2321/kartor/A 46959-2020 karta.png", "A 46959-2020")</f>
        <v/>
      </c>
      <c r="V153">
        <f>HYPERLINK("https://klasma.github.io/Logging_2321/klagomål/A 46959-2020 FSC-klagomål.docx", "A 46959-2020")</f>
        <v/>
      </c>
      <c r="W153">
        <f>HYPERLINK("https://klasma.github.io/Logging_2321/klagomålsmail/A 46959-2020 FSC-klagomål mail.docx", "A 46959-2020")</f>
        <v/>
      </c>
      <c r="X153">
        <f>HYPERLINK("https://klasma.github.io/Logging_2321/tillsyn/A 46959-2020 tillsynsbegäran.docx", "A 46959-2020")</f>
        <v/>
      </c>
      <c r="Y153">
        <f>HYPERLINK("https://klasma.github.io/Logging_2321/tillsynsmail/A 46959-2020 tillsynsbegäran mail.docx", "A 46959-2020")</f>
        <v/>
      </c>
      <c r="Z153">
        <f>HYPERLINK("https://klasma.github.io/Logging_2321/fåglar/A 46959-2020 prioriterade fågelarter.docx", "A 46959-2020")</f>
        <v/>
      </c>
    </row>
    <row r="154" ht="15" customHeight="1">
      <c r="A154" t="inlineStr">
        <is>
          <t>A 52542-2020</t>
        </is>
      </c>
      <c r="B154" s="1" t="n">
        <v>44116</v>
      </c>
      <c r="C154" s="1" t="n">
        <v>45565</v>
      </c>
      <c r="D154" t="inlineStr">
        <is>
          <t>JÄMTLANDS LÄN</t>
        </is>
      </c>
      <c r="E154" t="inlineStr">
        <is>
          <t>ÅRE</t>
        </is>
      </c>
      <c r="G154" t="n">
        <v>5.5</v>
      </c>
      <c r="H154" t="n">
        <v>0</v>
      </c>
      <c r="I154" t="n">
        <v>0</v>
      </c>
      <c r="J154" t="n">
        <v>1</v>
      </c>
      <c r="K154" t="n">
        <v>0</v>
      </c>
      <c r="L154" t="n">
        <v>0</v>
      </c>
      <c r="M154" t="n">
        <v>0</v>
      </c>
      <c r="N154" t="n">
        <v>0</v>
      </c>
      <c r="O154" t="n">
        <v>1</v>
      </c>
      <c r="P154" t="n">
        <v>0</v>
      </c>
      <c r="Q154" t="n">
        <v>1</v>
      </c>
      <c r="R154" s="2" t="inlineStr">
        <is>
          <t>Skrovellav</t>
        </is>
      </c>
      <c r="S154">
        <f>HYPERLINK("https://klasma.github.io/Logging_2321/artfynd/A 52542-2020 artfynd.xlsx", "A 52542-2020")</f>
        <v/>
      </c>
      <c r="T154">
        <f>HYPERLINK("https://klasma.github.io/Logging_2321/kartor/A 52542-2020 karta.png", "A 52542-2020")</f>
        <v/>
      </c>
      <c r="V154">
        <f>HYPERLINK("https://klasma.github.io/Logging_2321/klagomål/A 52542-2020 FSC-klagomål.docx", "A 52542-2020")</f>
        <v/>
      </c>
      <c r="W154">
        <f>HYPERLINK("https://klasma.github.io/Logging_2321/klagomålsmail/A 52542-2020 FSC-klagomål mail.docx", "A 52542-2020")</f>
        <v/>
      </c>
      <c r="X154">
        <f>HYPERLINK("https://klasma.github.io/Logging_2321/tillsyn/A 52542-2020 tillsynsbegäran.docx", "A 52542-2020")</f>
        <v/>
      </c>
      <c r="Y154">
        <f>HYPERLINK("https://klasma.github.io/Logging_2321/tillsynsmail/A 52542-2020 tillsynsbegäran mail.docx", "A 52542-2020")</f>
        <v/>
      </c>
    </row>
    <row r="155" ht="15" customHeight="1">
      <c r="A155" t="inlineStr">
        <is>
          <t>A 53598-2020</t>
        </is>
      </c>
      <c r="B155" s="1" t="n">
        <v>44124</v>
      </c>
      <c r="C155" s="1" t="n">
        <v>45565</v>
      </c>
      <c r="D155" t="inlineStr">
        <is>
          <t>JÄMTLANDS LÄN</t>
        </is>
      </c>
      <c r="E155" t="inlineStr">
        <is>
          <t>ÅRE</t>
        </is>
      </c>
      <c r="G155" t="n">
        <v>11.7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53598-2020 artfynd.xlsx", "A 53598-2020")</f>
        <v/>
      </c>
      <c r="T155">
        <f>HYPERLINK("https://klasma.github.io/Logging_2321/kartor/A 53598-2020 karta.png", "A 53598-2020")</f>
        <v/>
      </c>
      <c r="V155">
        <f>HYPERLINK("https://klasma.github.io/Logging_2321/klagomål/A 53598-2020 FSC-klagomål.docx", "A 53598-2020")</f>
        <v/>
      </c>
      <c r="W155">
        <f>HYPERLINK("https://klasma.github.io/Logging_2321/klagomålsmail/A 53598-2020 FSC-klagomål mail.docx", "A 53598-2020")</f>
        <v/>
      </c>
      <c r="X155">
        <f>HYPERLINK("https://klasma.github.io/Logging_2321/tillsyn/A 53598-2020 tillsynsbegäran.docx", "A 53598-2020")</f>
        <v/>
      </c>
      <c r="Y155">
        <f>HYPERLINK("https://klasma.github.io/Logging_2321/tillsynsmail/A 53598-2020 tillsynsbegäran mail.docx", "A 53598-2020")</f>
        <v/>
      </c>
      <c r="Z155">
        <f>HYPERLINK("https://klasma.github.io/Logging_2321/fåglar/A 53598-2020 prioriterade fågelarter.docx", "A 53598-2020")</f>
        <v/>
      </c>
    </row>
    <row r="156" ht="15" customHeight="1">
      <c r="A156" t="inlineStr">
        <is>
          <t>A 65517-2020</t>
        </is>
      </c>
      <c r="B156" s="1" t="n">
        <v>44173</v>
      </c>
      <c r="C156" s="1" t="n">
        <v>45565</v>
      </c>
      <c r="D156" t="inlineStr">
        <is>
          <t>JÄMTLANDS LÄN</t>
        </is>
      </c>
      <c r="E156" t="inlineStr">
        <is>
          <t>ÅRE</t>
        </is>
      </c>
      <c r="G156" t="n">
        <v>4.6</v>
      </c>
      <c r="H156" t="n">
        <v>0</v>
      </c>
      <c r="I156" t="n">
        <v>0</v>
      </c>
      <c r="J156" t="n">
        <v>1</v>
      </c>
      <c r="K156" t="n">
        <v>0</v>
      </c>
      <c r="L156" t="n">
        <v>0</v>
      </c>
      <c r="M156" t="n">
        <v>0</v>
      </c>
      <c r="N156" t="n">
        <v>0</v>
      </c>
      <c r="O156" t="n">
        <v>1</v>
      </c>
      <c r="P156" t="n">
        <v>0</v>
      </c>
      <c r="Q156" t="n">
        <v>1</v>
      </c>
      <c r="R156" s="2" t="inlineStr">
        <is>
          <t>Doftskinn</t>
        </is>
      </c>
      <c r="S156">
        <f>HYPERLINK("https://klasma.github.io/Logging_2321/artfynd/A 65517-2020 artfynd.xlsx", "A 65517-2020")</f>
        <v/>
      </c>
      <c r="T156">
        <f>HYPERLINK("https://klasma.github.io/Logging_2321/kartor/A 65517-2020 karta.png", "A 65517-2020")</f>
        <v/>
      </c>
      <c r="V156">
        <f>HYPERLINK("https://klasma.github.io/Logging_2321/klagomål/A 65517-2020 FSC-klagomål.docx", "A 65517-2020")</f>
        <v/>
      </c>
      <c r="W156">
        <f>HYPERLINK("https://klasma.github.io/Logging_2321/klagomålsmail/A 65517-2020 FSC-klagomål mail.docx", "A 65517-2020")</f>
        <v/>
      </c>
      <c r="X156">
        <f>HYPERLINK("https://klasma.github.io/Logging_2321/tillsyn/A 65517-2020 tillsynsbegäran.docx", "A 65517-2020")</f>
        <v/>
      </c>
      <c r="Y156">
        <f>HYPERLINK("https://klasma.github.io/Logging_2321/tillsynsmail/A 65517-2020 tillsynsbegäran mail.docx", "A 65517-2020")</f>
        <v/>
      </c>
    </row>
    <row r="157" ht="15" customHeight="1">
      <c r="A157" t="inlineStr">
        <is>
          <t>A 65446-2020</t>
        </is>
      </c>
      <c r="B157" s="1" t="n">
        <v>44173</v>
      </c>
      <c r="C157" s="1" t="n">
        <v>45565</v>
      </c>
      <c r="D157" t="inlineStr">
        <is>
          <t>JÄMTLANDS LÄN</t>
        </is>
      </c>
      <c r="E157" t="inlineStr">
        <is>
          <t>ÅRE</t>
        </is>
      </c>
      <c r="G157" t="n">
        <v>7.2</v>
      </c>
      <c r="H157" t="n">
        <v>0</v>
      </c>
      <c r="I157" t="n">
        <v>0</v>
      </c>
      <c r="J157" t="n">
        <v>1</v>
      </c>
      <c r="K157" t="n">
        <v>0</v>
      </c>
      <c r="L157" t="n">
        <v>0</v>
      </c>
      <c r="M157" t="n">
        <v>0</v>
      </c>
      <c r="N157" t="n">
        <v>0</v>
      </c>
      <c r="O157" t="n">
        <v>1</v>
      </c>
      <c r="P157" t="n">
        <v>0</v>
      </c>
      <c r="Q157" t="n">
        <v>1</v>
      </c>
      <c r="R157" s="2" t="inlineStr">
        <is>
          <t>Ullticka</t>
        </is>
      </c>
      <c r="S157">
        <f>HYPERLINK("https://klasma.github.io/Logging_2321/artfynd/A 65446-2020 artfynd.xlsx", "A 65446-2020")</f>
        <v/>
      </c>
      <c r="T157">
        <f>HYPERLINK("https://klasma.github.io/Logging_2321/kartor/A 65446-2020 karta.png", "A 65446-2020")</f>
        <v/>
      </c>
      <c r="V157">
        <f>HYPERLINK("https://klasma.github.io/Logging_2321/klagomål/A 65446-2020 FSC-klagomål.docx", "A 65446-2020")</f>
        <v/>
      </c>
      <c r="W157">
        <f>HYPERLINK("https://klasma.github.io/Logging_2321/klagomålsmail/A 65446-2020 FSC-klagomål mail.docx", "A 65446-2020")</f>
        <v/>
      </c>
      <c r="X157">
        <f>HYPERLINK("https://klasma.github.io/Logging_2321/tillsyn/A 65446-2020 tillsynsbegäran.docx", "A 65446-2020")</f>
        <v/>
      </c>
      <c r="Y157">
        <f>HYPERLINK("https://klasma.github.io/Logging_2321/tillsynsmail/A 65446-2020 tillsynsbegäran mail.docx", "A 65446-2020")</f>
        <v/>
      </c>
    </row>
    <row r="158" ht="15" customHeight="1">
      <c r="A158" t="inlineStr">
        <is>
          <t>A 2422-2021</t>
        </is>
      </c>
      <c r="B158" s="1" t="n">
        <v>44214</v>
      </c>
      <c r="C158" s="1" t="n">
        <v>45565</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11781-2021</t>
        </is>
      </c>
      <c r="B159" s="1" t="n">
        <v>44265</v>
      </c>
      <c r="C159" s="1" t="n">
        <v>45565</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11767-2021</t>
        </is>
      </c>
      <c r="B160" s="1" t="n">
        <v>44265</v>
      </c>
      <c r="C160" s="1" t="n">
        <v>45565</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11767-2021 artfynd.xlsx", "A 11767-2021")</f>
        <v/>
      </c>
      <c r="T160">
        <f>HYPERLINK("https://klasma.github.io/Logging_2321/kartor/A 11767-2021 karta.png", "A 11767-2021")</f>
        <v/>
      </c>
      <c r="V160">
        <f>HYPERLINK("https://klasma.github.io/Logging_2321/klagomål/A 11767-2021 FSC-klagomål.docx", "A 11767-2021")</f>
        <v/>
      </c>
      <c r="W160">
        <f>HYPERLINK("https://klasma.github.io/Logging_2321/klagomålsmail/A 11767-2021 FSC-klagomål mail.docx", "A 11767-2021")</f>
        <v/>
      </c>
      <c r="X160">
        <f>HYPERLINK("https://klasma.github.io/Logging_2321/tillsyn/A 11767-2021 tillsynsbegäran.docx", "A 11767-2021")</f>
        <v/>
      </c>
      <c r="Y160">
        <f>HYPERLINK("https://klasma.github.io/Logging_2321/tillsynsmail/A 11767-2021 tillsynsbegäran mail.docx", "A 11767-2021")</f>
        <v/>
      </c>
      <c r="Z160">
        <f>HYPERLINK("https://klasma.github.io/Logging_2321/fåglar/A 11767-2021 prioriterade fågelarter.docx", "A 11767-2021")</f>
        <v/>
      </c>
    </row>
    <row r="161" ht="15" customHeight="1">
      <c r="A161" t="inlineStr">
        <is>
          <t>A 12970-2021</t>
        </is>
      </c>
      <c r="B161" s="1" t="n">
        <v>44271</v>
      </c>
      <c r="C161" s="1" t="n">
        <v>45565</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18543-2021</t>
        </is>
      </c>
      <c r="B162" s="1" t="n">
        <v>44306</v>
      </c>
      <c r="C162" s="1" t="n">
        <v>45565</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20500-2021</t>
        </is>
      </c>
      <c r="B163" s="1" t="n">
        <v>44315</v>
      </c>
      <c r="C163" s="1" t="n">
        <v>45565</v>
      </c>
      <c r="D163" t="inlineStr">
        <is>
          <t>JÄMTLANDS LÄN</t>
        </is>
      </c>
      <c r="E163" t="inlineStr">
        <is>
          <t>ÅRE</t>
        </is>
      </c>
      <c r="G163" t="n">
        <v>3</v>
      </c>
      <c r="H163" t="n">
        <v>0</v>
      </c>
      <c r="I163" t="n">
        <v>1</v>
      </c>
      <c r="J163" t="n">
        <v>0</v>
      </c>
      <c r="K163" t="n">
        <v>0</v>
      </c>
      <c r="L163" t="n">
        <v>0</v>
      </c>
      <c r="M163" t="n">
        <v>0</v>
      </c>
      <c r="N163" t="n">
        <v>0</v>
      </c>
      <c r="O163" t="n">
        <v>0</v>
      </c>
      <c r="P163" t="n">
        <v>0</v>
      </c>
      <c r="Q163" t="n">
        <v>1</v>
      </c>
      <c r="R163" s="2" t="inlineStr">
        <is>
          <t>Svart trolldruva</t>
        </is>
      </c>
      <c r="S163">
        <f>HYPERLINK("https://klasma.github.io/Logging_2321/artfynd/A 20500-2021 artfynd.xlsx", "A 20500-2021")</f>
        <v/>
      </c>
      <c r="T163">
        <f>HYPERLINK("https://klasma.github.io/Logging_2321/kartor/A 20500-2021 karta.png", "A 20500-2021")</f>
        <v/>
      </c>
      <c r="V163">
        <f>HYPERLINK("https://klasma.github.io/Logging_2321/klagomål/A 20500-2021 FSC-klagomål.docx", "A 20500-2021")</f>
        <v/>
      </c>
      <c r="W163">
        <f>HYPERLINK("https://klasma.github.io/Logging_2321/klagomålsmail/A 20500-2021 FSC-klagomål mail.docx", "A 20500-2021")</f>
        <v/>
      </c>
      <c r="X163">
        <f>HYPERLINK("https://klasma.github.io/Logging_2321/tillsyn/A 20500-2021 tillsynsbegäran.docx", "A 20500-2021")</f>
        <v/>
      </c>
      <c r="Y163">
        <f>HYPERLINK("https://klasma.github.io/Logging_2321/tillsynsmail/A 20500-2021 tillsynsbegäran mail.docx", "A 20500-2021")</f>
        <v/>
      </c>
    </row>
    <row r="164" ht="15" customHeight="1">
      <c r="A164" t="inlineStr">
        <is>
          <t>A 23556-2021</t>
        </is>
      </c>
      <c r="B164" s="1" t="n">
        <v>44334</v>
      </c>
      <c r="C164" s="1" t="n">
        <v>45565</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37082-2021</t>
        </is>
      </c>
      <c r="B165" s="1" t="n">
        <v>44395</v>
      </c>
      <c r="C165" s="1" t="n">
        <v>45565</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56193-2021</t>
        </is>
      </c>
      <c r="B166" s="1" t="n">
        <v>44477</v>
      </c>
      <c r="C166" s="1" t="n">
        <v>45565</v>
      </c>
      <c r="D166" t="inlineStr">
        <is>
          <t>JÄMTLANDS LÄN</t>
        </is>
      </c>
      <c r="E166" t="inlineStr">
        <is>
          <t>ÅRE</t>
        </is>
      </c>
      <c r="F166" t="inlineStr">
        <is>
          <t>Övriga Aktiebolag</t>
        </is>
      </c>
      <c r="G166" t="n">
        <v>15.5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56193-2021 artfynd.xlsx", "A 56193-2021")</f>
        <v/>
      </c>
      <c r="T166">
        <f>HYPERLINK("https://klasma.github.io/Logging_2321/kartor/A 56193-2021 karta.png", "A 56193-2021")</f>
        <v/>
      </c>
      <c r="V166">
        <f>HYPERLINK("https://klasma.github.io/Logging_2321/klagomål/A 56193-2021 FSC-klagomål.docx", "A 56193-2021")</f>
        <v/>
      </c>
      <c r="W166">
        <f>HYPERLINK("https://klasma.github.io/Logging_2321/klagomålsmail/A 56193-2021 FSC-klagomål mail.docx", "A 56193-2021")</f>
        <v/>
      </c>
      <c r="X166">
        <f>HYPERLINK("https://klasma.github.io/Logging_2321/tillsyn/A 56193-2021 tillsynsbegäran.docx", "A 56193-2021")</f>
        <v/>
      </c>
      <c r="Y166">
        <f>HYPERLINK("https://klasma.github.io/Logging_2321/tillsynsmail/A 56193-2021 tillsynsbegäran mail.docx", "A 56193-2021")</f>
        <v/>
      </c>
      <c r="Z166">
        <f>HYPERLINK("https://klasma.github.io/Logging_2321/fåglar/A 56193-2021 prioriterade fågelarter.docx", "A 56193-2021")</f>
        <v/>
      </c>
    </row>
    <row r="167" ht="15" customHeight="1">
      <c r="A167" t="inlineStr">
        <is>
          <t>A 58117-2021</t>
        </is>
      </c>
      <c r="B167" s="1" t="n">
        <v>44487</v>
      </c>
      <c r="C167" s="1" t="n">
        <v>45565</v>
      </c>
      <c r="D167" t="inlineStr">
        <is>
          <t>JÄMTLANDS LÄN</t>
        </is>
      </c>
      <c r="E167" t="inlineStr">
        <is>
          <t>ÅRE</t>
        </is>
      </c>
      <c r="G167" t="n">
        <v>40.9</v>
      </c>
      <c r="H167" t="n">
        <v>0</v>
      </c>
      <c r="I167" t="n">
        <v>1</v>
      </c>
      <c r="J167" t="n">
        <v>0</v>
      </c>
      <c r="K167" t="n">
        <v>0</v>
      </c>
      <c r="L167" t="n">
        <v>0</v>
      </c>
      <c r="M167" t="n">
        <v>0</v>
      </c>
      <c r="N167" t="n">
        <v>0</v>
      </c>
      <c r="O167" t="n">
        <v>0</v>
      </c>
      <c r="P167" t="n">
        <v>0</v>
      </c>
      <c r="Q167" t="n">
        <v>1</v>
      </c>
      <c r="R167" s="2" t="inlineStr">
        <is>
          <t>Stuplav</t>
        </is>
      </c>
      <c r="S167">
        <f>HYPERLINK("https://klasma.github.io/Logging_2321/artfynd/A 58117-2021 artfynd.xlsx", "A 58117-2021")</f>
        <v/>
      </c>
      <c r="T167">
        <f>HYPERLINK("https://klasma.github.io/Logging_2321/kartor/A 58117-2021 karta.png", "A 58117-2021")</f>
        <v/>
      </c>
      <c r="V167">
        <f>HYPERLINK("https://klasma.github.io/Logging_2321/klagomål/A 58117-2021 FSC-klagomål.docx", "A 58117-2021")</f>
        <v/>
      </c>
      <c r="W167">
        <f>HYPERLINK("https://klasma.github.io/Logging_2321/klagomålsmail/A 58117-2021 FSC-klagomål mail.docx", "A 58117-2021")</f>
        <v/>
      </c>
      <c r="X167">
        <f>HYPERLINK("https://klasma.github.io/Logging_2321/tillsyn/A 58117-2021 tillsynsbegäran.docx", "A 58117-2021")</f>
        <v/>
      </c>
      <c r="Y167">
        <f>HYPERLINK("https://klasma.github.io/Logging_2321/tillsynsmail/A 58117-2021 tillsynsbegäran mail.docx", "A 58117-2021")</f>
        <v/>
      </c>
    </row>
    <row r="168" ht="15" customHeight="1">
      <c r="A168" t="inlineStr">
        <is>
          <t>A 58239-2021</t>
        </is>
      </c>
      <c r="B168" s="1" t="n">
        <v>44487</v>
      </c>
      <c r="C168" s="1" t="n">
        <v>45565</v>
      </c>
      <c r="D168" t="inlineStr">
        <is>
          <t>JÄMTLANDS LÄN</t>
        </is>
      </c>
      <c r="E168" t="inlineStr">
        <is>
          <t>ÅRE</t>
        </is>
      </c>
      <c r="G168" t="n">
        <v>25</v>
      </c>
      <c r="H168" t="n">
        <v>0</v>
      </c>
      <c r="I168" t="n">
        <v>0</v>
      </c>
      <c r="J168" t="n">
        <v>0</v>
      </c>
      <c r="K168" t="n">
        <v>1</v>
      </c>
      <c r="L168" t="n">
        <v>0</v>
      </c>
      <c r="M168" t="n">
        <v>0</v>
      </c>
      <c r="N168" t="n">
        <v>0</v>
      </c>
      <c r="O168" t="n">
        <v>1</v>
      </c>
      <c r="P168" t="n">
        <v>1</v>
      </c>
      <c r="Q168" t="n">
        <v>1</v>
      </c>
      <c r="R168" s="2" t="inlineStr">
        <is>
          <t>Rynkskinn</t>
        </is>
      </c>
      <c r="S168">
        <f>HYPERLINK("https://klasma.github.io/Logging_2321/artfynd/A 58239-2021 artfynd.xlsx", "A 58239-2021")</f>
        <v/>
      </c>
      <c r="T168">
        <f>HYPERLINK("https://klasma.github.io/Logging_2321/kartor/A 58239-2021 karta.png", "A 58239-2021")</f>
        <v/>
      </c>
      <c r="V168">
        <f>HYPERLINK("https://klasma.github.io/Logging_2321/klagomål/A 58239-2021 FSC-klagomål.docx", "A 58239-2021")</f>
        <v/>
      </c>
      <c r="W168">
        <f>HYPERLINK("https://klasma.github.io/Logging_2321/klagomålsmail/A 58239-2021 FSC-klagomål mail.docx", "A 58239-2021")</f>
        <v/>
      </c>
      <c r="X168">
        <f>HYPERLINK("https://klasma.github.io/Logging_2321/tillsyn/A 58239-2021 tillsynsbegäran.docx", "A 58239-2021")</f>
        <v/>
      </c>
      <c r="Y168">
        <f>HYPERLINK("https://klasma.github.io/Logging_2321/tillsynsmail/A 58239-2021 tillsynsbegäran mail.docx", "A 58239-2021")</f>
        <v/>
      </c>
    </row>
    <row r="169" ht="15" customHeight="1">
      <c r="A169" t="inlineStr">
        <is>
          <t>A 58226-2021</t>
        </is>
      </c>
      <c r="B169" s="1" t="n">
        <v>44487</v>
      </c>
      <c r="C169" s="1" t="n">
        <v>45565</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62188-2021</t>
        </is>
      </c>
      <c r="B170" s="1" t="n">
        <v>44502</v>
      </c>
      <c r="C170" s="1" t="n">
        <v>45565</v>
      </c>
      <c r="D170" t="inlineStr">
        <is>
          <t>JÄMTLANDS LÄN</t>
        </is>
      </c>
      <c r="E170" t="inlineStr">
        <is>
          <t>ÅRE</t>
        </is>
      </c>
      <c r="G170" t="n">
        <v>2.5</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62188-2021 artfynd.xlsx", "A 62188-2021")</f>
        <v/>
      </c>
      <c r="T170">
        <f>HYPERLINK("https://klasma.github.io/Logging_2321/kartor/A 62188-2021 karta.png", "A 62188-2021")</f>
        <v/>
      </c>
      <c r="V170">
        <f>HYPERLINK("https://klasma.github.io/Logging_2321/klagomål/A 62188-2021 FSC-klagomål.docx", "A 62188-2021")</f>
        <v/>
      </c>
      <c r="W170">
        <f>HYPERLINK("https://klasma.github.io/Logging_2321/klagomålsmail/A 62188-2021 FSC-klagomål mail.docx", "A 62188-2021")</f>
        <v/>
      </c>
      <c r="X170">
        <f>HYPERLINK("https://klasma.github.io/Logging_2321/tillsyn/A 62188-2021 tillsynsbegäran.docx", "A 62188-2021")</f>
        <v/>
      </c>
      <c r="Y170">
        <f>HYPERLINK("https://klasma.github.io/Logging_2321/tillsynsmail/A 62188-2021 tillsynsbegäran mail.docx", "A 62188-2021")</f>
        <v/>
      </c>
    </row>
    <row r="171" ht="15" customHeight="1">
      <c r="A171" t="inlineStr">
        <is>
          <t>A 63975-2021</t>
        </is>
      </c>
      <c r="B171" s="1" t="n">
        <v>44509</v>
      </c>
      <c r="C171" s="1" t="n">
        <v>45565</v>
      </c>
      <c r="D171" t="inlineStr">
        <is>
          <t>JÄMTLANDS LÄN</t>
        </is>
      </c>
      <c r="E171" t="inlineStr">
        <is>
          <t>ÅRE</t>
        </is>
      </c>
      <c r="G171" t="n">
        <v>2.4</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63975-2021 artfynd.xlsx", "A 63975-2021")</f>
        <v/>
      </c>
      <c r="T171">
        <f>HYPERLINK("https://klasma.github.io/Logging_2321/kartor/A 63975-2021 karta.png", "A 63975-2021")</f>
        <v/>
      </c>
      <c r="V171">
        <f>HYPERLINK("https://klasma.github.io/Logging_2321/klagomål/A 63975-2021 FSC-klagomål.docx", "A 63975-2021")</f>
        <v/>
      </c>
      <c r="W171">
        <f>HYPERLINK("https://klasma.github.io/Logging_2321/klagomålsmail/A 63975-2021 FSC-klagomål mail.docx", "A 63975-2021")</f>
        <v/>
      </c>
      <c r="X171">
        <f>HYPERLINK("https://klasma.github.io/Logging_2321/tillsyn/A 63975-2021 tillsynsbegäran.docx", "A 63975-2021")</f>
        <v/>
      </c>
      <c r="Y171">
        <f>HYPERLINK("https://klasma.github.io/Logging_2321/tillsynsmail/A 63975-2021 tillsynsbegäran mail.docx", "A 63975-2021")</f>
        <v/>
      </c>
    </row>
    <row r="172" ht="15" customHeight="1">
      <c r="A172" t="inlineStr">
        <is>
          <t>A 74392-2021</t>
        </is>
      </c>
      <c r="B172" s="1" t="n">
        <v>44559</v>
      </c>
      <c r="C172" s="1" t="n">
        <v>45565</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12242-2022</t>
        </is>
      </c>
      <c r="B173" s="1" t="n">
        <v>44637</v>
      </c>
      <c r="C173" s="1" t="n">
        <v>45565</v>
      </c>
      <c r="D173" t="inlineStr">
        <is>
          <t>JÄMTLANDS LÄN</t>
        </is>
      </c>
      <c r="E173" t="inlineStr">
        <is>
          <t>ÅRE</t>
        </is>
      </c>
      <c r="G173" t="n">
        <v>53.4</v>
      </c>
      <c r="H173" t="n">
        <v>0</v>
      </c>
      <c r="I173" t="n">
        <v>0</v>
      </c>
      <c r="J173" t="n">
        <v>1</v>
      </c>
      <c r="K173" t="n">
        <v>0</v>
      </c>
      <c r="L173" t="n">
        <v>0</v>
      </c>
      <c r="M173" t="n">
        <v>0</v>
      </c>
      <c r="N173" t="n">
        <v>0</v>
      </c>
      <c r="O173" t="n">
        <v>1</v>
      </c>
      <c r="P173" t="n">
        <v>0</v>
      </c>
      <c r="Q173" t="n">
        <v>1</v>
      </c>
      <c r="R173" s="2" t="inlineStr">
        <is>
          <t>Granticka</t>
        </is>
      </c>
      <c r="S173">
        <f>HYPERLINK("https://klasma.github.io/Logging_2321/artfynd/A 12242-2022 artfynd.xlsx", "A 12242-2022")</f>
        <v/>
      </c>
      <c r="T173">
        <f>HYPERLINK("https://klasma.github.io/Logging_2321/kartor/A 12242-2022 karta.png", "A 12242-2022")</f>
        <v/>
      </c>
      <c r="V173">
        <f>HYPERLINK("https://klasma.github.io/Logging_2321/klagomål/A 12242-2022 FSC-klagomål.docx", "A 12242-2022")</f>
        <v/>
      </c>
      <c r="W173">
        <f>HYPERLINK("https://klasma.github.io/Logging_2321/klagomålsmail/A 12242-2022 FSC-klagomål mail.docx", "A 12242-2022")</f>
        <v/>
      </c>
      <c r="X173">
        <f>HYPERLINK("https://klasma.github.io/Logging_2321/tillsyn/A 12242-2022 tillsynsbegäran.docx", "A 12242-2022")</f>
        <v/>
      </c>
      <c r="Y173">
        <f>HYPERLINK("https://klasma.github.io/Logging_2321/tillsynsmail/A 12242-2022 tillsynsbegäran mail.docx", "A 12242-2022")</f>
        <v/>
      </c>
    </row>
    <row r="174" ht="15" customHeight="1">
      <c r="A174" t="inlineStr">
        <is>
          <t>A 17692-2022</t>
        </is>
      </c>
      <c r="B174" s="1" t="n">
        <v>44680</v>
      </c>
      <c r="C174" s="1" t="n">
        <v>45565</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18851-2022</t>
        </is>
      </c>
      <c r="B175" s="1" t="n">
        <v>44690</v>
      </c>
      <c r="C175" s="1" t="n">
        <v>45565</v>
      </c>
      <c r="D175" t="inlineStr">
        <is>
          <t>JÄMTLANDS LÄN</t>
        </is>
      </c>
      <c r="E175" t="inlineStr">
        <is>
          <t>ÅRE</t>
        </is>
      </c>
      <c r="G175" t="n">
        <v>10.4</v>
      </c>
      <c r="H175" t="n">
        <v>0</v>
      </c>
      <c r="I175" t="n">
        <v>0</v>
      </c>
      <c r="J175" t="n">
        <v>1</v>
      </c>
      <c r="K175" t="n">
        <v>0</v>
      </c>
      <c r="L175" t="n">
        <v>0</v>
      </c>
      <c r="M175" t="n">
        <v>0</v>
      </c>
      <c r="N175" t="n">
        <v>0</v>
      </c>
      <c r="O175" t="n">
        <v>1</v>
      </c>
      <c r="P175" t="n">
        <v>0</v>
      </c>
      <c r="Q175" t="n">
        <v>1</v>
      </c>
      <c r="R175" s="2" t="inlineStr">
        <is>
          <t>Garnlav</t>
        </is>
      </c>
      <c r="S175">
        <f>HYPERLINK("https://klasma.github.io/Logging_2321/artfynd/A 18851-2022 artfynd.xlsx", "A 18851-2022")</f>
        <v/>
      </c>
      <c r="T175">
        <f>HYPERLINK("https://klasma.github.io/Logging_2321/kartor/A 18851-2022 karta.png", "A 18851-2022")</f>
        <v/>
      </c>
      <c r="V175">
        <f>HYPERLINK("https://klasma.github.io/Logging_2321/klagomål/A 18851-2022 FSC-klagomål.docx", "A 18851-2022")</f>
        <v/>
      </c>
      <c r="W175">
        <f>HYPERLINK("https://klasma.github.io/Logging_2321/klagomålsmail/A 18851-2022 FSC-klagomål mail.docx", "A 18851-2022")</f>
        <v/>
      </c>
      <c r="X175">
        <f>HYPERLINK("https://klasma.github.io/Logging_2321/tillsyn/A 18851-2022 tillsynsbegäran.docx", "A 18851-2022")</f>
        <v/>
      </c>
      <c r="Y175">
        <f>HYPERLINK("https://klasma.github.io/Logging_2321/tillsynsmail/A 18851-2022 tillsynsbegäran mail.docx", "A 18851-2022")</f>
        <v/>
      </c>
    </row>
    <row r="176" ht="15" customHeight="1">
      <c r="A176" t="inlineStr">
        <is>
          <t>A 32216-2022</t>
        </is>
      </c>
      <c r="B176" s="1" t="n">
        <v>44781</v>
      </c>
      <c r="C176" s="1" t="n">
        <v>45565</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40614-2022</t>
        </is>
      </c>
      <c r="B177" s="1" t="n">
        <v>44824</v>
      </c>
      <c r="C177" s="1" t="n">
        <v>45565</v>
      </c>
      <c r="D177" t="inlineStr">
        <is>
          <t>JÄMTLANDS LÄN</t>
        </is>
      </c>
      <c r="E177" t="inlineStr">
        <is>
          <t>ÅRE</t>
        </is>
      </c>
      <c r="F177" t="inlineStr">
        <is>
          <t>Övriga Aktiebolag</t>
        </is>
      </c>
      <c r="G177" t="n">
        <v>23.2</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40614-2022 artfynd.xlsx", "A 40614-2022")</f>
        <v/>
      </c>
      <c r="T177">
        <f>HYPERLINK("https://klasma.github.io/Logging_2321/kartor/A 40614-2022 karta.png", "A 40614-2022")</f>
        <v/>
      </c>
      <c r="V177">
        <f>HYPERLINK("https://klasma.github.io/Logging_2321/klagomål/A 40614-2022 FSC-klagomål.docx", "A 40614-2022")</f>
        <v/>
      </c>
      <c r="W177">
        <f>HYPERLINK("https://klasma.github.io/Logging_2321/klagomålsmail/A 40614-2022 FSC-klagomål mail.docx", "A 40614-2022")</f>
        <v/>
      </c>
      <c r="X177">
        <f>HYPERLINK("https://klasma.github.io/Logging_2321/tillsyn/A 40614-2022 tillsynsbegäran.docx", "A 40614-2022")</f>
        <v/>
      </c>
      <c r="Y177">
        <f>HYPERLINK("https://klasma.github.io/Logging_2321/tillsynsmail/A 40614-2022 tillsynsbegäran mail.docx", "A 40614-2022")</f>
        <v/>
      </c>
      <c r="Z177">
        <f>HYPERLINK("https://klasma.github.io/Logging_2321/fåglar/A 40614-2022 prioriterade fågelarter.docx", "A 40614-2022")</f>
        <v/>
      </c>
    </row>
    <row r="178" ht="15" customHeight="1">
      <c r="A178" t="inlineStr">
        <is>
          <t>A 55194-2022</t>
        </is>
      </c>
      <c r="B178" s="1" t="n">
        <v>44886</v>
      </c>
      <c r="C178" s="1" t="n">
        <v>45565</v>
      </c>
      <c r="D178" t="inlineStr">
        <is>
          <t>JÄMTLANDS LÄN</t>
        </is>
      </c>
      <c r="E178" t="inlineStr">
        <is>
          <t>ÅRE</t>
        </is>
      </c>
      <c r="F178" t="inlineStr">
        <is>
          <t>Övriga Aktiebolag</t>
        </is>
      </c>
      <c r="G178" t="n">
        <v>1.7</v>
      </c>
      <c r="H178" t="n">
        <v>0</v>
      </c>
      <c r="I178" t="n">
        <v>0</v>
      </c>
      <c r="J178" t="n">
        <v>1</v>
      </c>
      <c r="K178" t="n">
        <v>0</v>
      </c>
      <c r="L178" t="n">
        <v>0</v>
      </c>
      <c r="M178" t="n">
        <v>0</v>
      </c>
      <c r="N178" t="n">
        <v>0</v>
      </c>
      <c r="O178" t="n">
        <v>1</v>
      </c>
      <c r="P178" t="n">
        <v>0</v>
      </c>
      <c r="Q178" t="n">
        <v>1</v>
      </c>
      <c r="R178" s="2" t="inlineStr">
        <is>
          <t>Vitskaftad svartspik</t>
        </is>
      </c>
      <c r="S178">
        <f>HYPERLINK("https://klasma.github.io/Logging_2321/artfynd/A 55194-2022 artfynd.xlsx", "A 55194-2022")</f>
        <v/>
      </c>
      <c r="T178">
        <f>HYPERLINK("https://klasma.github.io/Logging_2321/kartor/A 55194-2022 karta.png", "A 55194-2022")</f>
        <v/>
      </c>
      <c r="V178">
        <f>HYPERLINK("https://klasma.github.io/Logging_2321/klagomål/A 55194-2022 FSC-klagomål.docx", "A 55194-2022")</f>
        <v/>
      </c>
      <c r="W178">
        <f>HYPERLINK("https://klasma.github.io/Logging_2321/klagomålsmail/A 55194-2022 FSC-klagomål mail.docx", "A 55194-2022")</f>
        <v/>
      </c>
      <c r="X178">
        <f>HYPERLINK("https://klasma.github.io/Logging_2321/tillsyn/A 55194-2022 tillsynsbegäran.docx", "A 55194-2022")</f>
        <v/>
      </c>
      <c r="Y178">
        <f>HYPERLINK("https://klasma.github.io/Logging_2321/tillsynsmail/A 55194-2022 tillsynsbegäran mail.docx", "A 55194-2022")</f>
        <v/>
      </c>
    </row>
    <row r="179" ht="15" customHeight="1">
      <c r="A179" t="inlineStr">
        <is>
          <t>A 55805-2022</t>
        </is>
      </c>
      <c r="B179" s="1" t="n">
        <v>44888</v>
      </c>
      <c r="C179" s="1" t="n">
        <v>45565</v>
      </c>
      <c r="D179" t="inlineStr">
        <is>
          <t>JÄMTLANDS LÄN</t>
        </is>
      </c>
      <c r="E179" t="inlineStr">
        <is>
          <t>ÅRE</t>
        </is>
      </c>
      <c r="F179" t="inlineStr">
        <is>
          <t>Övriga Aktiebolag</t>
        </is>
      </c>
      <c r="G179" t="n">
        <v>17.7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55805-2022 artfynd.xlsx", "A 55805-2022")</f>
        <v/>
      </c>
      <c r="T179">
        <f>HYPERLINK("https://klasma.github.io/Logging_2321/kartor/A 55805-2022 karta.png", "A 55805-2022")</f>
        <v/>
      </c>
      <c r="V179">
        <f>HYPERLINK("https://klasma.github.io/Logging_2321/klagomål/A 55805-2022 FSC-klagomål.docx", "A 55805-2022")</f>
        <v/>
      </c>
      <c r="W179">
        <f>HYPERLINK("https://klasma.github.io/Logging_2321/klagomålsmail/A 55805-2022 FSC-klagomål mail.docx", "A 55805-2022")</f>
        <v/>
      </c>
      <c r="X179">
        <f>HYPERLINK("https://klasma.github.io/Logging_2321/tillsyn/A 55805-2022 tillsynsbegäran.docx", "A 55805-2022")</f>
        <v/>
      </c>
      <c r="Y179">
        <f>HYPERLINK("https://klasma.github.io/Logging_2321/tillsynsmail/A 55805-2022 tillsynsbegäran mail.docx", "A 55805-2022")</f>
        <v/>
      </c>
      <c r="Z179">
        <f>HYPERLINK("https://klasma.github.io/Logging_2321/fåglar/A 55805-2022 prioriterade fågelarter.docx", "A 55805-2022")</f>
        <v/>
      </c>
    </row>
    <row r="180" ht="15" customHeight="1">
      <c r="A180" t="inlineStr">
        <is>
          <t>A 56493-2022</t>
        </is>
      </c>
      <c r="B180" s="1" t="n">
        <v>44893</v>
      </c>
      <c r="C180" s="1" t="n">
        <v>45565</v>
      </c>
      <c r="D180" t="inlineStr">
        <is>
          <t>JÄMTLANDS LÄN</t>
        </is>
      </c>
      <c r="E180" t="inlineStr">
        <is>
          <t>ÅRE</t>
        </is>
      </c>
      <c r="F180" t="inlineStr">
        <is>
          <t>Övriga Aktiebolag</t>
        </is>
      </c>
      <c r="G180" t="n">
        <v>3</v>
      </c>
      <c r="H180" t="n">
        <v>0</v>
      </c>
      <c r="I180" t="n">
        <v>0</v>
      </c>
      <c r="J180" t="n">
        <v>1</v>
      </c>
      <c r="K180" t="n">
        <v>0</v>
      </c>
      <c r="L180" t="n">
        <v>0</v>
      </c>
      <c r="M180" t="n">
        <v>0</v>
      </c>
      <c r="N180" t="n">
        <v>0</v>
      </c>
      <c r="O180" t="n">
        <v>1</v>
      </c>
      <c r="P180" t="n">
        <v>0</v>
      </c>
      <c r="Q180" t="n">
        <v>1</v>
      </c>
      <c r="R180" s="2" t="inlineStr">
        <is>
          <t>Garnlav</t>
        </is>
      </c>
      <c r="S180">
        <f>HYPERLINK("https://klasma.github.io/Logging_2321/artfynd/A 56493-2022 artfynd.xlsx", "A 56493-2022")</f>
        <v/>
      </c>
      <c r="T180">
        <f>HYPERLINK("https://klasma.github.io/Logging_2321/kartor/A 56493-2022 karta.png", "A 56493-2022")</f>
        <v/>
      </c>
      <c r="V180">
        <f>HYPERLINK("https://klasma.github.io/Logging_2321/klagomål/A 56493-2022 FSC-klagomål.docx", "A 56493-2022")</f>
        <v/>
      </c>
      <c r="W180">
        <f>HYPERLINK("https://klasma.github.io/Logging_2321/klagomålsmail/A 56493-2022 FSC-klagomål mail.docx", "A 56493-2022")</f>
        <v/>
      </c>
      <c r="X180">
        <f>HYPERLINK("https://klasma.github.io/Logging_2321/tillsyn/A 56493-2022 tillsynsbegäran.docx", "A 56493-2022")</f>
        <v/>
      </c>
      <c r="Y180">
        <f>HYPERLINK("https://klasma.github.io/Logging_2321/tillsynsmail/A 56493-2022 tillsynsbegäran mail.docx", "A 56493-2022")</f>
        <v/>
      </c>
    </row>
    <row r="181" ht="15" customHeight="1">
      <c r="A181" t="inlineStr">
        <is>
          <t>A 56603-2022</t>
        </is>
      </c>
      <c r="B181" s="1" t="n">
        <v>44893</v>
      </c>
      <c r="C181" s="1" t="n">
        <v>45565</v>
      </c>
      <c r="D181" t="inlineStr">
        <is>
          <t>JÄMTLANDS LÄN</t>
        </is>
      </c>
      <c r="E181" t="inlineStr">
        <is>
          <t>ÅRE</t>
        </is>
      </c>
      <c r="F181" t="inlineStr">
        <is>
          <t>Övriga Aktiebolag</t>
        </is>
      </c>
      <c r="G181" t="n">
        <v>14.3</v>
      </c>
      <c r="H181" t="n">
        <v>1</v>
      </c>
      <c r="I181" t="n">
        <v>0</v>
      </c>
      <c r="J181" t="n">
        <v>1</v>
      </c>
      <c r="K181" t="n">
        <v>0</v>
      </c>
      <c r="L181" t="n">
        <v>0</v>
      </c>
      <c r="M181" t="n">
        <v>0</v>
      </c>
      <c r="N181" t="n">
        <v>0</v>
      </c>
      <c r="O181" t="n">
        <v>1</v>
      </c>
      <c r="P181" t="n">
        <v>0</v>
      </c>
      <c r="Q181" t="n">
        <v>1</v>
      </c>
      <c r="R181" s="2" t="inlineStr">
        <is>
          <t>Talltita</t>
        </is>
      </c>
      <c r="S181">
        <f>HYPERLINK("https://klasma.github.io/Logging_2321/artfynd/A 56603-2022 artfynd.xlsx", "A 56603-2022")</f>
        <v/>
      </c>
      <c r="T181">
        <f>HYPERLINK("https://klasma.github.io/Logging_2321/kartor/A 56603-2022 karta.png", "A 56603-2022")</f>
        <v/>
      </c>
      <c r="V181">
        <f>HYPERLINK("https://klasma.github.io/Logging_2321/klagomål/A 56603-2022 FSC-klagomål.docx", "A 56603-2022")</f>
        <v/>
      </c>
      <c r="W181">
        <f>HYPERLINK("https://klasma.github.io/Logging_2321/klagomålsmail/A 56603-2022 FSC-klagomål mail.docx", "A 56603-2022")</f>
        <v/>
      </c>
      <c r="X181">
        <f>HYPERLINK("https://klasma.github.io/Logging_2321/tillsyn/A 56603-2022 tillsynsbegäran.docx", "A 56603-2022")</f>
        <v/>
      </c>
      <c r="Y181">
        <f>HYPERLINK("https://klasma.github.io/Logging_2321/tillsynsmail/A 56603-2022 tillsynsbegäran mail.docx", "A 56603-2022")</f>
        <v/>
      </c>
      <c r="Z181">
        <f>HYPERLINK("https://klasma.github.io/Logging_2321/fåglar/A 56603-2022 prioriterade fågelarter.docx", "A 56603-2022")</f>
        <v/>
      </c>
    </row>
    <row r="182" ht="15" customHeight="1">
      <c r="A182" t="inlineStr">
        <is>
          <t>A 57396-2022</t>
        </is>
      </c>
      <c r="B182" s="1" t="n">
        <v>44896</v>
      </c>
      <c r="C182" s="1" t="n">
        <v>45565</v>
      </c>
      <c r="D182" t="inlineStr">
        <is>
          <t>JÄMTLANDS LÄN</t>
        </is>
      </c>
      <c r="E182" t="inlineStr">
        <is>
          <t>ÅRE</t>
        </is>
      </c>
      <c r="G182" t="n">
        <v>3.1</v>
      </c>
      <c r="H182" t="n">
        <v>0</v>
      </c>
      <c r="I182" t="n">
        <v>0</v>
      </c>
      <c r="J182" t="n">
        <v>1</v>
      </c>
      <c r="K182" t="n">
        <v>0</v>
      </c>
      <c r="L182" t="n">
        <v>0</v>
      </c>
      <c r="M182" t="n">
        <v>0</v>
      </c>
      <c r="N182" t="n">
        <v>0</v>
      </c>
      <c r="O182" t="n">
        <v>1</v>
      </c>
      <c r="P182" t="n">
        <v>0</v>
      </c>
      <c r="Q182" t="n">
        <v>1</v>
      </c>
      <c r="R182" s="2" t="inlineStr">
        <is>
          <t>Granticka</t>
        </is>
      </c>
      <c r="S182">
        <f>HYPERLINK("https://klasma.github.io/Logging_2321/artfynd/A 57396-2022 artfynd.xlsx", "A 57396-2022")</f>
        <v/>
      </c>
      <c r="T182">
        <f>HYPERLINK("https://klasma.github.io/Logging_2321/kartor/A 57396-2022 karta.png", "A 57396-2022")</f>
        <v/>
      </c>
      <c r="V182">
        <f>HYPERLINK("https://klasma.github.io/Logging_2321/klagomål/A 57396-2022 FSC-klagomål.docx", "A 57396-2022")</f>
        <v/>
      </c>
      <c r="W182">
        <f>HYPERLINK("https://klasma.github.io/Logging_2321/klagomålsmail/A 57396-2022 FSC-klagomål mail.docx", "A 57396-2022")</f>
        <v/>
      </c>
      <c r="X182">
        <f>HYPERLINK("https://klasma.github.io/Logging_2321/tillsyn/A 57396-2022 tillsynsbegäran.docx", "A 57396-2022")</f>
        <v/>
      </c>
      <c r="Y182">
        <f>HYPERLINK("https://klasma.github.io/Logging_2321/tillsynsmail/A 57396-2022 tillsynsbegäran mail.docx", "A 57396-2022")</f>
        <v/>
      </c>
    </row>
    <row r="183" ht="15" customHeight="1">
      <c r="A183" t="inlineStr">
        <is>
          <t>A 60544-2022</t>
        </is>
      </c>
      <c r="B183" s="1" t="n">
        <v>44904</v>
      </c>
      <c r="C183" s="1" t="n">
        <v>45565</v>
      </c>
      <c r="D183" t="inlineStr">
        <is>
          <t>JÄMTLANDS LÄN</t>
        </is>
      </c>
      <c r="E183" t="inlineStr">
        <is>
          <t>ÅRE</t>
        </is>
      </c>
      <c r="G183" t="n">
        <v>1.2</v>
      </c>
      <c r="H183" t="n">
        <v>1</v>
      </c>
      <c r="I183" t="n">
        <v>0</v>
      </c>
      <c r="J183" t="n">
        <v>1</v>
      </c>
      <c r="K183" t="n">
        <v>0</v>
      </c>
      <c r="L183" t="n">
        <v>0</v>
      </c>
      <c r="M183" t="n">
        <v>0</v>
      </c>
      <c r="N183" t="n">
        <v>0</v>
      </c>
      <c r="O183" t="n">
        <v>1</v>
      </c>
      <c r="P183" t="n">
        <v>0</v>
      </c>
      <c r="Q183" t="n">
        <v>1</v>
      </c>
      <c r="R183" s="2" t="inlineStr">
        <is>
          <t>Järpe</t>
        </is>
      </c>
      <c r="S183">
        <f>HYPERLINK("https://klasma.github.io/Logging_2321/artfynd/A 60544-2022 artfynd.xlsx", "A 60544-2022")</f>
        <v/>
      </c>
      <c r="T183">
        <f>HYPERLINK("https://klasma.github.io/Logging_2321/kartor/A 60544-2022 karta.png", "A 60544-2022")</f>
        <v/>
      </c>
      <c r="V183">
        <f>HYPERLINK("https://klasma.github.io/Logging_2321/klagomål/A 60544-2022 FSC-klagomål.docx", "A 60544-2022")</f>
        <v/>
      </c>
      <c r="W183">
        <f>HYPERLINK("https://klasma.github.io/Logging_2321/klagomålsmail/A 60544-2022 FSC-klagomål mail.docx", "A 60544-2022")</f>
        <v/>
      </c>
      <c r="X183">
        <f>HYPERLINK("https://klasma.github.io/Logging_2321/tillsyn/A 60544-2022 tillsynsbegäran.docx", "A 60544-2022")</f>
        <v/>
      </c>
      <c r="Y183">
        <f>HYPERLINK("https://klasma.github.io/Logging_2321/tillsynsmail/A 60544-2022 tillsynsbegäran mail.docx", "A 60544-2022")</f>
        <v/>
      </c>
      <c r="Z183">
        <f>HYPERLINK("https://klasma.github.io/Logging_2321/fåglar/A 60544-2022 prioriterade fågelarter.docx", "A 60544-2022")</f>
        <v/>
      </c>
    </row>
    <row r="184" ht="15" customHeight="1">
      <c r="A184" t="inlineStr">
        <is>
          <t>A 60435-2022</t>
        </is>
      </c>
      <c r="B184" s="1" t="n">
        <v>44911</v>
      </c>
      <c r="C184" s="1" t="n">
        <v>45565</v>
      </c>
      <c r="D184" t="inlineStr">
        <is>
          <t>JÄMTLANDS LÄN</t>
        </is>
      </c>
      <c r="E184" t="inlineStr">
        <is>
          <t>ÅRE</t>
        </is>
      </c>
      <c r="F184" t="inlineStr">
        <is>
          <t>Övriga Aktiebolag</t>
        </is>
      </c>
      <c r="G184" t="n">
        <v>7.9</v>
      </c>
      <c r="H184" t="n">
        <v>0</v>
      </c>
      <c r="I184" t="n">
        <v>1</v>
      </c>
      <c r="J184" t="n">
        <v>0</v>
      </c>
      <c r="K184" t="n">
        <v>0</v>
      </c>
      <c r="L184" t="n">
        <v>0</v>
      </c>
      <c r="M184" t="n">
        <v>0</v>
      </c>
      <c r="N184" t="n">
        <v>0</v>
      </c>
      <c r="O184" t="n">
        <v>0</v>
      </c>
      <c r="P184" t="n">
        <v>0</v>
      </c>
      <c r="Q184" t="n">
        <v>1</v>
      </c>
      <c r="R184" s="2" t="inlineStr">
        <is>
          <t>Kransrams</t>
        </is>
      </c>
      <c r="S184">
        <f>HYPERLINK("https://klasma.github.io/Logging_2321/artfynd/A 60435-2022 artfynd.xlsx", "A 60435-2022")</f>
        <v/>
      </c>
      <c r="T184">
        <f>HYPERLINK("https://klasma.github.io/Logging_2321/kartor/A 60435-2022 karta.png", "A 60435-2022")</f>
        <v/>
      </c>
      <c r="V184">
        <f>HYPERLINK("https://klasma.github.io/Logging_2321/klagomål/A 60435-2022 FSC-klagomål.docx", "A 60435-2022")</f>
        <v/>
      </c>
      <c r="W184">
        <f>HYPERLINK("https://klasma.github.io/Logging_2321/klagomålsmail/A 60435-2022 FSC-klagomål mail.docx", "A 60435-2022")</f>
        <v/>
      </c>
      <c r="X184">
        <f>HYPERLINK("https://klasma.github.io/Logging_2321/tillsyn/A 60435-2022 tillsynsbegäran.docx", "A 60435-2022")</f>
        <v/>
      </c>
      <c r="Y184">
        <f>HYPERLINK("https://klasma.github.io/Logging_2321/tillsynsmail/A 60435-2022 tillsynsbegäran mail.docx", "A 60435-2022")</f>
        <v/>
      </c>
    </row>
    <row r="185" ht="15" customHeight="1">
      <c r="A185" t="inlineStr">
        <is>
          <t>A 5480-2023</t>
        </is>
      </c>
      <c r="B185" s="1" t="n">
        <v>44957</v>
      </c>
      <c r="C185" s="1" t="n">
        <v>45565</v>
      </c>
      <c r="D185" t="inlineStr">
        <is>
          <t>JÄMTLANDS LÄN</t>
        </is>
      </c>
      <c r="E185" t="inlineStr">
        <is>
          <t>ÅRE</t>
        </is>
      </c>
      <c r="G185" t="n">
        <v>3.3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5480-2023 artfynd.xlsx", "A 5480-2023")</f>
        <v/>
      </c>
      <c r="T185">
        <f>HYPERLINK("https://klasma.github.io/Logging_2321/kartor/A 5480-2023 karta.png", "A 5480-2023")</f>
        <v/>
      </c>
      <c r="V185">
        <f>HYPERLINK("https://klasma.github.io/Logging_2321/klagomål/A 5480-2023 FSC-klagomål.docx", "A 5480-2023")</f>
        <v/>
      </c>
      <c r="W185">
        <f>HYPERLINK("https://klasma.github.io/Logging_2321/klagomålsmail/A 5480-2023 FSC-klagomål mail.docx", "A 5480-2023")</f>
        <v/>
      </c>
      <c r="X185">
        <f>HYPERLINK("https://klasma.github.io/Logging_2321/tillsyn/A 5480-2023 tillsynsbegäran.docx", "A 5480-2023")</f>
        <v/>
      </c>
      <c r="Y185">
        <f>HYPERLINK("https://klasma.github.io/Logging_2321/tillsynsmail/A 5480-2023 tillsynsbegäran mail.docx", "A 5480-2023")</f>
        <v/>
      </c>
      <c r="Z185">
        <f>HYPERLINK("https://klasma.github.io/Logging_2321/fåglar/A 5480-2023 prioriterade fågelarter.docx", "A 5480-2023")</f>
        <v/>
      </c>
    </row>
    <row r="186" ht="15" customHeight="1">
      <c r="A186" t="inlineStr">
        <is>
          <t>A 5611-2023</t>
        </is>
      </c>
      <c r="B186" s="1" t="n">
        <v>44958</v>
      </c>
      <c r="C186" s="1" t="n">
        <v>45565</v>
      </c>
      <c r="D186" t="inlineStr">
        <is>
          <t>JÄMTLANDS LÄN</t>
        </is>
      </c>
      <c r="E186" t="inlineStr">
        <is>
          <t>ÅRE</t>
        </is>
      </c>
      <c r="G186" t="n">
        <v>10.5</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5611-2023 artfynd.xlsx", "A 5611-2023")</f>
        <v/>
      </c>
      <c r="T186">
        <f>HYPERLINK("https://klasma.github.io/Logging_2321/kartor/A 5611-2023 karta.png", "A 5611-2023")</f>
        <v/>
      </c>
      <c r="V186">
        <f>HYPERLINK("https://klasma.github.io/Logging_2321/klagomål/A 5611-2023 FSC-klagomål.docx", "A 5611-2023")</f>
        <v/>
      </c>
      <c r="W186">
        <f>HYPERLINK("https://klasma.github.io/Logging_2321/klagomålsmail/A 5611-2023 FSC-klagomål mail.docx", "A 5611-2023")</f>
        <v/>
      </c>
      <c r="X186">
        <f>HYPERLINK("https://klasma.github.io/Logging_2321/tillsyn/A 5611-2023 tillsynsbegäran.docx", "A 5611-2023")</f>
        <v/>
      </c>
      <c r="Y186">
        <f>HYPERLINK("https://klasma.github.io/Logging_2321/tillsynsmail/A 5611-2023 tillsynsbegäran mail.docx", "A 5611-2023")</f>
        <v/>
      </c>
      <c r="Z186">
        <f>HYPERLINK("https://klasma.github.io/Logging_2321/fåglar/A 5611-2023 prioriterade fågelarter.docx", "A 5611-2023")</f>
        <v/>
      </c>
    </row>
    <row r="187" ht="15" customHeight="1">
      <c r="A187" t="inlineStr">
        <is>
          <t>A 10632-2023</t>
        </is>
      </c>
      <c r="B187" s="1" t="n">
        <v>44984</v>
      </c>
      <c r="C187" s="1" t="n">
        <v>45565</v>
      </c>
      <c r="D187" t="inlineStr">
        <is>
          <t>JÄMTLANDS LÄN</t>
        </is>
      </c>
      <c r="E187" t="inlineStr">
        <is>
          <t>ÅRE</t>
        </is>
      </c>
      <c r="G187" t="n">
        <v>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10632-2023 artfynd.xlsx", "A 10632-2023")</f>
        <v/>
      </c>
      <c r="T187">
        <f>HYPERLINK("https://klasma.github.io/Logging_2321/kartor/A 10632-2023 karta.png", "A 10632-2023")</f>
        <v/>
      </c>
      <c r="V187">
        <f>HYPERLINK("https://klasma.github.io/Logging_2321/klagomål/A 10632-2023 FSC-klagomål.docx", "A 10632-2023")</f>
        <v/>
      </c>
      <c r="W187">
        <f>HYPERLINK("https://klasma.github.io/Logging_2321/klagomålsmail/A 10632-2023 FSC-klagomål mail.docx", "A 10632-2023")</f>
        <v/>
      </c>
      <c r="X187">
        <f>HYPERLINK("https://klasma.github.io/Logging_2321/tillsyn/A 10632-2023 tillsynsbegäran.docx", "A 10632-2023")</f>
        <v/>
      </c>
      <c r="Y187">
        <f>HYPERLINK("https://klasma.github.io/Logging_2321/tillsynsmail/A 10632-2023 tillsynsbegäran mail.docx", "A 10632-2023")</f>
        <v/>
      </c>
      <c r="Z187">
        <f>HYPERLINK("https://klasma.github.io/Logging_2321/fåglar/A 10632-2023 prioriterade fågelarter.docx", "A 10632-2023")</f>
        <v/>
      </c>
    </row>
    <row r="188" ht="15" customHeight="1">
      <c r="A188" t="inlineStr">
        <is>
          <t>A 41405-2023</t>
        </is>
      </c>
      <c r="B188" s="1" t="n">
        <v>45174</v>
      </c>
      <c r="C188" s="1" t="n">
        <v>45565</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Ögonpyrola</t>
        </is>
      </c>
      <c r="S188">
        <f>HYPERLINK("https://klasma.github.io/Logging_2321/artfynd/A 41405-2023 artfynd.xlsx", "A 41405-2023")</f>
        <v/>
      </c>
      <c r="T188">
        <f>HYPERLINK("https://klasma.github.io/Logging_2321/kartor/A 41405-2023 karta.png", "A 41405-2023")</f>
        <v/>
      </c>
      <c r="V188">
        <f>HYPERLINK("https://klasma.github.io/Logging_2321/klagomål/A 41405-2023 FSC-klagomål.docx", "A 41405-2023")</f>
        <v/>
      </c>
      <c r="W188">
        <f>HYPERLINK("https://klasma.github.io/Logging_2321/klagomålsmail/A 41405-2023 FSC-klagomål mail.docx", "A 41405-2023")</f>
        <v/>
      </c>
      <c r="X188">
        <f>HYPERLINK("https://klasma.github.io/Logging_2321/tillsyn/A 41405-2023 tillsynsbegäran.docx", "A 41405-2023")</f>
        <v/>
      </c>
      <c r="Y188">
        <f>HYPERLINK("https://klasma.github.io/Logging_2321/tillsynsmail/A 41405-2023 tillsynsbegäran mail.docx", "A 41405-2023")</f>
        <v/>
      </c>
    </row>
    <row r="189" ht="15" customHeight="1">
      <c r="A189" t="inlineStr">
        <is>
          <t>A 55105-2023</t>
        </is>
      </c>
      <c r="B189" s="1" t="n">
        <v>45237</v>
      </c>
      <c r="C189" s="1" t="n">
        <v>45565</v>
      </c>
      <c r="D189" t="inlineStr">
        <is>
          <t>JÄMTLANDS LÄN</t>
        </is>
      </c>
      <c r="E189" t="inlineStr">
        <is>
          <t>ÅRE</t>
        </is>
      </c>
      <c r="G189" t="n">
        <v>15.8</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55105-2023 artfynd.xlsx", "A 55105-2023")</f>
        <v/>
      </c>
      <c r="T189">
        <f>HYPERLINK("https://klasma.github.io/Logging_2321/kartor/A 55105-2023 karta.png", "A 55105-2023")</f>
        <v/>
      </c>
      <c r="V189">
        <f>HYPERLINK("https://klasma.github.io/Logging_2321/klagomål/A 55105-2023 FSC-klagomål.docx", "A 55105-2023")</f>
        <v/>
      </c>
      <c r="W189">
        <f>HYPERLINK("https://klasma.github.io/Logging_2321/klagomålsmail/A 55105-2023 FSC-klagomål mail.docx", "A 55105-2023")</f>
        <v/>
      </c>
      <c r="X189">
        <f>HYPERLINK("https://klasma.github.io/Logging_2321/tillsyn/A 55105-2023 tillsynsbegäran.docx", "A 55105-2023")</f>
        <v/>
      </c>
      <c r="Y189">
        <f>HYPERLINK("https://klasma.github.io/Logging_2321/tillsynsmail/A 55105-2023 tillsynsbegäran mail.docx", "A 55105-2023")</f>
        <v/>
      </c>
      <c r="Z189">
        <f>HYPERLINK("https://klasma.github.io/Logging_2321/fåglar/A 55105-2023 prioriterade fågelarter.docx", "A 55105-2023")</f>
        <v/>
      </c>
    </row>
    <row r="190" ht="15" customHeight="1">
      <c r="A190" t="inlineStr">
        <is>
          <t>A 59402-2023</t>
        </is>
      </c>
      <c r="B190" s="1" t="n">
        <v>45253</v>
      </c>
      <c r="C190" s="1" t="n">
        <v>45565</v>
      </c>
      <c r="D190" t="inlineStr">
        <is>
          <t>JÄMTLANDS LÄN</t>
        </is>
      </c>
      <c r="E190" t="inlineStr">
        <is>
          <t>ÅRE</t>
        </is>
      </c>
      <c r="G190" t="n">
        <v>2.3</v>
      </c>
      <c r="H190" t="n">
        <v>0</v>
      </c>
      <c r="I190" t="n">
        <v>0</v>
      </c>
      <c r="J190" t="n">
        <v>1</v>
      </c>
      <c r="K190" t="n">
        <v>0</v>
      </c>
      <c r="L190" t="n">
        <v>0</v>
      </c>
      <c r="M190" t="n">
        <v>0</v>
      </c>
      <c r="N190" t="n">
        <v>0</v>
      </c>
      <c r="O190" t="n">
        <v>1</v>
      </c>
      <c r="P190" t="n">
        <v>0</v>
      </c>
      <c r="Q190" t="n">
        <v>1</v>
      </c>
      <c r="R190" s="2" t="inlineStr">
        <is>
          <t>Garnlav</t>
        </is>
      </c>
      <c r="S190">
        <f>HYPERLINK("https://klasma.github.io/Logging_2321/artfynd/A 59402-2023 artfynd.xlsx", "A 59402-2023")</f>
        <v/>
      </c>
      <c r="T190">
        <f>HYPERLINK("https://klasma.github.io/Logging_2321/kartor/A 59402-2023 karta.png", "A 59402-2023")</f>
        <v/>
      </c>
      <c r="V190">
        <f>HYPERLINK("https://klasma.github.io/Logging_2321/klagomål/A 59402-2023 FSC-klagomål.docx", "A 59402-2023")</f>
        <v/>
      </c>
      <c r="W190">
        <f>HYPERLINK("https://klasma.github.io/Logging_2321/klagomålsmail/A 59402-2023 FSC-klagomål mail.docx", "A 59402-2023")</f>
        <v/>
      </c>
      <c r="X190">
        <f>HYPERLINK("https://klasma.github.io/Logging_2321/tillsyn/A 59402-2023 tillsynsbegäran.docx", "A 59402-2023")</f>
        <v/>
      </c>
      <c r="Y190">
        <f>HYPERLINK("https://klasma.github.io/Logging_2321/tillsynsmail/A 59402-2023 tillsynsbegäran mail.docx", "A 59402-2023")</f>
        <v/>
      </c>
    </row>
    <row r="191" ht="15" customHeight="1">
      <c r="A191" t="inlineStr">
        <is>
          <t>A 61471-2023</t>
        </is>
      </c>
      <c r="B191" s="1" t="n">
        <v>45264</v>
      </c>
      <c r="C191" s="1" t="n">
        <v>45565</v>
      </c>
      <c r="D191" t="inlineStr">
        <is>
          <t>JÄMTLANDS LÄN</t>
        </is>
      </c>
      <c r="E191" t="inlineStr">
        <is>
          <t>ÅRE</t>
        </is>
      </c>
      <c r="G191" t="n">
        <v>1</v>
      </c>
      <c r="H191" t="n">
        <v>0</v>
      </c>
      <c r="I191" t="n">
        <v>0</v>
      </c>
      <c r="J191" t="n">
        <v>1</v>
      </c>
      <c r="K191" t="n">
        <v>0</v>
      </c>
      <c r="L191" t="n">
        <v>0</v>
      </c>
      <c r="M191" t="n">
        <v>0</v>
      </c>
      <c r="N191" t="n">
        <v>0</v>
      </c>
      <c r="O191" t="n">
        <v>1</v>
      </c>
      <c r="P191" t="n">
        <v>0</v>
      </c>
      <c r="Q191" t="n">
        <v>1</v>
      </c>
      <c r="R191" s="2" t="inlineStr">
        <is>
          <t>Skrovellav</t>
        </is>
      </c>
      <c r="S191">
        <f>HYPERLINK("https://klasma.github.io/Logging_2321/artfynd/A 61471-2023 artfynd.xlsx", "A 61471-2023")</f>
        <v/>
      </c>
      <c r="T191">
        <f>HYPERLINK("https://klasma.github.io/Logging_2321/kartor/A 61471-2023 karta.png", "A 61471-2023")</f>
        <v/>
      </c>
      <c r="V191">
        <f>HYPERLINK("https://klasma.github.io/Logging_2321/klagomål/A 61471-2023 FSC-klagomål.docx", "A 61471-2023")</f>
        <v/>
      </c>
      <c r="W191">
        <f>HYPERLINK("https://klasma.github.io/Logging_2321/klagomålsmail/A 61471-2023 FSC-klagomål mail.docx", "A 61471-2023")</f>
        <v/>
      </c>
      <c r="X191">
        <f>HYPERLINK("https://klasma.github.io/Logging_2321/tillsyn/A 61471-2023 tillsynsbegäran.docx", "A 61471-2023")</f>
        <v/>
      </c>
      <c r="Y191">
        <f>HYPERLINK("https://klasma.github.io/Logging_2321/tillsynsmail/A 61471-2023 tillsynsbegäran mail.docx", "A 61471-2023")</f>
        <v/>
      </c>
    </row>
    <row r="192" ht="15" customHeight="1">
      <c r="A192" t="inlineStr">
        <is>
          <t>A 61828-2023</t>
        </is>
      </c>
      <c r="B192" s="1" t="n">
        <v>45264</v>
      </c>
      <c r="C192" s="1" t="n">
        <v>45565</v>
      </c>
      <c r="D192" t="inlineStr">
        <is>
          <t>JÄMTLANDS LÄN</t>
        </is>
      </c>
      <c r="E192" t="inlineStr">
        <is>
          <t>ÅRE</t>
        </is>
      </c>
      <c r="F192" t="inlineStr">
        <is>
          <t>Övriga Aktiebolag</t>
        </is>
      </c>
      <c r="G192" t="n">
        <v>6.2</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61828-2023 artfynd.xlsx", "A 61828-2023")</f>
        <v/>
      </c>
      <c r="T192">
        <f>HYPERLINK("https://klasma.github.io/Logging_2321/kartor/A 61828-2023 karta.png", "A 61828-2023")</f>
        <v/>
      </c>
      <c r="V192">
        <f>HYPERLINK("https://klasma.github.io/Logging_2321/klagomål/A 61828-2023 FSC-klagomål.docx", "A 61828-2023")</f>
        <v/>
      </c>
      <c r="W192">
        <f>HYPERLINK("https://klasma.github.io/Logging_2321/klagomålsmail/A 61828-2023 FSC-klagomål mail.docx", "A 61828-2023")</f>
        <v/>
      </c>
      <c r="X192">
        <f>HYPERLINK("https://klasma.github.io/Logging_2321/tillsyn/A 61828-2023 tillsynsbegäran.docx", "A 61828-2023")</f>
        <v/>
      </c>
      <c r="Y192">
        <f>HYPERLINK("https://klasma.github.io/Logging_2321/tillsynsmail/A 61828-2023 tillsynsbegäran mail.docx", "A 61828-2023")</f>
        <v/>
      </c>
      <c r="Z192">
        <f>HYPERLINK("https://klasma.github.io/Logging_2321/fåglar/A 61828-2023 prioriterade fågelarter.docx", "A 61828-2023")</f>
        <v/>
      </c>
    </row>
    <row r="193" ht="15" customHeight="1">
      <c r="A193" t="inlineStr">
        <is>
          <t>A 64026-2023</t>
        </is>
      </c>
      <c r="B193" s="1" t="n">
        <v>45278</v>
      </c>
      <c r="C193" s="1" t="n">
        <v>45565</v>
      </c>
      <c r="D193" t="inlineStr">
        <is>
          <t>JÄMTLANDS LÄN</t>
        </is>
      </c>
      <c r="E193" t="inlineStr">
        <is>
          <t>ÅRE</t>
        </is>
      </c>
      <c r="F193" t="inlineStr">
        <is>
          <t>Övriga Aktiebolag</t>
        </is>
      </c>
      <c r="G193" t="n">
        <v>9.800000000000001</v>
      </c>
      <c r="H193" t="n">
        <v>0</v>
      </c>
      <c r="I193" t="n">
        <v>1</v>
      </c>
      <c r="J193" t="n">
        <v>0</v>
      </c>
      <c r="K193" t="n">
        <v>0</v>
      </c>
      <c r="L193" t="n">
        <v>0</v>
      </c>
      <c r="M193" t="n">
        <v>0</v>
      </c>
      <c r="N193" t="n">
        <v>0</v>
      </c>
      <c r="O193" t="n">
        <v>0</v>
      </c>
      <c r="P193" t="n">
        <v>0</v>
      </c>
      <c r="Q193" t="n">
        <v>1</v>
      </c>
      <c r="R193" s="2" t="inlineStr">
        <is>
          <t>Svavelriska</t>
        </is>
      </c>
      <c r="S193">
        <f>HYPERLINK("https://klasma.github.io/Logging_2321/artfynd/A 64026-2023 artfynd.xlsx", "A 64026-2023")</f>
        <v/>
      </c>
      <c r="T193">
        <f>HYPERLINK("https://klasma.github.io/Logging_2321/kartor/A 64026-2023 karta.png", "A 64026-2023")</f>
        <v/>
      </c>
      <c r="V193">
        <f>HYPERLINK("https://klasma.github.io/Logging_2321/klagomål/A 64026-2023 FSC-klagomål.docx", "A 64026-2023")</f>
        <v/>
      </c>
      <c r="W193">
        <f>HYPERLINK("https://klasma.github.io/Logging_2321/klagomålsmail/A 64026-2023 FSC-klagomål mail.docx", "A 64026-2023")</f>
        <v/>
      </c>
      <c r="X193">
        <f>HYPERLINK("https://klasma.github.io/Logging_2321/tillsyn/A 64026-2023 tillsynsbegäran.docx", "A 64026-2023")</f>
        <v/>
      </c>
      <c r="Y193">
        <f>HYPERLINK("https://klasma.github.io/Logging_2321/tillsynsmail/A 64026-2023 tillsynsbegäran mail.docx", "A 64026-2023")</f>
        <v/>
      </c>
    </row>
    <row r="194" ht="15" customHeight="1">
      <c r="A194" t="inlineStr">
        <is>
          <t>A 8131-2024</t>
        </is>
      </c>
      <c r="B194" s="1" t="n">
        <v>45351</v>
      </c>
      <c r="C194" s="1" t="n">
        <v>45565</v>
      </c>
      <c r="D194" t="inlineStr">
        <is>
          <t>JÄMTLANDS LÄN</t>
        </is>
      </c>
      <c r="E194" t="inlineStr">
        <is>
          <t>ÅRE</t>
        </is>
      </c>
      <c r="F194" t="inlineStr">
        <is>
          <t>Övriga Aktiebolag</t>
        </is>
      </c>
      <c r="G194" t="n">
        <v>3.1</v>
      </c>
      <c r="H194" t="n">
        <v>0</v>
      </c>
      <c r="I194" t="n">
        <v>0</v>
      </c>
      <c r="J194" t="n">
        <v>0</v>
      </c>
      <c r="K194" t="n">
        <v>1</v>
      </c>
      <c r="L194" t="n">
        <v>0</v>
      </c>
      <c r="M194" t="n">
        <v>0</v>
      </c>
      <c r="N194" t="n">
        <v>0</v>
      </c>
      <c r="O194" t="n">
        <v>1</v>
      </c>
      <c r="P194" t="n">
        <v>1</v>
      </c>
      <c r="Q194" t="n">
        <v>1</v>
      </c>
      <c r="R194" s="2" t="inlineStr">
        <is>
          <t>Gräddporing</t>
        </is>
      </c>
      <c r="S194">
        <f>HYPERLINK("https://klasma.github.io/Logging_2321/artfynd/A 8131-2024 artfynd.xlsx", "A 8131-2024")</f>
        <v/>
      </c>
      <c r="T194">
        <f>HYPERLINK("https://klasma.github.io/Logging_2321/kartor/A 8131-2024 karta.png", "A 8131-2024")</f>
        <v/>
      </c>
      <c r="V194">
        <f>HYPERLINK("https://klasma.github.io/Logging_2321/klagomål/A 8131-2024 FSC-klagomål.docx", "A 8131-2024")</f>
        <v/>
      </c>
      <c r="W194">
        <f>HYPERLINK("https://klasma.github.io/Logging_2321/klagomålsmail/A 8131-2024 FSC-klagomål mail.docx", "A 8131-2024")</f>
        <v/>
      </c>
      <c r="X194">
        <f>HYPERLINK("https://klasma.github.io/Logging_2321/tillsyn/A 8131-2024 tillsynsbegäran.docx", "A 8131-2024")</f>
        <v/>
      </c>
      <c r="Y194">
        <f>HYPERLINK("https://klasma.github.io/Logging_2321/tillsynsmail/A 8131-2024 tillsynsbegäran mail.docx", "A 8131-2024")</f>
        <v/>
      </c>
    </row>
    <row r="195" ht="15" customHeight="1">
      <c r="A195" t="inlineStr">
        <is>
          <t>A 17636-2024</t>
        </is>
      </c>
      <c r="B195" s="1" t="n">
        <v>45418</v>
      </c>
      <c r="C195" s="1" t="n">
        <v>45565</v>
      </c>
      <c r="D195" t="inlineStr">
        <is>
          <t>JÄMTLANDS LÄN</t>
        </is>
      </c>
      <c r="E195" t="inlineStr">
        <is>
          <t>ÅRE</t>
        </is>
      </c>
      <c r="F195" t="inlineStr">
        <is>
          <t>Övriga Aktiebolag</t>
        </is>
      </c>
      <c r="G195" t="n">
        <v>12.4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17636-2024 artfynd.xlsx", "A 17636-2024")</f>
        <v/>
      </c>
      <c r="T195">
        <f>HYPERLINK("https://klasma.github.io/Logging_2321/kartor/A 17636-2024 karta.png", "A 17636-2024")</f>
        <v/>
      </c>
      <c r="V195">
        <f>HYPERLINK("https://klasma.github.io/Logging_2321/klagomål/A 17636-2024 FSC-klagomål.docx", "A 17636-2024")</f>
        <v/>
      </c>
      <c r="W195">
        <f>HYPERLINK("https://klasma.github.io/Logging_2321/klagomålsmail/A 17636-2024 FSC-klagomål mail.docx", "A 17636-2024")</f>
        <v/>
      </c>
      <c r="X195">
        <f>HYPERLINK("https://klasma.github.io/Logging_2321/tillsyn/A 17636-2024 tillsynsbegäran.docx", "A 17636-2024")</f>
        <v/>
      </c>
      <c r="Y195">
        <f>HYPERLINK("https://klasma.github.io/Logging_2321/tillsynsmail/A 17636-2024 tillsynsbegäran mail.docx", "A 17636-2024")</f>
        <v/>
      </c>
      <c r="Z195">
        <f>HYPERLINK("https://klasma.github.io/Logging_2321/fåglar/A 17636-2024 prioriterade fågelarter.docx", "A 17636-2024")</f>
        <v/>
      </c>
    </row>
    <row r="196" ht="15" customHeight="1">
      <c r="A196" t="inlineStr">
        <is>
          <t>A 23426-2024</t>
        </is>
      </c>
      <c r="B196" s="1" t="n">
        <v>45453</v>
      </c>
      <c r="C196" s="1" t="n">
        <v>45565</v>
      </c>
      <c r="D196" t="inlineStr">
        <is>
          <t>JÄMTLANDS LÄN</t>
        </is>
      </c>
      <c r="E196" t="inlineStr">
        <is>
          <t>ÅRE</t>
        </is>
      </c>
      <c r="F196" t="inlineStr">
        <is>
          <t>Övriga Aktiebolag</t>
        </is>
      </c>
      <c r="G196" t="n">
        <v>2.3</v>
      </c>
      <c r="H196" t="n">
        <v>0</v>
      </c>
      <c r="I196" t="n">
        <v>0</v>
      </c>
      <c r="J196" t="n">
        <v>1</v>
      </c>
      <c r="K196" t="n">
        <v>0</v>
      </c>
      <c r="L196" t="n">
        <v>0</v>
      </c>
      <c r="M196" t="n">
        <v>0</v>
      </c>
      <c r="N196" t="n">
        <v>0</v>
      </c>
      <c r="O196" t="n">
        <v>1</v>
      </c>
      <c r="P196" t="n">
        <v>0</v>
      </c>
      <c r="Q196" t="n">
        <v>1</v>
      </c>
      <c r="R196" s="2" t="inlineStr">
        <is>
          <t>Doftskinn</t>
        </is>
      </c>
      <c r="S196">
        <f>HYPERLINK("https://klasma.github.io/Logging_2321/artfynd/A 23426-2024 artfynd.xlsx", "A 23426-2024")</f>
        <v/>
      </c>
      <c r="T196">
        <f>HYPERLINK("https://klasma.github.io/Logging_2321/kartor/A 23426-2024 karta.png", "A 23426-2024")</f>
        <v/>
      </c>
      <c r="V196">
        <f>HYPERLINK("https://klasma.github.io/Logging_2321/klagomål/A 23426-2024 FSC-klagomål.docx", "A 23426-2024")</f>
        <v/>
      </c>
      <c r="W196">
        <f>HYPERLINK("https://klasma.github.io/Logging_2321/klagomålsmail/A 23426-2024 FSC-klagomål mail.docx", "A 23426-2024")</f>
        <v/>
      </c>
      <c r="X196">
        <f>HYPERLINK("https://klasma.github.io/Logging_2321/tillsyn/A 23426-2024 tillsynsbegäran.docx", "A 23426-2024")</f>
        <v/>
      </c>
      <c r="Y196">
        <f>HYPERLINK("https://klasma.github.io/Logging_2321/tillsynsmail/A 23426-2024 tillsynsbegäran mail.docx", "A 23426-2024")</f>
        <v/>
      </c>
    </row>
    <row r="197" ht="15" customHeight="1">
      <c r="A197" t="inlineStr">
        <is>
          <t>A 30032-2024</t>
        </is>
      </c>
      <c r="B197" s="1" t="n">
        <v>45485</v>
      </c>
      <c r="C197" s="1" t="n">
        <v>45565</v>
      </c>
      <c r="D197" t="inlineStr">
        <is>
          <t>JÄMTLANDS LÄN</t>
        </is>
      </c>
      <c r="E197" t="inlineStr">
        <is>
          <t>ÅRE</t>
        </is>
      </c>
      <c r="G197" t="n">
        <v>20.5</v>
      </c>
      <c r="H197" t="n">
        <v>1</v>
      </c>
      <c r="I197" t="n">
        <v>1</v>
      </c>
      <c r="J197" t="n">
        <v>0</v>
      </c>
      <c r="K197" t="n">
        <v>0</v>
      </c>
      <c r="L197" t="n">
        <v>0</v>
      </c>
      <c r="M197" t="n">
        <v>0</v>
      </c>
      <c r="N197" t="n">
        <v>0</v>
      </c>
      <c r="O197" t="n">
        <v>0</v>
      </c>
      <c r="P197" t="n">
        <v>0</v>
      </c>
      <c r="Q197" t="n">
        <v>1</v>
      </c>
      <c r="R197" s="2" t="inlineStr">
        <is>
          <t>Spindelblomster</t>
        </is>
      </c>
      <c r="S197">
        <f>HYPERLINK("https://klasma.github.io/Logging_2321/artfynd/A 30032-2024 artfynd.xlsx", "A 30032-2024")</f>
        <v/>
      </c>
      <c r="T197">
        <f>HYPERLINK("https://klasma.github.io/Logging_2321/kartor/A 30032-2024 karta.png", "A 30032-2024")</f>
        <v/>
      </c>
      <c r="V197">
        <f>HYPERLINK("https://klasma.github.io/Logging_2321/klagomål/A 30032-2024 FSC-klagomål.docx", "A 30032-2024")</f>
        <v/>
      </c>
      <c r="W197">
        <f>HYPERLINK("https://klasma.github.io/Logging_2321/klagomålsmail/A 30032-2024 FSC-klagomål mail.docx", "A 30032-2024")</f>
        <v/>
      </c>
      <c r="X197">
        <f>HYPERLINK("https://klasma.github.io/Logging_2321/tillsyn/A 30032-2024 tillsynsbegäran.docx", "A 30032-2024")</f>
        <v/>
      </c>
      <c r="Y197">
        <f>HYPERLINK("https://klasma.github.io/Logging_2321/tillsynsmail/A 30032-2024 tillsynsbegäran mail.docx", "A 30032-2024")</f>
        <v/>
      </c>
    </row>
    <row r="198" ht="15" customHeight="1">
      <c r="A198" t="inlineStr">
        <is>
          <t>A 32865-2024</t>
        </is>
      </c>
      <c r="B198" s="1" t="n">
        <v>45516</v>
      </c>
      <c r="C198" s="1" t="n">
        <v>45565</v>
      </c>
      <c r="D198" t="inlineStr">
        <is>
          <t>JÄMTLANDS LÄN</t>
        </is>
      </c>
      <c r="E198" t="inlineStr">
        <is>
          <t>ÅRE</t>
        </is>
      </c>
      <c r="G198" t="n">
        <v>29.5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32865-2024 artfynd.xlsx", "A 32865-2024")</f>
        <v/>
      </c>
      <c r="T198">
        <f>HYPERLINK("https://klasma.github.io/Logging_2321/kartor/A 32865-2024 karta.png", "A 32865-2024")</f>
        <v/>
      </c>
      <c r="V198">
        <f>HYPERLINK("https://klasma.github.io/Logging_2321/klagomål/A 32865-2024 FSC-klagomål.docx", "A 32865-2024")</f>
        <v/>
      </c>
      <c r="W198">
        <f>HYPERLINK("https://klasma.github.io/Logging_2321/klagomålsmail/A 32865-2024 FSC-klagomål mail.docx", "A 32865-2024")</f>
        <v/>
      </c>
      <c r="X198">
        <f>HYPERLINK("https://klasma.github.io/Logging_2321/tillsyn/A 32865-2024 tillsynsbegäran.docx", "A 32865-2024")</f>
        <v/>
      </c>
      <c r="Y198">
        <f>HYPERLINK("https://klasma.github.io/Logging_2321/tillsynsmail/A 32865-2024 tillsynsbegäran mail.docx", "A 32865-2024")</f>
        <v/>
      </c>
      <c r="Z198">
        <f>HYPERLINK("https://klasma.github.io/Logging_2321/fåglar/A 32865-2024 prioriterade fågelarter.docx", "A 32865-2024")</f>
        <v/>
      </c>
    </row>
    <row r="199" ht="15" customHeight="1">
      <c r="A199" t="inlineStr">
        <is>
          <t>A 42166-2024</t>
        </is>
      </c>
      <c r="B199" s="1" t="n">
        <v>45562</v>
      </c>
      <c r="C199" s="1" t="n">
        <v>45565</v>
      </c>
      <c r="D199" t="inlineStr">
        <is>
          <t>JÄMTLANDS LÄN</t>
        </is>
      </c>
      <c r="E199" t="inlineStr">
        <is>
          <t>ÅRE</t>
        </is>
      </c>
      <c r="G199" t="n">
        <v>1.3</v>
      </c>
      <c r="H199" t="n">
        <v>1</v>
      </c>
      <c r="I199" t="n">
        <v>0</v>
      </c>
      <c r="J199" t="n">
        <v>0</v>
      </c>
      <c r="K199" t="n">
        <v>0</v>
      </c>
      <c r="L199" t="n">
        <v>0</v>
      </c>
      <c r="M199" t="n">
        <v>0</v>
      </c>
      <c r="N199" t="n">
        <v>0</v>
      </c>
      <c r="O199" t="n">
        <v>0</v>
      </c>
      <c r="P199" t="n">
        <v>0</v>
      </c>
      <c r="Q199" t="n">
        <v>1</v>
      </c>
      <c r="R199" s="2" t="inlineStr">
        <is>
          <t>Fläcknycklar</t>
        </is>
      </c>
      <c r="S199">
        <f>HYPERLINK("https://klasma.github.io/Logging_2321/artfynd/A 42166-2024 artfynd.xlsx", "A 42166-2024")</f>
        <v/>
      </c>
      <c r="T199">
        <f>HYPERLINK("https://klasma.github.io/Logging_2321/kartor/A 42166-2024 karta.png", "A 42166-2024")</f>
        <v/>
      </c>
      <c r="V199">
        <f>HYPERLINK("https://klasma.github.io/Logging_2321/klagomål/A 42166-2024 FSC-klagomål.docx", "A 42166-2024")</f>
        <v/>
      </c>
      <c r="W199">
        <f>HYPERLINK("https://klasma.github.io/Logging_2321/klagomålsmail/A 42166-2024 FSC-klagomål mail.docx", "A 42166-2024")</f>
        <v/>
      </c>
      <c r="X199">
        <f>HYPERLINK("https://klasma.github.io/Logging_2321/tillsyn/A 42166-2024 tillsynsbegäran.docx", "A 42166-2024")</f>
        <v/>
      </c>
      <c r="Y199">
        <f>HYPERLINK("https://klasma.github.io/Logging_2321/tillsynsmail/A 42166-2024 tillsynsbegäran mail.docx", "A 42166-2024")</f>
        <v/>
      </c>
    </row>
    <row r="200" ht="15" customHeight="1">
      <c r="A200" t="inlineStr">
        <is>
          <t>A 21532-2019</t>
        </is>
      </c>
      <c r="B200" s="1" t="n">
        <v>43580</v>
      </c>
      <c r="C200" s="1" t="n">
        <v>45565</v>
      </c>
      <c r="D200" t="inlineStr">
        <is>
          <t>JÄMTLANDS LÄN</t>
        </is>
      </c>
      <c r="E200" t="inlineStr">
        <is>
          <t>ÅRE</t>
        </is>
      </c>
      <c r="G200" t="n">
        <v>20.1</v>
      </c>
      <c r="H200" t="n">
        <v>0</v>
      </c>
      <c r="I200" t="n">
        <v>0</v>
      </c>
      <c r="J200" t="n">
        <v>0</v>
      </c>
      <c r="K200" t="n">
        <v>0</v>
      </c>
      <c r="L200" t="n">
        <v>0</v>
      </c>
      <c r="M200" t="n">
        <v>0</v>
      </c>
      <c r="N200" t="n">
        <v>0</v>
      </c>
      <c r="O200" t="n">
        <v>0</v>
      </c>
      <c r="P200" t="n">
        <v>0</v>
      </c>
      <c r="Q200" t="n">
        <v>0</v>
      </c>
      <c r="R200" s="2" t="inlineStr"/>
    </row>
    <row r="201" ht="15" customHeight="1">
      <c r="A201" t="inlineStr">
        <is>
          <t>A 21883-2019</t>
        </is>
      </c>
      <c r="B201" s="1" t="n">
        <v>43584</v>
      </c>
      <c r="C201" s="1" t="n">
        <v>45565</v>
      </c>
      <c r="D201" t="inlineStr">
        <is>
          <t>JÄMTLANDS LÄN</t>
        </is>
      </c>
      <c r="E201" t="inlineStr">
        <is>
          <t>ÅRE</t>
        </is>
      </c>
      <c r="G201" t="n">
        <v>2.6</v>
      </c>
      <c r="H201" t="n">
        <v>0</v>
      </c>
      <c r="I201" t="n">
        <v>0</v>
      </c>
      <c r="J201" t="n">
        <v>0</v>
      </c>
      <c r="K201" t="n">
        <v>0</v>
      </c>
      <c r="L201" t="n">
        <v>0</v>
      </c>
      <c r="M201" t="n">
        <v>0</v>
      </c>
      <c r="N201" t="n">
        <v>0</v>
      </c>
      <c r="O201" t="n">
        <v>0</v>
      </c>
      <c r="P201" t="n">
        <v>0</v>
      </c>
      <c r="Q201" t="n">
        <v>0</v>
      </c>
      <c r="R201" s="2" t="inlineStr"/>
    </row>
    <row r="202" ht="15" customHeight="1">
      <c r="A202" t="inlineStr">
        <is>
          <t>A 22558-2019</t>
        </is>
      </c>
      <c r="B202" s="1" t="n">
        <v>43587</v>
      </c>
      <c r="C202" s="1" t="n">
        <v>45565</v>
      </c>
      <c r="D202" t="inlineStr">
        <is>
          <t>JÄMTLANDS LÄN</t>
        </is>
      </c>
      <c r="E202" t="inlineStr">
        <is>
          <t>ÅRE</t>
        </is>
      </c>
      <c r="G202" t="n">
        <v>79.09999999999999</v>
      </c>
      <c r="H202" t="n">
        <v>0</v>
      </c>
      <c r="I202" t="n">
        <v>0</v>
      </c>
      <c r="J202" t="n">
        <v>0</v>
      </c>
      <c r="K202" t="n">
        <v>0</v>
      </c>
      <c r="L202" t="n">
        <v>0</v>
      </c>
      <c r="M202" t="n">
        <v>0</v>
      </c>
      <c r="N202" t="n">
        <v>0</v>
      </c>
      <c r="O202" t="n">
        <v>0</v>
      </c>
      <c r="P202" t="n">
        <v>0</v>
      </c>
      <c r="Q202" t="n">
        <v>0</v>
      </c>
      <c r="R202" s="2" t="inlineStr"/>
    </row>
    <row r="203" ht="15" customHeight="1">
      <c r="A203" t="inlineStr">
        <is>
          <t>A 25099-2019</t>
        </is>
      </c>
      <c r="B203" s="1" t="n">
        <v>43605</v>
      </c>
      <c r="C203" s="1" t="n">
        <v>45565</v>
      </c>
      <c r="D203" t="inlineStr">
        <is>
          <t>JÄMTLANDS LÄN</t>
        </is>
      </c>
      <c r="E203" t="inlineStr">
        <is>
          <t>ÅRE</t>
        </is>
      </c>
      <c r="G203" t="n">
        <v>8.9</v>
      </c>
      <c r="H203" t="n">
        <v>0</v>
      </c>
      <c r="I203" t="n">
        <v>0</v>
      </c>
      <c r="J203" t="n">
        <v>0</v>
      </c>
      <c r="K203" t="n">
        <v>0</v>
      </c>
      <c r="L203" t="n">
        <v>0</v>
      </c>
      <c r="M203" t="n">
        <v>0</v>
      </c>
      <c r="N203" t="n">
        <v>0</v>
      </c>
      <c r="O203" t="n">
        <v>0</v>
      </c>
      <c r="P203" t="n">
        <v>0</v>
      </c>
      <c r="Q203" t="n">
        <v>0</v>
      </c>
      <c r="R203" s="2" t="inlineStr"/>
    </row>
    <row r="204" ht="15" customHeight="1">
      <c r="A204" t="inlineStr">
        <is>
          <t>A 26624-2019</t>
        </is>
      </c>
      <c r="B204" s="1" t="n">
        <v>43612</v>
      </c>
      <c r="C204" s="1" t="n">
        <v>45565</v>
      </c>
      <c r="D204" t="inlineStr">
        <is>
          <t>JÄMTLANDS LÄN</t>
        </is>
      </c>
      <c r="E204" t="inlineStr">
        <is>
          <t>ÅRE</t>
        </is>
      </c>
      <c r="G204" t="n">
        <v>2.4</v>
      </c>
      <c r="H204" t="n">
        <v>0</v>
      </c>
      <c r="I204" t="n">
        <v>0</v>
      </c>
      <c r="J204" t="n">
        <v>0</v>
      </c>
      <c r="K204" t="n">
        <v>0</v>
      </c>
      <c r="L204" t="n">
        <v>0</v>
      </c>
      <c r="M204" t="n">
        <v>0</v>
      </c>
      <c r="N204" t="n">
        <v>0</v>
      </c>
      <c r="O204" t="n">
        <v>0</v>
      </c>
      <c r="P204" t="n">
        <v>0</v>
      </c>
      <c r="Q204" t="n">
        <v>0</v>
      </c>
      <c r="R204" s="2" t="inlineStr"/>
    </row>
    <row r="205" ht="15" customHeight="1">
      <c r="A205" t="inlineStr">
        <is>
          <t>A 26626-2019</t>
        </is>
      </c>
      <c r="B205" s="1" t="n">
        <v>43612</v>
      </c>
      <c r="C205" s="1" t="n">
        <v>45565</v>
      </c>
      <c r="D205" t="inlineStr">
        <is>
          <t>JÄMTLANDS LÄN</t>
        </is>
      </c>
      <c r="E205" t="inlineStr">
        <is>
          <t>ÅRE</t>
        </is>
      </c>
      <c r="G205" t="n">
        <v>1</v>
      </c>
      <c r="H205" t="n">
        <v>0</v>
      </c>
      <c r="I205" t="n">
        <v>0</v>
      </c>
      <c r="J205" t="n">
        <v>0</v>
      </c>
      <c r="K205" t="n">
        <v>0</v>
      </c>
      <c r="L205" t="n">
        <v>0</v>
      </c>
      <c r="M205" t="n">
        <v>0</v>
      </c>
      <c r="N205" t="n">
        <v>0</v>
      </c>
      <c r="O205" t="n">
        <v>0</v>
      </c>
      <c r="P205" t="n">
        <v>0</v>
      </c>
      <c r="Q205" t="n">
        <v>0</v>
      </c>
      <c r="R205" s="2" t="inlineStr"/>
    </row>
    <row r="206" ht="15" customHeight="1">
      <c r="A206" t="inlineStr">
        <is>
          <t>A 28793-2019</t>
        </is>
      </c>
      <c r="B206" s="1" t="n">
        <v>43627</v>
      </c>
      <c r="C206" s="1" t="n">
        <v>45565</v>
      </c>
      <c r="D206" t="inlineStr">
        <is>
          <t>JÄMTLANDS LÄN</t>
        </is>
      </c>
      <c r="E206" t="inlineStr">
        <is>
          <t>ÅRE</t>
        </is>
      </c>
      <c r="G206" t="n">
        <v>7.8</v>
      </c>
      <c r="H206" t="n">
        <v>0</v>
      </c>
      <c r="I206" t="n">
        <v>0</v>
      </c>
      <c r="J206" t="n">
        <v>0</v>
      </c>
      <c r="K206" t="n">
        <v>0</v>
      </c>
      <c r="L206" t="n">
        <v>0</v>
      </c>
      <c r="M206" t="n">
        <v>0</v>
      </c>
      <c r="N206" t="n">
        <v>0</v>
      </c>
      <c r="O206" t="n">
        <v>0</v>
      </c>
      <c r="P206" t="n">
        <v>0</v>
      </c>
      <c r="Q206" t="n">
        <v>0</v>
      </c>
      <c r="R206" s="2" t="inlineStr"/>
    </row>
    <row r="207" ht="15" customHeight="1">
      <c r="A207" t="inlineStr">
        <is>
          <t>A 29272-2019</t>
        </is>
      </c>
      <c r="B207" s="1" t="n">
        <v>43629</v>
      </c>
      <c r="C207" s="1" t="n">
        <v>45565</v>
      </c>
      <c r="D207" t="inlineStr">
        <is>
          <t>JÄMTLANDS LÄN</t>
        </is>
      </c>
      <c r="E207" t="inlineStr">
        <is>
          <t>ÅRE</t>
        </is>
      </c>
      <c r="G207" t="n">
        <v>10.9</v>
      </c>
      <c r="H207" t="n">
        <v>0</v>
      </c>
      <c r="I207" t="n">
        <v>0</v>
      </c>
      <c r="J207" t="n">
        <v>0</v>
      </c>
      <c r="K207" t="n">
        <v>0</v>
      </c>
      <c r="L207" t="n">
        <v>0</v>
      </c>
      <c r="M207" t="n">
        <v>0</v>
      </c>
      <c r="N207" t="n">
        <v>0</v>
      </c>
      <c r="O207" t="n">
        <v>0</v>
      </c>
      <c r="P207" t="n">
        <v>0</v>
      </c>
      <c r="Q207" t="n">
        <v>0</v>
      </c>
      <c r="R207" s="2" t="inlineStr"/>
    </row>
    <row r="208" ht="15" customHeight="1">
      <c r="A208" t="inlineStr">
        <is>
          <t>A 29769-2019</t>
        </is>
      </c>
      <c r="B208" s="1" t="n">
        <v>43632</v>
      </c>
      <c r="C208" s="1" t="n">
        <v>45565</v>
      </c>
      <c r="D208" t="inlineStr">
        <is>
          <t>JÄMTLANDS LÄN</t>
        </is>
      </c>
      <c r="E208" t="inlineStr">
        <is>
          <t>ÅRE</t>
        </is>
      </c>
      <c r="G208" t="n">
        <v>1.8</v>
      </c>
      <c r="H208" t="n">
        <v>0</v>
      </c>
      <c r="I208" t="n">
        <v>0</v>
      </c>
      <c r="J208" t="n">
        <v>0</v>
      </c>
      <c r="K208" t="n">
        <v>0</v>
      </c>
      <c r="L208" t="n">
        <v>0</v>
      </c>
      <c r="M208" t="n">
        <v>0</v>
      </c>
      <c r="N208" t="n">
        <v>0</v>
      </c>
      <c r="O208" t="n">
        <v>0</v>
      </c>
      <c r="P208" t="n">
        <v>0</v>
      </c>
      <c r="Q208" t="n">
        <v>0</v>
      </c>
      <c r="R208" s="2" t="inlineStr"/>
    </row>
    <row r="209" ht="15" customHeight="1">
      <c r="A209" t="inlineStr">
        <is>
          <t>A 29916-2019</t>
        </is>
      </c>
      <c r="B209" s="1" t="n">
        <v>43633</v>
      </c>
      <c r="C209" s="1" t="n">
        <v>45565</v>
      </c>
      <c r="D209" t="inlineStr">
        <is>
          <t>JÄMTLANDS LÄN</t>
        </is>
      </c>
      <c r="E209" t="inlineStr">
        <is>
          <t>ÅRE</t>
        </is>
      </c>
      <c r="G209" t="n">
        <v>2.5</v>
      </c>
      <c r="H209" t="n">
        <v>0</v>
      </c>
      <c r="I209" t="n">
        <v>0</v>
      </c>
      <c r="J209" t="n">
        <v>0</v>
      </c>
      <c r="K209" t="n">
        <v>0</v>
      </c>
      <c r="L209" t="n">
        <v>0</v>
      </c>
      <c r="M209" t="n">
        <v>0</v>
      </c>
      <c r="N209" t="n">
        <v>0</v>
      </c>
      <c r="O209" t="n">
        <v>0</v>
      </c>
      <c r="P209" t="n">
        <v>0</v>
      </c>
      <c r="Q209" t="n">
        <v>0</v>
      </c>
      <c r="R209" s="2" t="inlineStr"/>
    </row>
    <row r="210" ht="15" customHeight="1">
      <c r="A210" t="inlineStr">
        <is>
          <t>A 30384-2019</t>
        </is>
      </c>
      <c r="B210" s="1" t="n">
        <v>43634</v>
      </c>
      <c r="C210" s="1" t="n">
        <v>45565</v>
      </c>
      <c r="D210" t="inlineStr">
        <is>
          <t>JÄMTLANDS LÄN</t>
        </is>
      </c>
      <c r="E210" t="inlineStr">
        <is>
          <t>ÅRE</t>
        </is>
      </c>
      <c r="G210" t="n">
        <v>19</v>
      </c>
      <c r="H210" t="n">
        <v>0</v>
      </c>
      <c r="I210" t="n">
        <v>0</v>
      </c>
      <c r="J210" t="n">
        <v>0</v>
      </c>
      <c r="K210" t="n">
        <v>0</v>
      </c>
      <c r="L210" t="n">
        <v>0</v>
      </c>
      <c r="M210" t="n">
        <v>0</v>
      </c>
      <c r="N210" t="n">
        <v>0</v>
      </c>
      <c r="O210" t="n">
        <v>0</v>
      </c>
      <c r="P210" t="n">
        <v>0</v>
      </c>
      <c r="Q210" t="n">
        <v>0</v>
      </c>
      <c r="R210" s="2" t="inlineStr"/>
    </row>
    <row r="211" ht="15" customHeight="1">
      <c r="A211" t="inlineStr">
        <is>
          <t>A 33856-2019</t>
        </is>
      </c>
      <c r="B211" s="1" t="n">
        <v>43652</v>
      </c>
      <c r="C211" s="1" t="n">
        <v>45565</v>
      </c>
      <c r="D211" t="inlineStr">
        <is>
          <t>JÄMTLANDS LÄN</t>
        </is>
      </c>
      <c r="E211" t="inlineStr">
        <is>
          <t>ÅRE</t>
        </is>
      </c>
      <c r="G211" t="n">
        <v>9.6</v>
      </c>
      <c r="H211" t="n">
        <v>0</v>
      </c>
      <c r="I211" t="n">
        <v>0</v>
      </c>
      <c r="J211" t="n">
        <v>0</v>
      </c>
      <c r="K211" t="n">
        <v>0</v>
      </c>
      <c r="L211" t="n">
        <v>0</v>
      </c>
      <c r="M211" t="n">
        <v>0</v>
      </c>
      <c r="N211" t="n">
        <v>0</v>
      </c>
      <c r="O211" t="n">
        <v>0</v>
      </c>
      <c r="P211" t="n">
        <v>0</v>
      </c>
      <c r="Q211" t="n">
        <v>0</v>
      </c>
      <c r="R211" s="2" t="inlineStr"/>
    </row>
    <row r="212" ht="15" customHeight="1">
      <c r="A212" t="inlineStr">
        <is>
          <t>A 35391-2019</t>
        </is>
      </c>
      <c r="B212" s="1" t="n">
        <v>43661</v>
      </c>
      <c r="C212" s="1" t="n">
        <v>45565</v>
      </c>
      <c r="D212" t="inlineStr">
        <is>
          <t>JÄMTLANDS LÄN</t>
        </is>
      </c>
      <c r="E212" t="inlineStr">
        <is>
          <t>ÅRE</t>
        </is>
      </c>
      <c r="G212" t="n">
        <v>19.7</v>
      </c>
      <c r="H212" t="n">
        <v>0</v>
      </c>
      <c r="I212" t="n">
        <v>0</v>
      </c>
      <c r="J212" t="n">
        <v>0</v>
      </c>
      <c r="K212" t="n">
        <v>0</v>
      </c>
      <c r="L212" t="n">
        <v>0</v>
      </c>
      <c r="M212" t="n">
        <v>0</v>
      </c>
      <c r="N212" t="n">
        <v>0</v>
      </c>
      <c r="O212" t="n">
        <v>0</v>
      </c>
      <c r="P212" t="n">
        <v>0</v>
      </c>
      <c r="Q212" t="n">
        <v>0</v>
      </c>
      <c r="R212" s="2" t="inlineStr"/>
    </row>
    <row r="213" ht="15" customHeight="1">
      <c r="A213" t="inlineStr">
        <is>
          <t>A 35485-2019</t>
        </is>
      </c>
      <c r="B213" s="1" t="n">
        <v>43661</v>
      </c>
      <c r="C213" s="1" t="n">
        <v>45565</v>
      </c>
      <c r="D213" t="inlineStr">
        <is>
          <t>JÄMTLANDS LÄN</t>
        </is>
      </c>
      <c r="E213" t="inlineStr">
        <is>
          <t>ÅRE</t>
        </is>
      </c>
      <c r="G213" t="n">
        <v>5.5</v>
      </c>
      <c r="H213" t="n">
        <v>0</v>
      </c>
      <c r="I213" t="n">
        <v>0</v>
      </c>
      <c r="J213" t="n">
        <v>0</v>
      </c>
      <c r="K213" t="n">
        <v>0</v>
      </c>
      <c r="L213" t="n">
        <v>0</v>
      </c>
      <c r="M213" t="n">
        <v>0</v>
      </c>
      <c r="N213" t="n">
        <v>0</v>
      </c>
      <c r="O213" t="n">
        <v>0</v>
      </c>
      <c r="P213" t="n">
        <v>0</v>
      </c>
      <c r="Q213" t="n">
        <v>0</v>
      </c>
      <c r="R213" s="2" t="inlineStr"/>
    </row>
    <row r="214" ht="15" customHeight="1">
      <c r="A214" t="inlineStr">
        <is>
          <t>A 36975-2019</t>
        </is>
      </c>
      <c r="B214" s="1" t="n">
        <v>43676</v>
      </c>
      <c r="C214" s="1" t="n">
        <v>45565</v>
      </c>
      <c r="D214" t="inlineStr">
        <is>
          <t>JÄMTLANDS LÄN</t>
        </is>
      </c>
      <c r="E214" t="inlineStr">
        <is>
          <t>ÅRE</t>
        </is>
      </c>
      <c r="F214" t="inlineStr">
        <is>
          <t>Sveaskog</t>
        </is>
      </c>
      <c r="G214" t="n">
        <v>3.4</v>
      </c>
      <c r="H214" t="n">
        <v>0</v>
      </c>
      <c r="I214" t="n">
        <v>0</v>
      </c>
      <c r="J214" t="n">
        <v>0</v>
      </c>
      <c r="K214" t="n">
        <v>0</v>
      </c>
      <c r="L214" t="n">
        <v>0</v>
      </c>
      <c r="M214" t="n">
        <v>0</v>
      </c>
      <c r="N214" t="n">
        <v>0</v>
      </c>
      <c r="O214" t="n">
        <v>0</v>
      </c>
      <c r="P214" t="n">
        <v>0</v>
      </c>
      <c r="Q214" t="n">
        <v>0</v>
      </c>
      <c r="R214" s="2" t="inlineStr"/>
    </row>
    <row r="215" ht="15" customHeight="1">
      <c r="A215" t="inlineStr">
        <is>
          <t>A 41107-2019</t>
        </is>
      </c>
      <c r="B215" s="1" t="n">
        <v>43698</v>
      </c>
      <c r="C215" s="1" t="n">
        <v>45565</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42311-2019</t>
        </is>
      </c>
      <c r="B216" s="1" t="n">
        <v>43699</v>
      </c>
      <c r="C216" s="1" t="n">
        <v>45565</v>
      </c>
      <c r="D216" t="inlineStr">
        <is>
          <t>JÄMTLANDS LÄN</t>
        </is>
      </c>
      <c r="E216" t="inlineStr">
        <is>
          <t>ÅRE</t>
        </is>
      </c>
      <c r="G216" t="n">
        <v>13.7</v>
      </c>
      <c r="H216" t="n">
        <v>0</v>
      </c>
      <c r="I216" t="n">
        <v>0</v>
      </c>
      <c r="J216" t="n">
        <v>0</v>
      </c>
      <c r="K216" t="n">
        <v>0</v>
      </c>
      <c r="L216" t="n">
        <v>0</v>
      </c>
      <c r="M216" t="n">
        <v>0</v>
      </c>
      <c r="N216" t="n">
        <v>0</v>
      </c>
      <c r="O216" t="n">
        <v>0</v>
      </c>
      <c r="P216" t="n">
        <v>0</v>
      </c>
      <c r="Q216" t="n">
        <v>0</v>
      </c>
      <c r="R216" s="2" t="inlineStr"/>
    </row>
    <row r="217" ht="15" customHeight="1">
      <c r="A217" t="inlineStr">
        <is>
          <t>A 43678-2019</t>
        </is>
      </c>
      <c r="B217" s="1" t="n">
        <v>43707</v>
      </c>
      <c r="C217" s="1" t="n">
        <v>45565</v>
      </c>
      <c r="D217" t="inlineStr">
        <is>
          <t>JÄMTLANDS LÄN</t>
        </is>
      </c>
      <c r="E217" t="inlineStr">
        <is>
          <t>ÅRE</t>
        </is>
      </c>
      <c r="G217" t="n">
        <v>7.9</v>
      </c>
      <c r="H217" t="n">
        <v>0</v>
      </c>
      <c r="I217" t="n">
        <v>0</v>
      </c>
      <c r="J217" t="n">
        <v>0</v>
      </c>
      <c r="K217" t="n">
        <v>0</v>
      </c>
      <c r="L217" t="n">
        <v>0</v>
      </c>
      <c r="M217" t="n">
        <v>0</v>
      </c>
      <c r="N217" t="n">
        <v>0</v>
      </c>
      <c r="O217" t="n">
        <v>0</v>
      </c>
      <c r="P217" t="n">
        <v>0</v>
      </c>
      <c r="Q217" t="n">
        <v>0</v>
      </c>
      <c r="R217" s="2" t="inlineStr"/>
    </row>
    <row r="218" ht="15" customHeight="1">
      <c r="A218" t="inlineStr">
        <is>
          <t>A 43683-2019</t>
        </is>
      </c>
      <c r="B218" s="1" t="n">
        <v>43707</v>
      </c>
      <c r="C218" s="1" t="n">
        <v>45565</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44329-2019</t>
        </is>
      </c>
      <c r="B219" s="1" t="n">
        <v>43710</v>
      </c>
      <c r="C219" s="1" t="n">
        <v>45565</v>
      </c>
      <c r="D219" t="inlineStr">
        <is>
          <t>JÄMTLANDS LÄN</t>
        </is>
      </c>
      <c r="E219" t="inlineStr">
        <is>
          <t>ÅRE</t>
        </is>
      </c>
      <c r="G219" t="n">
        <v>2.1</v>
      </c>
      <c r="H219" t="n">
        <v>0</v>
      </c>
      <c r="I219" t="n">
        <v>0</v>
      </c>
      <c r="J219" t="n">
        <v>0</v>
      </c>
      <c r="K219" t="n">
        <v>0</v>
      </c>
      <c r="L219" t="n">
        <v>0</v>
      </c>
      <c r="M219" t="n">
        <v>0</v>
      </c>
      <c r="N219" t="n">
        <v>0</v>
      </c>
      <c r="O219" t="n">
        <v>0</v>
      </c>
      <c r="P219" t="n">
        <v>0</v>
      </c>
      <c r="Q219" t="n">
        <v>0</v>
      </c>
      <c r="R219" s="2" t="inlineStr"/>
    </row>
    <row r="220" ht="15" customHeight="1">
      <c r="A220" t="inlineStr">
        <is>
          <t>A 45794-2019</t>
        </is>
      </c>
      <c r="B220" s="1" t="n">
        <v>43717</v>
      </c>
      <c r="C220" s="1" t="n">
        <v>45565</v>
      </c>
      <c r="D220" t="inlineStr">
        <is>
          <t>JÄMTLANDS LÄN</t>
        </is>
      </c>
      <c r="E220" t="inlineStr">
        <is>
          <t>ÅRE</t>
        </is>
      </c>
      <c r="G220" t="n">
        <v>37.7</v>
      </c>
      <c r="H220" t="n">
        <v>0</v>
      </c>
      <c r="I220" t="n">
        <v>0</v>
      </c>
      <c r="J220" t="n">
        <v>0</v>
      </c>
      <c r="K220" t="n">
        <v>0</v>
      </c>
      <c r="L220" t="n">
        <v>0</v>
      </c>
      <c r="M220" t="n">
        <v>0</v>
      </c>
      <c r="N220" t="n">
        <v>0</v>
      </c>
      <c r="O220" t="n">
        <v>0</v>
      </c>
      <c r="P220" t="n">
        <v>0</v>
      </c>
      <c r="Q220" t="n">
        <v>0</v>
      </c>
      <c r="R220" s="2" t="inlineStr"/>
    </row>
    <row r="221" ht="15" customHeight="1">
      <c r="A221" t="inlineStr">
        <is>
          <t>A 45798-2019</t>
        </is>
      </c>
      <c r="B221" s="1" t="n">
        <v>43717</v>
      </c>
      <c r="C221" s="1" t="n">
        <v>45565</v>
      </c>
      <c r="D221" t="inlineStr">
        <is>
          <t>JÄMTLANDS LÄN</t>
        </is>
      </c>
      <c r="E221" t="inlineStr">
        <is>
          <t>ÅRE</t>
        </is>
      </c>
      <c r="G221" t="n">
        <v>14.6</v>
      </c>
      <c r="H221" t="n">
        <v>0</v>
      </c>
      <c r="I221" t="n">
        <v>0</v>
      </c>
      <c r="J221" t="n">
        <v>0</v>
      </c>
      <c r="K221" t="n">
        <v>0</v>
      </c>
      <c r="L221" t="n">
        <v>0</v>
      </c>
      <c r="M221" t="n">
        <v>0</v>
      </c>
      <c r="N221" t="n">
        <v>0</v>
      </c>
      <c r="O221" t="n">
        <v>0</v>
      </c>
      <c r="P221" t="n">
        <v>0</v>
      </c>
      <c r="Q221" t="n">
        <v>0</v>
      </c>
      <c r="R221" s="2" t="inlineStr"/>
    </row>
    <row r="222" ht="15" customHeight="1">
      <c r="A222" t="inlineStr">
        <is>
          <t>A 47259-2019</t>
        </is>
      </c>
      <c r="B222" s="1" t="n">
        <v>43721</v>
      </c>
      <c r="C222" s="1" t="n">
        <v>45565</v>
      </c>
      <c r="D222" t="inlineStr">
        <is>
          <t>JÄMTLANDS LÄN</t>
        </is>
      </c>
      <c r="E222" t="inlineStr">
        <is>
          <t>ÅRE</t>
        </is>
      </c>
      <c r="G222" t="n">
        <v>12.7</v>
      </c>
      <c r="H222" t="n">
        <v>0</v>
      </c>
      <c r="I222" t="n">
        <v>0</v>
      </c>
      <c r="J222" t="n">
        <v>0</v>
      </c>
      <c r="K222" t="n">
        <v>0</v>
      </c>
      <c r="L222" t="n">
        <v>0</v>
      </c>
      <c r="M222" t="n">
        <v>0</v>
      </c>
      <c r="N222" t="n">
        <v>0</v>
      </c>
      <c r="O222" t="n">
        <v>0</v>
      </c>
      <c r="P222" t="n">
        <v>0</v>
      </c>
      <c r="Q222" t="n">
        <v>0</v>
      </c>
      <c r="R222" s="2" t="inlineStr"/>
    </row>
    <row r="223" ht="15" customHeight="1">
      <c r="A223" t="inlineStr">
        <is>
          <t>A 48291-2019</t>
        </is>
      </c>
      <c r="B223" s="1" t="n">
        <v>43726</v>
      </c>
      <c r="C223" s="1" t="n">
        <v>45565</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49867-2019</t>
        </is>
      </c>
      <c r="B224" s="1" t="n">
        <v>43733</v>
      </c>
      <c r="C224" s="1" t="n">
        <v>45565</v>
      </c>
      <c r="D224" t="inlineStr">
        <is>
          <t>JÄMTLANDS LÄN</t>
        </is>
      </c>
      <c r="E224" t="inlineStr">
        <is>
          <t>ÅRE</t>
        </is>
      </c>
      <c r="G224" t="n">
        <v>1.5</v>
      </c>
      <c r="H224" t="n">
        <v>0</v>
      </c>
      <c r="I224" t="n">
        <v>0</v>
      </c>
      <c r="J224" t="n">
        <v>0</v>
      </c>
      <c r="K224" t="n">
        <v>0</v>
      </c>
      <c r="L224" t="n">
        <v>0</v>
      </c>
      <c r="M224" t="n">
        <v>0</v>
      </c>
      <c r="N224" t="n">
        <v>0</v>
      </c>
      <c r="O224" t="n">
        <v>0</v>
      </c>
      <c r="P224" t="n">
        <v>0</v>
      </c>
      <c r="Q224" t="n">
        <v>0</v>
      </c>
      <c r="R224" s="2" t="inlineStr"/>
    </row>
    <row r="225" ht="15" customHeight="1">
      <c r="A225" t="inlineStr">
        <is>
          <t>A 49863-2019</t>
        </is>
      </c>
      <c r="B225" s="1" t="n">
        <v>43733</v>
      </c>
      <c r="C225" s="1" t="n">
        <v>45565</v>
      </c>
      <c r="D225" t="inlineStr">
        <is>
          <t>JÄMTLANDS LÄN</t>
        </is>
      </c>
      <c r="E225" t="inlineStr">
        <is>
          <t>ÅRE</t>
        </is>
      </c>
      <c r="G225" t="n">
        <v>4.4</v>
      </c>
      <c r="H225" t="n">
        <v>0</v>
      </c>
      <c r="I225" t="n">
        <v>0</v>
      </c>
      <c r="J225" t="n">
        <v>0</v>
      </c>
      <c r="K225" t="n">
        <v>0</v>
      </c>
      <c r="L225" t="n">
        <v>0</v>
      </c>
      <c r="M225" t="n">
        <v>0</v>
      </c>
      <c r="N225" t="n">
        <v>0</v>
      </c>
      <c r="O225" t="n">
        <v>0</v>
      </c>
      <c r="P225" t="n">
        <v>0</v>
      </c>
      <c r="Q225" t="n">
        <v>0</v>
      </c>
      <c r="R225" s="2" t="inlineStr"/>
    </row>
    <row r="226" ht="15" customHeight="1">
      <c r="A226" t="inlineStr">
        <is>
          <t>A 49858-2019</t>
        </is>
      </c>
      <c r="B226" s="1" t="n">
        <v>43733</v>
      </c>
      <c r="C226" s="1" t="n">
        <v>45565</v>
      </c>
      <c r="D226" t="inlineStr">
        <is>
          <t>JÄMTLANDS LÄN</t>
        </is>
      </c>
      <c r="E226" t="inlineStr">
        <is>
          <t>ÅRE</t>
        </is>
      </c>
      <c r="G226" t="n">
        <v>0.9</v>
      </c>
      <c r="H226" t="n">
        <v>0</v>
      </c>
      <c r="I226" t="n">
        <v>0</v>
      </c>
      <c r="J226" t="n">
        <v>0</v>
      </c>
      <c r="K226" t="n">
        <v>0</v>
      </c>
      <c r="L226" t="n">
        <v>0</v>
      </c>
      <c r="M226" t="n">
        <v>0</v>
      </c>
      <c r="N226" t="n">
        <v>0</v>
      </c>
      <c r="O226" t="n">
        <v>0</v>
      </c>
      <c r="P226" t="n">
        <v>0</v>
      </c>
      <c r="Q226" t="n">
        <v>0</v>
      </c>
      <c r="R226" s="2" t="inlineStr"/>
    </row>
    <row r="227" ht="15" customHeight="1">
      <c r="A227" t="inlineStr">
        <is>
          <t>A 50012-2019</t>
        </is>
      </c>
      <c r="B227" s="1" t="n">
        <v>43733</v>
      </c>
      <c r="C227" s="1" t="n">
        <v>45565</v>
      </c>
      <c r="D227" t="inlineStr">
        <is>
          <t>JÄMTLANDS LÄN</t>
        </is>
      </c>
      <c r="E227" t="inlineStr">
        <is>
          <t>ÅRE</t>
        </is>
      </c>
      <c r="G227" t="n">
        <v>5.8</v>
      </c>
      <c r="H227" t="n">
        <v>0</v>
      </c>
      <c r="I227" t="n">
        <v>0</v>
      </c>
      <c r="J227" t="n">
        <v>0</v>
      </c>
      <c r="K227" t="n">
        <v>0</v>
      </c>
      <c r="L227" t="n">
        <v>0</v>
      </c>
      <c r="M227" t="n">
        <v>0</v>
      </c>
      <c r="N227" t="n">
        <v>0</v>
      </c>
      <c r="O227" t="n">
        <v>0</v>
      </c>
      <c r="P227" t="n">
        <v>0</v>
      </c>
      <c r="Q227" t="n">
        <v>0</v>
      </c>
      <c r="R227" s="2" t="inlineStr"/>
    </row>
    <row r="228" ht="15" customHeight="1">
      <c r="A228" t="inlineStr">
        <is>
          <t>A 52056-2019</t>
        </is>
      </c>
      <c r="B228" s="1" t="n">
        <v>43734</v>
      </c>
      <c r="C228" s="1" t="n">
        <v>45565</v>
      </c>
      <c r="D228" t="inlineStr">
        <is>
          <t>JÄMTLANDS LÄN</t>
        </is>
      </c>
      <c r="E228" t="inlineStr">
        <is>
          <t>ÅRE</t>
        </is>
      </c>
      <c r="G228" t="n">
        <v>3</v>
      </c>
      <c r="H228" t="n">
        <v>0</v>
      </c>
      <c r="I228" t="n">
        <v>0</v>
      </c>
      <c r="J228" t="n">
        <v>0</v>
      </c>
      <c r="K228" t="n">
        <v>0</v>
      </c>
      <c r="L228" t="n">
        <v>0</v>
      </c>
      <c r="M228" t="n">
        <v>0</v>
      </c>
      <c r="N228" t="n">
        <v>0</v>
      </c>
      <c r="O228" t="n">
        <v>0</v>
      </c>
      <c r="P228" t="n">
        <v>0</v>
      </c>
      <c r="Q228" t="n">
        <v>0</v>
      </c>
      <c r="R228" s="2" t="inlineStr"/>
    </row>
    <row r="229" ht="15" customHeight="1">
      <c r="A229" t="inlineStr">
        <is>
          <t>A 52047-2019</t>
        </is>
      </c>
      <c r="B229" s="1" t="n">
        <v>43734</v>
      </c>
      <c r="C229" s="1" t="n">
        <v>45565</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51818-2019</t>
        </is>
      </c>
      <c r="B230" s="1" t="n">
        <v>43741</v>
      </c>
      <c r="C230" s="1" t="n">
        <v>45565</v>
      </c>
      <c r="D230" t="inlineStr">
        <is>
          <t>JÄMTLANDS LÄN</t>
        </is>
      </c>
      <c r="E230" t="inlineStr">
        <is>
          <t>ÅRE</t>
        </is>
      </c>
      <c r="G230" t="n">
        <v>1.2</v>
      </c>
      <c r="H230" t="n">
        <v>0</v>
      </c>
      <c r="I230" t="n">
        <v>0</v>
      </c>
      <c r="J230" t="n">
        <v>0</v>
      </c>
      <c r="K230" t="n">
        <v>0</v>
      </c>
      <c r="L230" t="n">
        <v>0</v>
      </c>
      <c r="M230" t="n">
        <v>0</v>
      </c>
      <c r="N230" t="n">
        <v>0</v>
      </c>
      <c r="O230" t="n">
        <v>0</v>
      </c>
      <c r="P230" t="n">
        <v>0</v>
      </c>
      <c r="Q230" t="n">
        <v>0</v>
      </c>
      <c r="R230" s="2" t="inlineStr"/>
    </row>
    <row r="231" ht="15" customHeight="1">
      <c r="A231" t="inlineStr">
        <is>
          <t>A 55358-2019</t>
        </is>
      </c>
      <c r="B231" s="1" t="n">
        <v>43756</v>
      </c>
      <c r="C231" s="1" t="n">
        <v>45565</v>
      </c>
      <c r="D231" t="inlineStr">
        <is>
          <t>JÄMTLANDS LÄN</t>
        </is>
      </c>
      <c r="E231" t="inlineStr">
        <is>
          <t>ÅRE</t>
        </is>
      </c>
      <c r="G231" t="n">
        <v>4.9</v>
      </c>
      <c r="H231" t="n">
        <v>0</v>
      </c>
      <c r="I231" t="n">
        <v>0</v>
      </c>
      <c r="J231" t="n">
        <v>0</v>
      </c>
      <c r="K231" t="n">
        <v>0</v>
      </c>
      <c r="L231" t="n">
        <v>0</v>
      </c>
      <c r="M231" t="n">
        <v>0</v>
      </c>
      <c r="N231" t="n">
        <v>0</v>
      </c>
      <c r="O231" t="n">
        <v>0</v>
      </c>
      <c r="P231" t="n">
        <v>0</v>
      </c>
      <c r="Q231" t="n">
        <v>0</v>
      </c>
      <c r="R231" s="2" t="inlineStr"/>
    </row>
    <row r="232" ht="15" customHeight="1">
      <c r="A232" t="inlineStr">
        <is>
          <t>A 57825-2019</t>
        </is>
      </c>
      <c r="B232" s="1" t="n">
        <v>43768</v>
      </c>
      <c r="C232" s="1" t="n">
        <v>45565</v>
      </c>
      <c r="D232" t="inlineStr">
        <is>
          <t>JÄMTLANDS LÄN</t>
        </is>
      </c>
      <c r="E232" t="inlineStr">
        <is>
          <t>ÅRE</t>
        </is>
      </c>
      <c r="G232" t="n">
        <v>3.1</v>
      </c>
      <c r="H232" t="n">
        <v>0</v>
      </c>
      <c r="I232" t="n">
        <v>0</v>
      </c>
      <c r="J232" t="n">
        <v>0</v>
      </c>
      <c r="K232" t="n">
        <v>0</v>
      </c>
      <c r="L232" t="n">
        <v>0</v>
      </c>
      <c r="M232" t="n">
        <v>0</v>
      </c>
      <c r="N232" t="n">
        <v>0</v>
      </c>
      <c r="O232" t="n">
        <v>0</v>
      </c>
      <c r="P232" t="n">
        <v>0</v>
      </c>
      <c r="Q232" t="n">
        <v>0</v>
      </c>
      <c r="R232" s="2" t="inlineStr"/>
    </row>
    <row r="233" ht="15" customHeight="1">
      <c r="A233" t="inlineStr">
        <is>
          <t>A 59815-2019</t>
        </is>
      </c>
      <c r="B233" s="1" t="n">
        <v>43774</v>
      </c>
      <c r="C233" s="1" t="n">
        <v>45565</v>
      </c>
      <c r="D233" t="inlineStr">
        <is>
          <t>JÄMTLANDS LÄN</t>
        </is>
      </c>
      <c r="E233" t="inlineStr">
        <is>
          <t>ÅRE</t>
        </is>
      </c>
      <c r="G233" t="n">
        <v>2.8</v>
      </c>
      <c r="H233" t="n">
        <v>0</v>
      </c>
      <c r="I233" t="n">
        <v>0</v>
      </c>
      <c r="J233" t="n">
        <v>0</v>
      </c>
      <c r="K233" t="n">
        <v>0</v>
      </c>
      <c r="L233" t="n">
        <v>0</v>
      </c>
      <c r="M233" t="n">
        <v>0</v>
      </c>
      <c r="N233" t="n">
        <v>0</v>
      </c>
      <c r="O233" t="n">
        <v>0</v>
      </c>
      <c r="P233" t="n">
        <v>0</v>
      </c>
      <c r="Q233" t="n">
        <v>0</v>
      </c>
      <c r="R233" s="2" t="inlineStr"/>
    </row>
    <row r="234" ht="15" customHeight="1">
      <c r="A234" t="inlineStr">
        <is>
          <t>A 60093-2019</t>
        </is>
      </c>
      <c r="B234" s="1" t="n">
        <v>43777</v>
      </c>
      <c r="C234" s="1" t="n">
        <v>45565</v>
      </c>
      <c r="D234" t="inlineStr">
        <is>
          <t>JÄMTLANDS LÄN</t>
        </is>
      </c>
      <c r="E234" t="inlineStr">
        <is>
          <t>ÅRE</t>
        </is>
      </c>
      <c r="G234" t="n">
        <v>8.6</v>
      </c>
      <c r="H234" t="n">
        <v>0</v>
      </c>
      <c r="I234" t="n">
        <v>0</v>
      </c>
      <c r="J234" t="n">
        <v>0</v>
      </c>
      <c r="K234" t="n">
        <v>0</v>
      </c>
      <c r="L234" t="n">
        <v>0</v>
      </c>
      <c r="M234" t="n">
        <v>0</v>
      </c>
      <c r="N234" t="n">
        <v>0</v>
      </c>
      <c r="O234" t="n">
        <v>0</v>
      </c>
      <c r="P234" t="n">
        <v>0</v>
      </c>
      <c r="Q234" t="n">
        <v>0</v>
      </c>
      <c r="R234" s="2" t="inlineStr"/>
    </row>
    <row r="235" ht="15" customHeight="1">
      <c r="A235" t="inlineStr">
        <is>
          <t>A 62359-2019</t>
        </is>
      </c>
      <c r="B235" s="1" t="n">
        <v>43788</v>
      </c>
      <c r="C235" s="1" t="n">
        <v>45565</v>
      </c>
      <c r="D235" t="inlineStr">
        <is>
          <t>JÄMTLANDS LÄN</t>
        </is>
      </c>
      <c r="E235" t="inlineStr">
        <is>
          <t>ÅRE</t>
        </is>
      </c>
      <c r="F235" t="inlineStr">
        <is>
          <t>Övriga Aktiebolag</t>
        </is>
      </c>
      <c r="G235" t="n">
        <v>7</v>
      </c>
      <c r="H235" t="n">
        <v>0</v>
      </c>
      <c r="I235" t="n">
        <v>0</v>
      </c>
      <c r="J235" t="n">
        <v>0</v>
      </c>
      <c r="K235" t="n">
        <v>0</v>
      </c>
      <c r="L235" t="n">
        <v>0</v>
      </c>
      <c r="M235" t="n">
        <v>0</v>
      </c>
      <c r="N235" t="n">
        <v>0</v>
      </c>
      <c r="O235" t="n">
        <v>0</v>
      </c>
      <c r="P235" t="n">
        <v>0</v>
      </c>
      <c r="Q235" t="n">
        <v>0</v>
      </c>
      <c r="R235" s="2" t="inlineStr"/>
    </row>
    <row r="236" ht="15" customHeight="1">
      <c r="A236" t="inlineStr">
        <is>
          <t>A 62326-2019</t>
        </is>
      </c>
      <c r="B236" s="1" t="n">
        <v>43788</v>
      </c>
      <c r="C236" s="1" t="n">
        <v>45565</v>
      </c>
      <c r="D236" t="inlineStr">
        <is>
          <t>JÄMTLANDS LÄN</t>
        </is>
      </c>
      <c r="E236" t="inlineStr">
        <is>
          <t>ÅRE</t>
        </is>
      </c>
      <c r="G236" t="n">
        <v>3.7</v>
      </c>
      <c r="H236" t="n">
        <v>0</v>
      </c>
      <c r="I236" t="n">
        <v>0</v>
      </c>
      <c r="J236" t="n">
        <v>0</v>
      </c>
      <c r="K236" t="n">
        <v>0</v>
      </c>
      <c r="L236" t="n">
        <v>0</v>
      </c>
      <c r="M236" t="n">
        <v>0</v>
      </c>
      <c r="N236" t="n">
        <v>0</v>
      </c>
      <c r="O236" t="n">
        <v>0</v>
      </c>
      <c r="P236" t="n">
        <v>0</v>
      </c>
      <c r="Q236" t="n">
        <v>0</v>
      </c>
      <c r="R236" s="2" t="inlineStr"/>
    </row>
    <row r="237" ht="15" customHeight="1">
      <c r="A237" t="inlineStr">
        <is>
          <t>A 63729-2019</t>
        </is>
      </c>
      <c r="B237" s="1" t="n">
        <v>43788</v>
      </c>
      <c r="C237" s="1" t="n">
        <v>45565</v>
      </c>
      <c r="D237" t="inlineStr">
        <is>
          <t>JÄMTLANDS LÄN</t>
        </is>
      </c>
      <c r="E237" t="inlineStr">
        <is>
          <t>ÅRE</t>
        </is>
      </c>
      <c r="F237" t="inlineStr">
        <is>
          <t>Övriga Aktiebolag</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65986-2019</t>
        </is>
      </c>
      <c r="B238" s="1" t="n">
        <v>43801</v>
      </c>
      <c r="C238" s="1" t="n">
        <v>45565</v>
      </c>
      <c r="D238" t="inlineStr">
        <is>
          <t>JÄMTLANDS LÄN</t>
        </is>
      </c>
      <c r="E238" t="inlineStr">
        <is>
          <t>ÅRE</t>
        </is>
      </c>
      <c r="G238" t="n">
        <v>3</v>
      </c>
      <c r="H238" t="n">
        <v>0</v>
      </c>
      <c r="I238" t="n">
        <v>0</v>
      </c>
      <c r="J238" t="n">
        <v>0</v>
      </c>
      <c r="K238" t="n">
        <v>0</v>
      </c>
      <c r="L238" t="n">
        <v>0</v>
      </c>
      <c r="M238" t="n">
        <v>0</v>
      </c>
      <c r="N238" t="n">
        <v>0</v>
      </c>
      <c r="O238" t="n">
        <v>0</v>
      </c>
      <c r="P238" t="n">
        <v>0</v>
      </c>
      <c r="Q238" t="n">
        <v>0</v>
      </c>
      <c r="R238" s="2" t="inlineStr"/>
    </row>
    <row r="239" ht="15" customHeight="1">
      <c r="A239" t="inlineStr">
        <is>
          <t>A 66395-2019</t>
        </is>
      </c>
      <c r="B239" s="1" t="n">
        <v>43808</v>
      </c>
      <c r="C239" s="1" t="n">
        <v>45565</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66774-2019</t>
        </is>
      </c>
      <c r="B240" s="1" t="n">
        <v>43810</v>
      </c>
      <c r="C240" s="1" t="n">
        <v>45565</v>
      </c>
      <c r="D240" t="inlineStr">
        <is>
          <t>JÄMTLANDS LÄN</t>
        </is>
      </c>
      <c r="E240" t="inlineStr">
        <is>
          <t>ÅRE</t>
        </is>
      </c>
      <c r="G240" t="n">
        <v>7.4</v>
      </c>
      <c r="H240" t="n">
        <v>0</v>
      </c>
      <c r="I240" t="n">
        <v>0</v>
      </c>
      <c r="J240" t="n">
        <v>0</v>
      </c>
      <c r="K240" t="n">
        <v>0</v>
      </c>
      <c r="L240" t="n">
        <v>0</v>
      </c>
      <c r="M240" t="n">
        <v>0</v>
      </c>
      <c r="N240" t="n">
        <v>0</v>
      </c>
      <c r="O240" t="n">
        <v>0</v>
      </c>
      <c r="P240" t="n">
        <v>0</v>
      </c>
      <c r="Q240" t="n">
        <v>0</v>
      </c>
      <c r="R240" s="2" t="inlineStr"/>
    </row>
    <row r="241" ht="15" customHeight="1">
      <c r="A241" t="inlineStr">
        <is>
          <t>A 66787-2019</t>
        </is>
      </c>
      <c r="B241" s="1" t="n">
        <v>43810</v>
      </c>
      <c r="C241" s="1" t="n">
        <v>45565</v>
      </c>
      <c r="D241" t="inlineStr">
        <is>
          <t>JÄMTLANDS LÄN</t>
        </is>
      </c>
      <c r="E241" t="inlineStr">
        <is>
          <t>ÅRE</t>
        </is>
      </c>
      <c r="G241" t="n">
        <v>2.7</v>
      </c>
      <c r="H241" t="n">
        <v>0</v>
      </c>
      <c r="I241" t="n">
        <v>0</v>
      </c>
      <c r="J241" t="n">
        <v>0</v>
      </c>
      <c r="K241" t="n">
        <v>0</v>
      </c>
      <c r="L241" t="n">
        <v>0</v>
      </c>
      <c r="M241" t="n">
        <v>0</v>
      </c>
      <c r="N241" t="n">
        <v>0</v>
      </c>
      <c r="O241" t="n">
        <v>0</v>
      </c>
      <c r="P241" t="n">
        <v>0</v>
      </c>
      <c r="Q241" t="n">
        <v>0</v>
      </c>
      <c r="R241" s="2" t="inlineStr"/>
    </row>
    <row r="242" ht="15" customHeight="1">
      <c r="A242" t="inlineStr">
        <is>
          <t>A 67988-2019</t>
        </is>
      </c>
      <c r="B242" s="1" t="n">
        <v>43811</v>
      </c>
      <c r="C242" s="1" t="n">
        <v>45565</v>
      </c>
      <c r="D242" t="inlineStr">
        <is>
          <t>JÄMTLANDS LÄN</t>
        </is>
      </c>
      <c r="E242" t="inlineStr">
        <is>
          <t>ÅRE</t>
        </is>
      </c>
      <c r="G242" t="n">
        <v>1.6</v>
      </c>
      <c r="H242" t="n">
        <v>0</v>
      </c>
      <c r="I242" t="n">
        <v>0</v>
      </c>
      <c r="J242" t="n">
        <v>0</v>
      </c>
      <c r="K242" t="n">
        <v>0</v>
      </c>
      <c r="L242" t="n">
        <v>0</v>
      </c>
      <c r="M242" t="n">
        <v>0</v>
      </c>
      <c r="N242" t="n">
        <v>0</v>
      </c>
      <c r="O242" t="n">
        <v>0</v>
      </c>
      <c r="P242" t="n">
        <v>0</v>
      </c>
      <c r="Q242" t="n">
        <v>0</v>
      </c>
      <c r="R242" s="2" t="inlineStr"/>
    </row>
    <row r="243" ht="15" customHeight="1">
      <c r="A243" t="inlineStr">
        <is>
          <t>A 68076-2019</t>
        </is>
      </c>
      <c r="B243" s="1" t="n">
        <v>43816</v>
      </c>
      <c r="C243" s="1" t="n">
        <v>45565</v>
      </c>
      <c r="D243" t="inlineStr">
        <is>
          <t>JÄMTLANDS LÄN</t>
        </is>
      </c>
      <c r="E243" t="inlineStr">
        <is>
          <t>ÅRE</t>
        </is>
      </c>
      <c r="G243" t="n">
        <v>1.5</v>
      </c>
      <c r="H243" t="n">
        <v>0</v>
      </c>
      <c r="I243" t="n">
        <v>0</v>
      </c>
      <c r="J243" t="n">
        <v>0</v>
      </c>
      <c r="K243" t="n">
        <v>0</v>
      </c>
      <c r="L243" t="n">
        <v>0</v>
      </c>
      <c r="M243" t="n">
        <v>0</v>
      </c>
      <c r="N243" t="n">
        <v>0</v>
      </c>
      <c r="O243" t="n">
        <v>0</v>
      </c>
      <c r="P243" t="n">
        <v>0</v>
      </c>
      <c r="Q243" t="n">
        <v>0</v>
      </c>
      <c r="R243" s="2" t="inlineStr"/>
    </row>
    <row r="244" ht="15" customHeight="1">
      <c r="A244" t="inlineStr">
        <is>
          <t>A 68315-2019</t>
        </is>
      </c>
      <c r="B244" s="1" t="n">
        <v>43817</v>
      </c>
      <c r="C244" s="1" t="n">
        <v>45565</v>
      </c>
      <c r="D244" t="inlineStr">
        <is>
          <t>JÄMTLANDS LÄN</t>
        </is>
      </c>
      <c r="E244" t="inlineStr">
        <is>
          <t>ÅRE</t>
        </is>
      </c>
      <c r="G244" t="n">
        <v>1.7</v>
      </c>
      <c r="H244" t="n">
        <v>0</v>
      </c>
      <c r="I244" t="n">
        <v>0</v>
      </c>
      <c r="J244" t="n">
        <v>0</v>
      </c>
      <c r="K244" t="n">
        <v>0</v>
      </c>
      <c r="L244" t="n">
        <v>0</v>
      </c>
      <c r="M244" t="n">
        <v>0</v>
      </c>
      <c r="N244" t="n">
        <v>0</v>
      </c>
      <c r="O244" t="n">
        <v>0</v>
      </c>
      <c r="P244" t="n">
        <v>0</v>
      </c>
      <c r="Q244" t="n">
        <v>0</v>
      </c>
      <c r="R244" s="2" t="inlineStr"/>
    </row>
    <row r="245" ht="15" customHeight="1">
      <c r="A245" t="inlineStr">
        <is>
          <t>A 824-2020</t>
        </is>
      </c>
      <c r="B245" s="1" t="n">
        <v>43818</v>
      </c>
      <c r="C245" s="1" t="n">
        <v>45565</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70-2020</t>
        </is>
      </c>
      <c r="B246" s="1" t="n">
        <v>43832</v>
      </c>
      <c r="C246" s="1" t="n">
        <v>45565</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72-2020</t>
        </is>
      </c>
      <c r="B247" s="1" t="n">
        <v>43832</v>
      </c>
      <c r="C247" s="1" t="n">
        <v>45565</v>
      </c>
      <c r="D247" t="inlineStr">
        <is>
          <t>JÄMTLANDS LÄN</t>
        </is>
      </c>
      <c r="E247" t="inlineStr">
        <is>
          <t>ÅRE</t>
        </is>
      </c>
      <c r="G247" t="n">
        <v>4.7</v>
      </c>
      <c r="H247" t="n">
        <v>0</v>
      </c>
      <c r="I247" t="n">
        <v>0</v>
      </c>
      <c r="J247" t="n">
        <v>0</v>
      </c>
      <c r="K247" t="n">
        <v>0</v>
      </c>
      <c r="L247" t="n">
        <v>0</v>
      </c>
      <c r="M247" t="n">
        <v>0</v>
      </c>
      <c r="N247" t="n">
        <v>0</v>
      </c>
      <c r="O247" t="n">
        <v>0</v>
      </c>
      <c r="P247" t="n">
        <v>0</v>
      </c>
      <c r="Q247" t="n">
        <v>0</v>
      </c>
      <c r="R247" s="2" t="inlineStr"/>
    </row>
    <row r="248" ht="15" customHeight="1">
      <c r="A248" t="inlineStr">
        <is>
          <t>A 67-2020</t>
        </is>
      </c>
      <c r="B248" s="1" t="n">
        <v>43832</v>
      </c>
      <c r="C248" s="1" t="n">
        <v>45565</v>
      </c>
      <c r="D248" t="inlineStr">
        <is>
          <t>JÄMTLANDS LÄN</t>
        </is>
      </c>
      <c r="E248" t="inlineStr">
        <is>
          <t>ÅRE</t>
        </is>
      </c>
      <c r="G248" t="n">
        <v>0.4</v>
      </c>
      <c r="H248" t="n">
        <v>0</v>
      </c>
      <c r="I248" t="n">
        <v>0</v>
      </c>
      <c r="J248" t="n">
        <v>0</v>
      </c>
      <c r="K248" t="n">
        <v>0</v>
      </c>
      <c r="L248" t="n">
        <v>0</v>
      </c>
      <c r="M248" t="n">
        <v>0</v>
      </c>
      <c r="N248" t="n">
        <v>0</v>
      </c>
      <c r="O248" t="n">
        <v>0</v>
      </c>
      <c r="P248" t="n">
        <v>0</v>
      </c>
      <c r="Q248" t="n">
        <v>0</v>
      </c>
      <c r="R248" s="2" t="inlineStr"/>
    </row>
    <row r="249" ht="15" customHeight="1">
      <c r="A249" t="inlineStr">
        <is>
          <t>A 1819-2020</t>
        </is>
      </c>
      <c r="B249" s="1" t="n">
        <v>43833</v>
      </c>
      <c r="C249" s="1" t="n">
        <v>45565</v>
      </c>
      <c r="D249" t="inlineStr">
        <is>
          <t>JÄMTLANDS LÄN</t>
        </is>
      </c>
      <c r="E249" t="inlineStr">
        <is>
          <t>ÅRE</t>
        </is>
      </c>
      <c r="G249" t="n">
        <v>3.2</v>
      </c>
      <c r="H249" t="n">
        <v>0</v>
      </c>
      <c r="I249" t="n">
        <v>0</v>
      </c>
      <c r="J249" t="n">
        <v>0</v>
      </c>
      <c r="K249" t="n">
        <v>0</v>
      </c>
      <c r="L249" t="n">
        <v>0</v>
      </c>
      <c r="M249" t="n">
        <v>0</v>
      </c>
      <c r="N249" t="n">
        <v>0</v>
      </c>
      <c r="O249" t="n">
        <v>0</v>
      </c>
      <c r="P249" t="n">
        <v>0</v>
      </c>
      <c r="Q249" t="n">
        <v>0</v>
      </c>
      <c r="R249" s="2" t="inlineStr"/>
    </row>
    <row r="250" ht="15" customHeight="1">
      <c r="A250" t="inlineStr">
        <is>
          <t>A 3838-2020</t>
        </is>
      </c>
      <c r="B250" s="1" t="n">
        <v>43854</v>
      </c>
      <c r="C250" s="1" t="n">
        <v>45565</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13402-2020</t>
        </is>
      </c>
      <c r="B251" s="1" t="n">
        <v>43902</v>
      </c>
      <c r="C251" s="1" t="n">
        <v>45565</v>
      </c>
      <c r="D251" t="inlineStr">
        <is>
          <t>JÄMTLANDS LÄN</t>
        </is>
      </c>
      <c r="E251" t="inlineStr">
        <is>
          <t>ÅRE</t>
        </is>
      </c>
      <c r="G251" t="n">
        <v>0.7</v>
      </c>
      <c r="H251" t="n">
        <v>0</v>
      </c>
      <c r="I251" t="n">
        <v>0</v>
      </c>
      <c r="J251" t="n">
        <v>0</v>
      </c>
      <c r="K251" t="n">
        <v>0</v>
      </c>
      <c r="L251" t="n">
        <v>0</v>
      </c>
      <c r="M251" t="n">
        <v>0</v>
      </c>
      <c r="N251" t="n">
        <v>0</v>
      </c>
      <c r="O251" t="n">
        <v>0</v>
      </c>
      <c r="P251" t="n">
        <v>0</v>
      </c>
      <c r="Q251" t="n">
        <v>0</v>
      </c>
      <c r="R251" s="2" t="inlineStr"/>
    </row>
    <row r="252" ht="15" customHeight="1">
      <c r="A252" t="inlineStr">
        <is>
          <t>A 13408-2020</t>
        </is>
      </c>
      <c r="B252" s="1" t="n">
        <v>43902</v>
      </c>
      <c r="C252" s="1" t="n">
        <v>45565</v>
      </c>
      <c r="D252" t="inlineStr">
        <is>
          <t>JÄMTLANDS LÄN</t>
        </is>
      </c>
      <c r="E252" t="inlineStr">
        <is>
          <t>ÅRE</t>
        </is>
      </c>
      <c r="G252" t="n">
        <v>0.6</v>
      </c>
      <c r="H252" t="n">
        <v>0</v>
      </c>
      <c r="I252" t="n">
        <v>0</v>
      </c>
      <c r="J252" t="n">
        <v>0</v>
      </c>
      <c r="K252" t="n">
        <v>0</v>
      </c>
      <c r="L252" t="n">
        <v>0</v>
      </c>
      <c r="M252" t="n">
        <v>0</v>
      </c>
      <c r="N252" t="n">
        <v>0</v>
      </c>
      <c r="O252" t="n">
        <v>0</v>
      </c>
      <c r="P252" t="n">
        <v>0</v>
      </c>
      <c r="Q252" t="n">
        <v>0</v>
      </c>
      <c r="R252" s="2" t="inlineStr"/>
    </row>
    <row r="253" ht="15" customHeight="1">
      <c r="A253" t="inlineStr">
        <is>
          <t>A 14753-2020</t>
        </is>
      </c>
      <c r="B253" s="1" t="n">
        <v>43909</v>
      </c>
      <c r="C253" s="1" t="n">
        <v>45565</v>
      </c>
      <c r="D253" t="inlineStr">
        <is>
          <t>JÄMTLANDS LÄN</t>
        </is>
      </c>
      <c r="E253" t="inlineStr">
        <is>
          <t>ÅRE</t>
        </is>
      </c>
      <c r="G253" t="n">
        <v>1.6</v>
      </c>
      <c r="H253" t="n">
        <v>0</v>
      </c>
      <c r="I253" t="n">
        <v>0</v>
      </c>
      <c r="J253" t="n">
        <v>0</v>
      </c>
      <c r="K253" t="n">
        <v>0</v>
      </c>
      <c r="L253" t="n">
        <v>0</v>
      </c>
      <c r="M253" t="n">
        <v>0</v>
      </c>
      <c r="N253" t="n">
        <v>0</v>
      </c>
      <c r="O253" t="n">
        <v>0</v>
      </c>
      <c r="P253" t="n">
        <v>0</v>
      </c>
      <c r="Q253" t="n">
        <v>0</v>
      </c>
      <c r="R253" s="2" t="inlineStr"/>
    </row>
    <row r="254" ht="15" customHeight="1">
      <c r="A254" t="inlineStr">
        <is>
          <t>A 20538-2020</t>
        </is>
      </c>
      <c r="B254" s="1" t="n">
        <v>43948</v>
      </c>
      <c r="C254" s="1" t="n">
        <v>45565</v>
      </c>
      <c r="D254" t="inlineStr">
        <is>
          <t>JÄMTLANDS LÄN</t>
        </is>
      </c>
      <c r="E254" t="inlineStr">
        <is>
          <t>ÅRE</t>
        </is>
      </c>
      <c r="G254" t="n">
        <v>3.7</v>
      </c>
      <c r="H254" t="n">
        <v>0</v>
      </c>
      <c r="I254" t="n">
        <v>0</v>
      </c>
      <c r="J254" t="n">
        <v>0</v>
      </c>
      <c r="K254" t="n">
        <v>0</v>
      </c>
      <c r="L254" t="n">
        <v>0</v>
      </c>
      <c r="M254" t="n">
        <v>0</v>
      </c>
      <c r="N254" t="n">
        <v>0</v>
      </c>
      <c r="O254" t="n">
        <v>0</v>
      </c>
      <c r="P254" t="n">
        <v>0</v>
      </c>
      <c r="Q254" t="n">
        <v>0</v>
      </c>
      <c r="R254" s="2" t="inlineStr"/>
    </row>
    <row r="255" ht="15" customHeight="1">
      <c r="A255" t="inlineStr">
        <is>
          <t>A 21448-2020</t>
        </is>
      </c>
      <c r="B255" s="1" t="n">
        <v>43956</v>
      </c>
      <c r="C255" s="1" t="n">
        <v>45565</v>
      </c>
      <c r="D255" t="inlineStr">
        <is>
          <t>JÄMTLANDS LÄN</t>
        </is>
      </c>
      <c r="E255" t="inlineStr">
        <is>
          <t>ÅRE</t>
        </is>
      </c>
      <c r="G255" t="n">
        <v>0.8</v>
      </c>
      <c r="H255" t="n">
        <v>0</v>
      </c>
      <c r="I255" t="n">
        <v>0</v>
      </c>
      <c r="J255" t="n">
        <v>0</v>
      </c>
      <c r="K255" t="n">
        <v>0</v>
      </c>
      <c r="L255" t="n">
        <v>0</v>
      </c>
      <c r="M255" t="n">
        <v>0</v>
      </c>
      <c r="N255" t="n">
        <v>0</v>
      </c>
      <c r="O255" t="n">
        <v>0</v>
      </c>
      <c r="P255" t="n">
        <v>0</v>
      </c>
      <c r="Q255" t="n">
        <v>0</v>
      </c>
      <c r="R255" s="2" t="inlineStr"/>
    </row>
    <row r="256" ht="15" customHeight="1">
      <c r="A256" t="inlineStr">
        <is>
          <t>A 23393-2020</t>
        </is>
      </c>
      <c r="B256" s="1" t="n">
        <v>43968</v>
      </c>
      <c r="C256" s="1" t="n">
        <v>45565</v>
      </c>
      <c r="D256" t="inlineStr">
        <is>
          <t>JÄMTLANDS LÄN</t>
        </is>
      </c>
      <c r="E256" t="inlineStr">
        <is>
          <t>ÅRE</t>
        </is>
      </c>
      <c r="G256" t="n">
        <v>5</v>
      </c>
      <c r="H256" t="n">
        <v>0</v>
      </c>
      <c r="I256" t="n">
        <v>0</v>
      </c>
      <c r="J256" t="n">
        <v>0</v>
      </c>
      <c r="K256" t="n">
        <v>0</v>
      </c>
      <c r="L256" t="n">
        <v>0</v>
      </c>
      <c r="M256" t="n">
        <v>0</v>
      </c>
      <c r="N256" t="n">
        <v>0</v>
      </c>
      <c r="O256" t="n">
        <v>0</v>
      </c>
      <c r="P256" t="n">
        <v>0</v>
      </c>
      <c r="Q256" t="n">
        <v>0</v>
      </c>
      <c r="R256" s="2" t="inlineStr"/>
    </row>
    <row r="257" ht="15" customHeight="1">
      <c r="A257" t="inlineStr">
        <is>
          <t>A 24436-2020</t>
        </is>
      </c>
      <c r="B257" s="1" t="n">
        <v>43976</v>
      </c>
      <c r="C257" s="1" t="n">
        <v>45565</v>
      </c>
      <c r="D257" t="inlineStr">
        <is>
          <t>JÄMTLANDS LÄN</t>
        </is>
      </c>
      <c r="E257" t="inlineStr">
        <is>
          <t>ÅRE</t>
        </is>
      </c>
      <c r="G257" t="n">
        <v>3.3</v>
      </c>
      <c r="H257" t="n">
        <v>0</v>
      </c>
      <c r="I257" t="n">
        <v>0</v>
      </c>
      <c r="J257" t="n">
        <v>0</v>
      </c>
      <c r="K257" t="n">
        <v>0</v>
      </c>
      <c r="L257" t="n">
        <v>0</v>
      </c>
      <c r="M257" t="n">
        <v>0</v>
      </c>
      <c r="N257" t="n">
        <v>0</v>
      </c>
      <c r="O257" t="n">
        <v>0</v>
      </c>
      <c r="P257" t="n">
        <v>0</v>
      </c>
      <c r="Q257" t="n">
        <v>0</v>
      </c>
      <c r="R257" s="2" t="inlineStr"/>
    </row>
    <row r="258" ht="15" customHeight="1">
      <c r="A258" t="inlineStr">
        <is>
          <t>A 25587-2020</t>
        </is>
      </c>
      <c r="B258" s="1" t="n">
        <v>43983</v>
      </c>
      <c r="C258" s="1" t="n">
        <v>45565</v>
      </c>
      <c r="D258" t="inlineStr">
        <is>
          <t>JÄMTLANDS LÄN</t>
        </is>
      </c>
      <c r="E258" t="inlineStr">
        <is>
          <t>ÅRE</t>
        </is>
      </c>
      <c r="G258" t="n">
        <v>10.3</v>
      </c>
      <c r="H258" t="n">
        <v>0</v>
      </c>
      <c r="I258" t="n">
        <v>0</v>
      </c>
      <c r="J258" t="n">
        <v>0</v>
      </c>
      <c r="K258" t="n">
        <v>0</v>
      </c>
      <c r="L258" t="n">
        <v>0</v>
      </c>
      <c r="M258" t="n">
        <v>0</v>
      </c>
      <c r="N258" t="n">
        <v>0</v>
      </c>
      <c r="O258" t="n">
        <v>0</v>
      </c>
      <c r="P258" t="n">
        <v>0</v>
      </c>
      <c r="Q258" t="n">
        <v>0</v>
      </c>
      <c r="R258" s="2" t="inlineStr"/>
    </row>
    <row r="259" ht="15" customHeight="1">
      <c r="A259" t="inlineStr">
        <is>
          <t>A 25592-2020</t>
        </is>
      </c>
      <c r="B259" s="1" t="n">
        <v>43983</v>
      </c>
      <c r="C259" s="1" t="n">
        <v>45565</v>
      </c>
      <c r="D259" t="inlineStr">
        <is>
          <t>JÄMTLANDS LÄN</t>
        </is>
      </c>
      <c r="E259" t="inlineStr">
        <is>
          <t>ÅRE</t>
        </is>
      </c>
      <c r="G259" t="n">
        <v>6.6</v>
      </c>
      <c r="H259" t="n">
        <v>0</v>
      </c>
      <c r="I259" t="n">
        <v>0</v>
      </c>
      <c r="J259" t="n">
        <v>0</v>
      </c>
      <c r="K259" t="n">
        <v>0</v>
      </c>
      <c r="L259" t="n">
        <v>0</v>
      </c>
      <c r="M259" t="n">
        <v>0</v>
      </c>
      <c r="N259" t="n">
        <v>0</v>
      </c>
      <c r="O259" t="n">
        <v>0</v>
      </c>
      <c r="P259" t="n">
        <v>0</v>
      </c>
      <c r="Q259" t="n">
        <v>0</v>
      </c>
      <c r="R259" s="2" t="inlineStr"/>
    </row>
    <row r="260" ht="15" customHeight="1">
      <c r="A260" t="inlineStr">
        <is>
          <t>A 27292-2020</t>
        </is>
      </c>
      <c r="B260" s="1" t="n">
        <v>43992</v>
      </c>
      <c r="C260" s="1" t="n">
        <v>45565</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27369-2020</t>
        </is>
      </c>
      <c r="B261" s="1" t="n">
        <v>43992</v>
      </c>
      <c r="C261" s="1" t="n">
        <v>45565</v>
      </c>
      <c r="D261" t="inlineStr">
        <is>
          <t>JÄMTLANDS LÄN</t>
        </is>
      </c>
      <c r="E261" t="inlineStr">
        <is>
          <t>ÅRE</t>
        </is>
      </c>
      <c r="G261" t="n">
        <v>7.3</v>
      </c>
      <c r="H261" t="n">
        <v>0</v>
      </c>
      <c r="I261" t="n">
        <v>0</v>
      </c>
      <c r="J261" t="n">
        <v>0</v>
      </c>
      <c r="K261" t="n">
        <v>0</v>
      </c>
      <c r="L261" t="n">
        <v>0</v>
      </c>
      <c r="M261" t="n">
        <v>0</v>
      </c>
      <c r="N261" t="n">
        <v>0</v>
      </c>
      <c r="O261" t="n">
        <v>0</v>
      </c>
      <c r="P261" t="n">
        <v>0</v>
      </c>
      <c r="Q261" t="n">
        <v>0</v>
      </c>
      <c r="R261" s="2" t="inlineStr"/>
    </row>
    <row r="262" ht="15" customHeight="1">
      <c r="A262" t="inlineStr">
        <is>
          <t>A 28422-2020</t>
        </is>
      </c>
      <c r="B262" s="1" t="n">
        <v>43998</v>
      </c>
      <c r="C262" s="1" t="n">
        <v>45565</v>
      </c>
      <c r="D262" t="inlineStr">
        <is>
          <t>JÄMTLANDS LÄN</t>
        </is>
      </c>
      <c r="E262" t="inlineStr">
        <is>
          <t>ÅRE</t>
        </is>
      </c>
      <c r="G262" t="n">
        <v>1.1</v>
      </c>
      <c r="H262" t="n">
        <v>0</v>
      </c>
      <c r="I262" t="n">
        <v>0</v>
      </c>
      <c r="J262" t="n">
        <v>0</v>
      </c>
      <c r="K262" t="n">
        <v>0</v>
      </c>
      <c r="L262" t="n">
        <v>0</v>
      </c>
      <c r="M262" t="n">
        <v>0</v>
      </c>
      <c r="N262" t="n">
        <v>0</v>
      </c>
      <c r="O262" t="n">
        <v>0</v>
      </c>
      <c r="P262" t="n">
        <v>0</v>
      </c>
      <c r="Q262" t="n">
        <v>0</v>
      </c>
      <c r="R262" s="2" t="inlineStr"/>
    </row>
    <row r="263" ht="15" customHeight="1">
      <c r="A263" t="inlineStr">
        <is>
          <t>A 28385-2020</t>
        </is>
      </c>
      <c r="B263" s="1" t="n">
        <v>43998</v>
      </c>
      <c r="C263" s="1" t="n">
        <v>45565</v>
      </c>
      <c r="D263" t="inlineStr">
        <is>
          <t>JÄMTLANDS LÄN</t>
        </is>
      </c>
      <c r="E263" t="inlineStr">
        <is>
          <t>ÅRE</t>
        </is>
      </c>
      <c r="G263" t="n">
        <v>0.5</v>
      </c>
      <c r="H263" t="n">
        <v>0</v>
      </c>
      <c r="I263" t="n">
        <v>0</v>
      </c>
      <c r="J263" t="n">
        <v>0</v>
      </c>
      <c r="K263" t="n">
        <v>0</v>
      </c>
      <c r="L263" t="n">
        <v>0</v>
      </c>
      <c r="M263" t="n">
        <v>0</v>
      </c>
      <c r="N263" t="n">
        <v>0</v>
      </c>
      <c r="O263" t="n">
        <v>0</v>
      </c>
      <c r="P263" t="n">
        <v>0</v>
      </c>
      <c r="Q263" t="n">
        <v>0</v>
      </c>
      <c r="R263" s="2" t="inlineStr"/>
    </row>
    <row r="264" ht="15" customHeight="1">
      <c r="A264" t="inlineStr">
        <is>
          <t>A 28869-2020</t>
        </is>
      </c>
      <c r="B264" s="1" t="n">
        <v>44000</v>
      </c>
      <c r="C264" s="1" t="n">
        <v>45565</v>
      </c>
      <c r="D264" t="inlineStr">
        <is>
          <t>JÄMTLANDS LÄN</t>
        </is>
      </c>
      <c r="E264" t="inlineStr">
        <is>
          <t>ÅRE</t>
        </is>
      </c>
      <c r="F264" t="inlineStr">
        <is>
          <t>Kyrkan</t>
        </is>
      </c>
      <c r="G264" t="n">
        <v>1.7</v>
      </c>
      <c r="H264" t="n">
        <v>0</v>
      </c>
      <c r="I264" t="n">
        <v>0</v>
      </c>
      <c r="J264" t="n">
        <v>0</v>
      </c>
      <c r="K264" t="n">
        <v>0</v>
      </c>
      <c r="L264" t="n">
        <v>0</v>
      </c>
      <c r="M264" t="n">
        <v>0</v>
      </c>
      <c r="N264" t="n">
        <v>0</v>
      </c>
      <c r="O264" t="n">
        <v>0</v>
      </c>
      <c r="P264" t="n">
        <v>0</v>
      </c>
      <c r="Q264" t="n">
        <v>0</v>
      </c>
      <c r="R264" s="2" t="inlineStr"/>
    </row>
    <row r="265" ht="15" customHeight="1">
      <c r="A265" t="inlineStr">
        <is>
          <t>A 29083-2020</t>
        </is>
      </c>
      <c r="B265" s="1" t="n">
        <v>44002</v>
      </c>
      <c r="C265" s="1" t="n">
        <v>45565</v>
      </c>
      <c r="D265" t="inlineStr">
        <is>
          <t>JÄMTLANDS LÄN</t>
        </is>
      </c>
      <c r="E265" t="inlineStr">
        <is>
          <t>ÅRE</t>
        </is>
      </c>
      <c r="G265" t="n">
        <v>0.9</v>
      </c>
      <c r="H265" t="n">
        <v>0</v>
      </c>
      <c r="I265" t="n">
        <v>0</v>
      </c>
      <c r="J265" t="n">
        <v>0</v>
      </c>
      <c r="K265" t="n">
        <v>0</v>
      </c>
      <c r="L265" t="n">
        <v>0</v>
      </c>
      <c r="M265" t="n">
        <v>0</v>
      </c>
      <c r="N265" t="n">
        <v>0</v>
      </c>
      <c r="O265" t="n">
        <v>0</v>
      </c>
      <c r="P265" t="n">
        <v>0</v>
      </c>
      <c r="Q265" t="n">
        <v>0</v>
      </c>
      <c r="R265" s="2" t="inlineStr"/>
    </row>
    <row r="266" ht="15" customHeight="1">
      <c r="A266" t="inlineStr">
        <is>
          <t>A 29080-2020</t>
        </is>
      </c>
      <c r="B266" s="1" t="n">
        <v>44002</v>
      </c>
      <c r="C266" s="1" t="n">
        <v>45565</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33239-2020</t>
        </is>
      </c>
      <c r="B267" s="1" t="n">
        <v>44022</v>
      </c>
      <c r="C267" s="1" t="n">
        <v>45565</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33530-2020</t>
        </is>
      </c>
      <c r="B268" s="1" t="n">
        <v>44025</v>
      </c>
      <c r="C268" s="1" t="n">
        <v>45565</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34013-2020</t>
        </is>
      </c>
      <c r="B269" s="1" t="n">
        <v>44028</v>
      </c>
      <c r="C269" s="1" t="n">
        <v>45565</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34207-2020</t>
        </is>
      </c>
      <c r="B270" s="1" t="n">
        <v>44029</v>
      </c>
      <c r="C270" s="1" t="n">
        <v>45565</v>
      </c>
      <c r="D270" t="inlineStr">
        <is>
          <t>JÄMTLANDS LÄN</t>
        </is>
      </c>
      <c r="E270" t="inlineStr">
        <is>
          <t>ÅRE</t>
        </is>
      </c>
      <c r="G270" t="n">
        <v>10.2</v>
      </c>
      <c r="H270" t="n">
        <v>0</v>
      </c>
      <c r="I270" t="n">
        <v>0</v>
      </c>
      <c r="J270" t="n">
        <v>0</v>
      </c>
      <c r="K270" t="n">
        <v>0</v>
      </c>
      <c r="L270" t="n">
        <v>0</v>
      </c>
      <c r="M270" t="n">
        <v>0</v>
      </c>
      <c r="N270" t="n">
        <v>0</v>
      </c>
      <c r="O270" t="n">
        <v>0</v>
      </c>
      <c r="P270" t="n">
        <v>0</v>
      </c>
      <c r="Q270" t="n">
        <v>0</v>
      </c>
      <c r="R270" s="2" t="inlineStr"/>
    </row>
    <row r="271" ht="15" customHeight="1">
      <c r="A271" t="inlineStr">
        <is>
          <t>A 34529-2020</t>
        </is>
      </c>
      <c r="B271" s="1" t="n">
        <v>44033</v>
      </c>
      <c r="C271" s="1" t="n">
        <v>45565</v>
      </c>
      <c r="D271" t="inlineStr">
        <is>
          <t>JÄMTLANDS LÄN</t>
        </is>
      </c>
      <c r="E271" t="inlineStr">
        <is>
          <t>ÅRE</t>
        </is>
      </c>
      <c r="G271" t="n">
        <v>0.5</v>
      </c>
      <c r="H271" t="n">
        <v>0</v>
      </c>
      <c r="I271" t="n">
        <v>0</v>
      </c>
      <c r="J271" t="n">
        <v>0</v>
      </c>
      <c r="K271" t="n">
        <v>0</v>
      </c>
      <c r="L271" t="n">
        <v>0</v>
      </c>
      <c r="M271" t="n">
        <v>0</v>
      </c>
      <c r="N271" t="n">
        <v>0</v>
      </c>
      <c r="O271" t="n">
        <v>0</v>
      </c>
      <c r="P271" t="n">
        <v>0</v>
      </c>
      <c r="Q271" t="n">
        <v>0</v>
      </c>
      <c r="R271" s="2" t="inlineStr"/>
    </row>
    <row r="272" ht="15" customHeight="1">
      <c r="A272" t="inlineStr">
        <is>
          <t>A 34678-2020</t>
        </is>
      </c>
      <c r="B272" s="1" t="n">
        <v>44033</v>
      </c>
      <c r="C272" s="1" t="n">
        <v>45565</v>
      </c>
      <c r="D272" t="inlineStr">
        <is>
          <t>JÄMTLANDS LÄN</t>
        </is>
      </c>
      <c r="E272" t="inlineStr">
        <is>
          <t>ÅRE</t>
        </is>
      </c>
      <c r="G272" t="n">
        <v>2.8</v>
      </c>
      <c r="H272" t="n">
        <v>0</v>
      </c>
      <c r="I272" t="n">
        <v>0</v>
      </c>
      <c r="J272" t="n">
        <v>0</v>
      </c>
      <c r="K272" t="n">
        <v>0</v>
      </c>
      <c r="L272" t="n">
        <v>0</v>
      </c>
      <c r="M272" t="n">
        <v>0</v>
      </c>
      <c r="N272" t="n">
        <v>0</v>
      </c>
      <c r="O272" t="n">
        <v>0</v>
      </c>
      <c r="P272" t="n">
        <v>0</v>
      </c>
      <c r="Q272" t="n">
        <v>0</v>
      </c>
      <c r="R272" s="2" t="inlineStr"/>
    </row>
    <row r="273" ht="15" customHeight="1">
      <c r="A273" t="inlineStr">
        <is>
          <t>A 34640-2020</t>
        </is>
      </c>
      <c r="B273" s="1" t="n">
        <v>44034</v>
      </c>
      <c r="C273" s="1" t="n">
        <v>45565</v>
      </c>
      <c r="D273" t="inlineStr">
        <is>
          <t>JÄMTLANDS LÄN</t>
        </is>
      </c>
      <c r="E273" t="inlineStr">
        <is>
          <t>ÅRE</t>
        </is>
      </c>
      <c r="G273" t="n">
        <v>9.4</v>
      </c>
      <c r="H273" t="n">
        <v>0</v>
      </c>
      <c r="I273" t="n">
        <v>0</v>
      </c>
      <c r="J273" t="n">
        <v>0</v>
      </c>
      <c r="K273" t="n">
        <v>0</v>
      </c>
      <c r="L273" t="n">
        <v>0</v>
      </c>
      <c r="M273" t="n">
        <v>0</v>
      </c>
      <c r="N273" t="n">
        <v>0</v>
      </c>
      <c r="O273" t="n">
        <v>0</v>
      </c>
      <c r="P273" t="n">
        <v>0</v>
      </c>
      <c r="Q273" t="n">
        <v>0</v>
      </c>
      <c r="R273" s="2" t="inlineStr"/>
    </row>
    <row r="274" ht="15" customHeight="1">
      <c r="A274" t="inlineStr">
        <is>
          <t>A 35849-2020</t>
        </is>
      </c>
      <c r="B274" s="1" t="n">
        <v>44047</v>
      </c>
      <c r="C274" s="1" t="n">
        <v>45565</v>
      </c>
      <c r="D274" t="inlineStr">
        <is>
          <t>JÄMTLANDS LÄN</t>
        </is>
      </c>
      <c r="E274" t="inlineStr">
        <is>
          <t>ÅRE</t>
        </is>
      </c>
      <c r="G274" t="n">
        <v>21.3</v>
      </c>
      <c r="H274" t="n">
        <v>0</v>
      </c>
      <c r="I274" t="n">
        <v>0</v>
      </c>
      <c r="J274" t="n">
        <v>0</v>
      </c>
      <c r="K274" t="n">
        <v>0</v>
      </c>
      <c r="L274" t="n">
        <v>0</v>
      </c>
      <c r="M274" t="n">
        <v>0</v>
      </c>
      <c r="N274" t="n">
        <v>0</v>
      </c>
      <c r="O274" t="n">
        <v>0</v>
      </c>
      <c r="P274" t="n">
        <v>0</v>
      </c>
      <c r="Q274" t="n">
        <v>0</v>
      </c>
      <c r="R274" s="2" t="inlineStr"/>
    </row>
    <row r="275" ht="15" customHeight="1">
      <c r="A275" t="inlineStr">
        <is>
          <t>A 36506-2020</t>
        </is>
      </c>
      <c r="B275" s="1" t="n">
        <v>44050</v>
      </c>
      <c r="C275" s="1" t="n">
        <v>45565</v>
      </c>
      <c r="D275" t="inlineStr">
        <is>
          <t>JÄMTLANDS LÄN</t>
        </is>
      </c>
      <c r="E275" t="inlineStr">
        <is>
          <t>ÅRE</t>
        </is>
      </c>
      <c r="G275" t="n">
        <v>0.1</v>
      </c>
      <c r="H275" t="n">
        <v>0</v>
      </c>
      <c r="I275" t="n">
        <v>0</v>
      </c>
      <c r="J275" t="n">
        <v>0</v>
      </c>
      <c r="K275" t="n">
        <v>0</v>
      </c>
      <c r="L275" t="n">
        <v>0</v>
      </c>
      <c r="M275" t="n">
        <v>0</v>
      </c>
      <c r="N275" t="n">
        <v>0</v>
      </c>
      <c r="O275" t="n">
        <v>0</v>
      </c>
      <c r="P275" t="n">
        <v>0</v>
      </c>
      <c r="Q275" t="n">
        <v>0</v>
      </c>
      <c r="R275" s="2" t="inlineStr"/>
    </row>
    <row r="276" ht="15" customHeight="1">
      <c r="A276" t="inlineStr">
        <is>
          <t>A 36501-2020</t>
        </is>
      </c>
      <c r="B276" s="1" t="n">
        <v>44050</v>
      </c>
      <c r="C276" s="1" t="n">
        <v>45565</v>
      </c>
      <c r="D276" t="inlineStr">
        <is>
          <t>JÄMTLANDS LÄN</t>
        </is>
      </c>
      <c r="E276" t="inlineStr">
        <is>
          <t>ÅRE</t>
        </is>
      </c>
      <c r="G276" t="n">
        <v>5.1</v>
      </c>
      <c r="H276" t="n">
        <v>0</v>
      </c>
      <c r="I276" t="n">
        <v>0</v>
      </c>
      <c r="J276" t="n">
        <v>0</v>
      </c>
      <c r="K276" t="n">
        <v>0</v>
      </c>
      <c r="L276" t="n">
        <v>0</v>
      </c>
      <c r="M276" t="n">
        <v>0</v>
      </c>
      <c r="N276" t="n">
        <v>0</v>
      </c>
      <c r="O276" t="n">
        <v>0</v>
      </c>
      <c r="P276" t="n">
        <v>0</v>
      </c>
      <c r="Q276" t="n">
        <v>0</v>
      </c>
      <c r="R276" s="2" t="inlineStr"/>
    </row>
    <row r="277" ht="15" customHeight="1">
      <c r="A277" t="inlineStr">
        <is>
          <t>A 38454-2020</t>
        </is>
      </c>
      <c r="B277" s="1" t="n">
        <v>44060</v>
      </c>
      <c r="C277" s="1" t="n">
        <v>45565</v>
      </c>
      <c r="D277" t="inlineStr">
        <is>
          <t>JÄMTLANDS LÄN</t>
        </is>
      </c>
      <c r="E277" t="inlineStr">
        <is>
          <t>ÅRE</t>
        </is>
      </c>
      <c r="G277" t="n">
        <v>6.9</v>
      </c>
      <c r="H277" t="n">
        <v>0</v>
      </c>
      <c r="I277" t="n">
        <v>0</v>
      </c>
      <c r="J277" t="n">
        <v>0</v>
      </c>
      <c r="K277" t="n">
        <v>0</v>
      </c>
      <c r="L277" t="n">
        <v>0</v>
      </c>
      <c r="M277" t="n">
        <v>0</v>
      </c>
      <c r="N277" t="n">
        <v>0</v>
      </c>
      <c r="O277" t="n">
        <v>0</v>
      </c>
      <c r="P277" t="n">
        <v>0</v>
      </c>
      <c r="Q277" t="n">
        <v>0</v>
      </c>
      <c r="R277" s="2" t="inlineStr"/>
    </row>
    <row r="278" ht="15" customHeight="1">
      <c r="A278" t="inlineStr">
        <is>
          <t>A 38455-2020</t>
        </is>
      </c>
      <c r="B278" s="1" t="n">
        <v>44060</v>
      </c>
      <c r="C278" s="1" t="n">
        <v>45565</v>
      </c>
      <c r="D278" t="inlineStr">
        <is>
          <t>JÄMTLANDS LÄN</t>
        </is>
      </c>
      <c r="E278" t="inlineStr">
        <is>
          <t>ÅRE</t>
        </is>
      </c>
      <c r="G278" t="n">
        <v>2.1</v>
      </c>
      <c r="H278" t="n">
        <v>0</v>
      </c>
      <c r="I278" t="n">
        <v>0</v>
      </c>
      <c r="J278" t="n">
        <v>0</v>
      </c>
      <c r="K278" t="n">
        <v>0</v>
      </c>
      <c r="L278" t="n">
        <v>0</v>
      </c>
      <c r="M278" t="n">
        <v>0</v>
      </c>
      <c r="N278" t="n">
        <v>0</v>
      </c>
      <c r="O278" t="n">
        <v>0</v>
      </c>
      <c r="P278" t="n">
        <v>0</v>
      </c>
      <c r="Q278" t="n">
        <v>0</v>
      </c>
      <c r="R278" s="2" t="inlineStr"/>
    </row>
    <row r="279" ht="15" customHeight="1">
      <c r="A279" t="inlineStr">
        <is>
          <t>A 40148-2020</t>
        </is>
      </c>
      <c r="B279" s="1" t="n">
        <v>44068</v>
      </c>
      <c r="C279" s="1" t="n">
        <v>45565</v>
      </c>
      <c r="D279" t="inlineStr">
        <is>
          <t>JÄMTLANDS LÄN</t>
        </is>
      </c>
      <c r="E279" t="inlineStr">
        <is>
          <t>ÅRE</t>
        </is>
      </c>
      <c r="G279" t="n">
        <v>0.5</v>
      </c>
      <c r="H279" t="n">
        <v>0</v>
      </c>
      <c r="I279" t="n">
        <v>0</v>
      </c>
      <c r="J279" t="n">
        <v>0</v>
      </c>
      <c r="K279" t="n">
        <v>0</v>
      </c>
      <c r="L279" t="n">
        <v>0</v>
      </c>
      <c r="M279" t="n">
        <v>0</v>
      </c>
      <c r="N279" t="n">
        <v>0</v>
      </c>
      <c r="O279" t="n">
        <v>0</v>
      </c>
      <c r="P279" t="n">
        <v>0</v>
      </c>
      <c r="Q279" t="n">
        <v>0</v>
      </c>
      <c r="R279" s="2" t="inlineStr"/>
    </row>
    <row r="280" ht="15" customHeight="1">
      <c r="A280" t="inlineStr">
        <is>
          <t>A 42337-2020</t>
        </is>
      </c>
      <c r="B280" s="1" t="n">
        <v>44076</v>
      </c>
      <c r="C280" s="1" t="n">
        <v>45565</v>
      </c>
      <c r="D280" t="inlineStr">
        <is>
          <t>JÄMTLANDS LÄN</t>
        </is>
      </c>
      <c r="E280" t="inlineStr">
        <is>
          <t>ÅRE</t>
        </is>
      </c>
      <c r="G280" t="n">
        <v>3.6</v>
      </c>
      <c r="H280" t="n">
        <v>0</v>
      </c>
      <c r="I280" t="n">
        <v>0</v>
      </c>
      <c r="J280" t="n">
        <v>0</v>
      </c>
      <c r="K280" t="n">
        <v>0</v>
      </c>
      <c r="L280" t="n">
        <v>0</v>
      </c>
      <c r="M280" t="n">
        <v>0</v>
      </c>
      <c r="N280" t="n">
        <v>0</v>
      </c>
      <c r="O280" t="n">
        <v>0</v>
      </c>
      <c r="P280" t="n">
        <v>0</v>
      </c>
      <c r="Q280" t="n">
        <v>0</v>
      </c>
      <c r="R280" s="2" t="inlineStr"/>
    </row>
    <row r="281" ht="15" customHeight="1">
      <c r="A281" t="inlineStr">
        <is>
          <t>A 42643-2020</t>
        </is>
      </c>
      <c r="B281" s="1" t="n">
        <v>44077</v>
      </c>
      <c r="C281" s="1" t="n">
        <v>45565</v>
      </c>
      <c r="D281" t="inlineStr">
        <is>
          <t>JÄMTLANDS LÄN</t>
        </is>
      </c>
      <c r="E281" t="inlineStr">
        <is>
          <t>ÅRE</t>
        </is>
      </c>
      <c r="G281" t="n">
        <v>7.5</v>
      </c>
      <c r="H281" t="n">
        <v>0</v>
      </c>
      <c r="I281" t="n">
        <v>0</v>
      </c>
      <c r="J281" t="n">
        <v>0</v>
      </c>
      <c r="K281" t="n">
        <v>0</v>
      </c>
      <c r="L281" t="n">
        <v>0</v>
      </c>
      <c r="M281" t="n">
        <v>0</v>
      </c>
      <c r="N281" t="n">
        <v>0</v>
      </c>
      <c r="O281" t="n">
        <v>0</v>
      </c>
      <c r="P281" t="n">
        <v>0</v>
      </c>
      <c r="Q281" t="n">
        <v>0</v>
      </c>
      <c r="R281" s="2" t="inlineStr"/>
    </row>
    <row r="282" ht="15" customHeight="1">
      <c r="A282" t="inlineStr">
        <is>
          <t>A 42634-2020</t>
        </is>
      </c>
      <c r="B282" s="1" t="n">
        <v>44077</v>
      </c>
      <c r="C282" s="1" t="n">
        <v>45565</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43167-2020</t>
        </is>
      </c>
      <c r="B283" s="1" t="n">
        <v>44077</v>
      </c>
      <c r="C283" s="1" t="n">
        <v>45565</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42650-2020</t>
        </is>
      </c>
      <c r="B284" s="1" t="n">
        <v>44077</v>
      </c>
      <c r="C284" s="1" t="n">
        <v>45565</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46982-2020</t>
        </is>
      </c>
      <c r="B285" s="1" t="n">
        <v>44096</v>
      </c>
      <c r="C285" s="1" t="n">
        <v>45565</v>
      </c>
      <c r="D285" t="inlineStr">
        <is>
          <t>JÄMTLANDS LÄN</t>
        </is>
      </c>
      <c r="E285" t="inlineStr">
        <is>
          <t>ÅRE</t>
        </is>
      </c>
      <c r="G285" t="n">
        <v>2</v>
      </c>
      <c r="H285" t="n">
        <v>0</v>
      </c>
      <c r="I285" t="n">
        <v>0</v>
      </c>
      <c r="J285" t="n">
        <v>0</v>
      </c>
      <c r="K285" t="n">
        <v>0</v>
      </c>
      <c r="L285" t="n">
        <v>0</v>
      </c>
      <c r="M285" t="n">
        <v>0</v>
      </c>
      <c r="N285" t="n">
        <v>0</v>
      </c>
      <c r="O285" t="n">
        <v>0</v>
      </c>
      <c r="P285" t="n">
        <v>0</v>
      </c>
      <c r="Q285" t="n">
        <v>0</v>
      </c>
      <c r="R285" s="2" t="inlineStr"/>
    </row>
    <row r="286" ht="15" customHeight="1">
      <c r="A286" t="inlineStr">
        <is>
          <t>A 48177-2020</t>
        </is>
      </c>
      <c r="B286" s="1" t="n">
        <v>44102</v>
      </c>
      <c r="C286" s="1" t="n">
        <v>45565</v>
      </c>
      <c r="D286" t="inlineStr">
        <is>
          <t>JÄMTLANDS LÄN</t>
        </is>
      </c>
      <c r="E286" t="inlineStr">
        <is>
          <t>ÅRE</t>
        </is>
      </c>
      <c r="G286" t="n">
        <v>1.5</v>
      </c>
      <c r="H286" t="n">
        <v>0</v>
      </c>
      <c r="I286" t="n">
        <v>0</v>
      </c>
      <c r="J286" t="n">
        <v>0</v>
      </c>
      <c r="K286" t="n">
        <v>0</v>
      </c>
      <c r="L286" t="n">
        <v>0</v>
      </c>
      <c r="M286" t="n">
        <v>0</v>
      </c>
      <c r="N286" t="n">
        <v>0</v>
      </c>
      <c r="O286" t="n">
        <v>0</v>
      </c>
      <c r="P286" t="n">
        <v>0</v>
      </c>
      <c r="Q286" t="n">
        <v>0</v>
      </c>
      <c r="R286" s="2" t="inlineStr"/>
    </row>
    <row r="287" ht="15" customHeight="1">
      <c r="A287" t="inlineStr">
        <is>
          <t>A 49661-2020</t>
        </is>
      </c>
      <c r="B287" s="1" t="n">
        <v>44105</v>
      </c>
      <c r="C287" s="1" t="n">
        <v>45565</v>
      </c>
      <c r="D287" t="inlineStr">
        <is>
          <t>JÄMTLANDS LÄN</t>
        </is>
      </c>
      <c r="E287" t="inlineStr">
        <is>
          <t>ÅRE</t>
        </is>
      </c>
      <c r="F287" t="inlineStr">
        <is>
          <t>Övriga Aktiebolag</t>
        </is>
      </c>
      <c r="G287" t="n">
        <v>24.4</v>
      </c>
      <c r="H287" t="n">
        <v>0</v>
      </c>
      <c r="I287" t="n">
        <v>0</v>
      </c>
      <c r="J287" t="n">
        <v>0</v>
      </c>
      <c r="K287" t="n">
        <v>0</v>
      </c>
      <c r="L287" t="n">
        <v>0</v>
      </c>
      <c r="M287" t="n">
        <v>0</v>
      </c>
      <c r="N287" t="n">
        <v>0</v>
      </c>
      <c r="O287" t="n">
        <v>0</v>
      </c>
      <c r="P287" t="n">
        <v>0</v>
      </c>
      <c r="Q287" t="n">
        <v>0</v>
      </c>
      <c r="R287" s="2" t="inlineStr"/>
    </row>
    <row r="288" ht="15" customHeight="1">
      <c r="A288" t="inlineStr">
        <is>
          <t>A 49744-2020</t>
        </is>
      </c>
      <c r="B288" s="1" t="n">
        <v>44106</v>
      </c>
      <c r="C288" s="1" t="n">
        <v>45565</v>
      </c>
      <c r="D288" t="inlineStr">
        <is>
          <t>JÄMTLANDS LÄN</t>
        </is>
      </c>
      <c r="E288" t="inlineStr">
        <is>
          <t>ÅRE</t>
        </is>
      </c>
      <c r="G288" t="n">
        <v>0.8</v>
      </c>
      <c r="H288" t="n">
        <v>0</v>
      </c>
      <c r="I288" t="n">
        <v>0</v>
      </c>
      <c r="J288" t="n">
        <v>0</v>
      </c>
      <c r="K288" t="n">
        <v>0</v>
      </c>
      <c r="L288" t="n">
        <v>0</v>
      </c>
      <c r="M288" t="n">
        <v>0</v>
      </c>
      <c r="N288" t="n">
        <v>0</v>
      </c>
      <c r="O288" t="n">
        <v>0</v>
      </c>
      <c r="P288" t="n">
        <v>0</v>
      </c>
      <c r="Q288" t="n">
        <v>0</v>
      </c>
      <c r="R288" s="2" t="inlineStr"/>
    </row>
    <row r="289" ht="15" customHeight="1">
      <c r="A289" t="inlineStr">
        <is>
          <t>A 49748-2020</t>
        </is>
      </c>
      <c r="B289" s="1" t="n">
        <v>44106</v>
      </c>
      <c r="C289" s="1" t="n">
        <v>45565</v>
      </c>
      <c r="D289" t="inlineStr">
        <is>
          <t>JÄMTLANDS LÄN</t>
        </is>
      </c>
      <c r="E289" t="inlineStr">
        <is>
          <t>ÅRE</t>
        </is>
      </c>
      <c r="G289" t="n">
        <v>13.4</v>
      </c>
      <c r="H289" t="n">
        <v>0</v>
      </c>
      <c r="I289" t="n">
        <v>0</v>
      </c>
      <c r="J289" t="n">
        <v>0</v>
      </c>
      <c r="K289" t="n">
        <v>0</v>
      </c>
      <c r="L289" t="n">
        <v>0</v>
      </c>
      <c r="M289" t="n">
        <v>0</v>
      </c>
      <c r="N289" t="n">
        <v>0</v>
      </c>
      <c r="O289" t="n">
        <v>0</v>
      </c>
      <c r="P289" t="n">
        <v>0</v>
      </c>
      <c r="Q289" t="n">
        <v>0</v>
      </c>
      <c r="R289" s="2" t="inlineStr"/>
    </row>
    <row r="290" ht="15" customHeight="1">
      <c r="A290" t="inlineStr">
        <is>
          <t>A 49747-2020</t>
        </is>
      </c>
      <c r="B290" s="1" t="n">
        <v>44106</v>
      </c>
      <c r="C290" s="1" t="n">
        <v>45565</v>
      </c>
      <c r="D290" t="inlineStr">
        <is>
          <t>JÄMTLANDS LÄN</t>
        </is>
      </c>
      <c r="E290" t="inlineStr">
        <is>
          <t>ÅRE</t>
        </is>
      </c>
      <c r="G290" t="n">
        <v>9.4</v>
      </c>
      <c r="H290" t="n">
        <v>0</v>
      </c>
      <c r="I290" t="n">
        <v>0</v>
      </c>
      <c r="J290" t="n">
        <v>0</v>
      </c>
      <c r="K290" t="n">
        <v>0</v>
      </c>
      <c r="L290" t="n">
        <v>0</v>
      </c>
      <c r="M290" t="n">
        <v>0</v>
      </c>
      <c r="N290" t="n">
        <v>0</v>
      </c>
      <c r="O290" t="n">
        <v>0</v>
      </c>
      <c r="P290" t="n">
        <v>0</v>
      </c>
      <c r="Q290" t="n">
        <v>0</v>
      </c>
      <c r="R290" s="2" t="inlineStr"/>
    </row>
    <row r="291" ht="15" customHeight="1">
      <c r="A291" t="inlineStr">
        <is>
          <t>A 52548-2020</t>
        </is>
      </c>
      <c r="B291" s="1" t="n">
        <v>44116</v>
      </c>
      <c r="C291" s="1" t="n">
        <v>45565</v>
      </c>
      <c r="D291" t="inlineStr">
        <is>
          <t>JÄMTLANDS LÄN</t>
        </is>
      </c>
      <c r="E291" t="inlineStr">
        <is>
          <t>ÅRE</t>
        </is>
      </c>
      <c r="G291" t="n">
        <v>7.5</v>
      </c>
      <c r="H291" t="n">
        <v>0</v>
      </c>
      <c r="I291" t="n">
        <v>0</v>
      </c>
      <c r="J291" t="n">
        <v>0</v>
      </c>
      <c r="K291" t="n">
        <v>0</v>
      </c>
      <c r="L291" t="n">
        <v>0</v>
      </c>
      <c r="M291" t="n">
        <v>0</v>
      </c>
      <c r="N291" t="n">
        <v>0</v>
      </c>
      <c r="O291" t="n">
        <v>0</v>
      </c>
      <c r="P291" t="n">
        <v>0</v>
      </c>
      <c r="Q291" t="n">
        <v>0</v>
      </c>
      <c r="R291" s="2" t="inlineStr"/>
    </row>
    <row r="292" ht="15" customHeight="1">
      <c r="A292" t="inlineStr">
        <is>
          <t>A 53042-2020</t>
        </is>
      </c>
      <c r="B292" s="1" t="n">
        <v>44120</v>
      </c>
      <c r="C292" s="1" t="n">
        <v>45565</v>
      </c>
      <c r="D292" t="inlineStr">
        <is>
          <t>JÄMTLANDS LÄN</t>
        </is>
      </c>
      <c r="E292" t="inlineStr">
        <is>
          <t>ÅRE</t>
        </is>
      </c>
      <c r="G292" t="n">
        <v>17.1</v>
      </c>
      <c r="H292" t="n">
        <v>0</v>
      </c>
      <c r="I292" t="n">
        <v>0</v>
      </c>
      <c r="J292" t="n">
        <v>0</v>
      </c>
      <c r="K292" t="n">
        <v>0</v>
      </c>
      <c r="L292" t="n">
        <v>0</v>
      </c>
      <c r="M292" t="n">
        <v>0</v>
      </c>
      <c r="N292" t="n">
        <v>0</v>
      </c>
      <c r="O292" t="n">
        <v>0</v>
      </c>
      <c r="P292" t="n">
        <v>0</v>
      </c>
      <c r="Q292" t="n">
        <v>0</v>
      </c>
      <c r="R292" s="2" t="inlineStr"/>
    </row>
    <row r="293" ht="15" customHeight="1">
      <c r="A293" t="inlineStr">
        <is>
          <t>A 54015-2020</t>
        </is>
      </c>
      <c r="B293" s="1" t="n">
        <v>44125</v>
      </c>
      <c r="C293" s="1" t="n">
        <v>45565</v>
      </c>
      <c r="D293" t="inlineStr">
        <is>
          <t>JÄMTLANDS LÄN</t>
        </is>
      </c>
      <c r="E293" t="inlineStr">
        <is>
          <t>ÅRE</t>
        </is>
      </c>
      <c r="F293" t="inlineStr">
        <is>
          <t>Övriga Aktiebolag</t>
        </is>
      </c>
      <c r="G293" t="n">
        <v>3.6</v>
      </c>
      <c r="H293" t="n">
        <v>0</v>
      </c>
      <c r="I293" t="n">
        <v>0</v>
      </c>
      <c r="J293" t="n">
        <v>0</v>
      </c>
      <c r="K293" t="n">
        <v>0</v>
      </c>
      <c r="L293" t="n">
        <v>0</v>
      </c>
      <c r="M293" t="n">
        <v>0</v>
      </c>
      <c r="N293" t="n">
        <v>0</v>
      </c>
      <c r="O293" t="n">
        <v>0</v>
      </c>
      <c r="P293" t="n">
        <v>0</v>
      </c>
      <c r="Q293" t="n">
        <v>0</v>
      </c>
      <c r="R293" s="2" t="inlineStr"/>
    </row>
    <row r="294" ht="15" customHeight="1">
      <c r="A294" t="inlineStr">
        <is>
          <t>A 54945-2020</t>
        </is>
      </c>
      <c r="B294" s="1" t="n">
        <v>44129</v>
      </c>
      <c r="C294" s="1" t="n">
        <v>45565</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54944-2020</t>
        </is>
      </c>
      <c r="B295" s="1" t="n">
        <v>44129</v>
      </c>
      <c r="C295" s="1" t="n">
        <v>45565</v>
      </c>
      <c r="D295" t="inlineStr">
        <is>
          <t>JÄMTLANDS LÄN</t>
        </is>
      </c>
      <c r="E295" t="inlineStr">
        <is>
          <t>ÅRE</t>
        </is>
      </c>
      <c r="G295" t="n">
        <v>0.3</v>
      </c>
      <c r="H295" t="n">
        <v>0</v>
      </c>
      <c r="I295" t="n">
        <v>0</v>
      </c>
      <c r="J295" t="n">
        <v>0</v>
      </c>
      <c r="K295" t="n">
        <v>0</v>
      </c>
      <c r="L295" t="n">
        <v>0</v>
      </c>
      <c r="M295" t="n">
        <v>0</v>
      </c>
      <c r="N295" t="n">
        <v>0</v>
      </c>
      <c r="O295" t="n">
        <v>0</v>
      </c>
      <c r="P295" t="n">
        <v>0</v>
      </c>
      <c r="Q295" t="n">
        <v>0</v>
      </c>
      <c r="R295" s="2" t="inlineStr"/>
    </row>
    <row r="296" ht="15" customHeight="1">
      <c r="A296" t="inlineStr">
        <is>
          <t>A 56352-2020</t>
        </is>
      </c>
      <c r="B296" s="1" t="n">
        <v>44135</v>
      </c>
      <c r="C296" s="1" t="n">
        <v>45565</v>
      </c>
      <c r="D296" t="inlineStr">
        <is>
          <t>JÄMTLANDS LÄN</t>
        </is>
      </c>
      <c r="E296" t="inlineStr">
        <is>
          <t>ÅRE</t>
        </is>
      </c>
      <c r="G296" t="n">
        <v>95.09999999999999</v>
      </c>
      <c r="H296" t="n">
        <v>0</v>
      </c>
      <c r="I296" t="n">
        <v>0</v>
      </c>
      <c r="J296" t="n">
        <v>0</v>
      </c>
      <c r="K296" t="n">
        <v>0</v>
      </c>
      <c r="L296" t="n">
        <v>0</v>
      </c>
      <c r="M296" t="n">
        <v>0</v>
      </c>
      <c r="N296" t="n">
        <v>0</v>
      </c>
      <c r="O296" t="n">
        <v>0</v>
      </c>
      <c r="P296" t="n">
        <v>0</v>
      </c>
      <c r="Q296" t="n">
        <v>0</v>
      </c>
      <c r="R296" s="2" t="inlineStr"/>
    </row>
    <row r="297" ht="15" customHeight="1">
      <c r="A297" t="inlineStr">
        <is>
          <t>A 57578-2020</t>
        </is>
      </c>
      <c r="B297" s="1" t="n">
        <v>44140</v>
      </c>
      <c r="C297" s="1" t="n">
        <v>45565</v>
      </c>
      <c r="D297" t="inlineStr">
        <is>
          <t>JÄMTLANDS LÄN</t>
        </is>
      </c>
      <c r="E297" t="inlineStr">
        <is>
          <t>ÅRE</t>
        </is>
      </c>
      <c r="G297" t="n">
        <v>94.40000000000001</v>
      </c>
      <c r="H297" t="n">
        <v>0</v>
      </c>
      <c r="I297" t="n">
        <v>0</v>
      </c>
      <c r="J297" t="n">
        <v>0</v>
      </c>
      <c r="K297" t="n">
        <v>0</v>
      </c>
      <c r="L297" t="n">
        <v>0</v>
      </c>
      <c r="M297" t="n">
        <v>0</v>
      </c>
      <c r="N297" t="n">
        <v>0</v>
      </c>
      <c r="O297" t="n">
        <v>0</v>
      </c>
      <c r="P297" t="n">
        <v>0</v>
      </c>
      <c r="Q297" t="n">
        <v>0</v>
      </c>
      <c r="R297" s="2" t="inlineStr"/>
    </row>
    <row r="298" ht="15" customHeight="1">
      <c r="A298" t="inlineStr">
        <is>
          <t>A 57594-2020</t>
        </is>
      </c>
      <c r="B298" s="1" t="n">
        <v>44140</v>
      </c>
      <c r="C298" s="1" t="n">
        <v>45565</v>
      </c>
      <c r="D298" t="inlineStr">
        <is>
          <t>JÄMTLANDS LÄN</t>
        </is>
      </c>
      <c r="E298" t="inlineStr">
        <is>
          <t>ÅRE</t>
        </is>
      </c>
      <c r="G298" t="n">
        <v>14.9</v>
      </c>
      <c r="H298" t="n">
        <v>0</v>
      </c>
      <c r="I298" t="n">
        <v>0</v>
      </c>
      <c r="J298" t="n">
        <v>0</v>
      </c>
      <c r="K298" t="n">
        <v>0</v>
      </c>
      <c r="L298" t="n">
        <v>0</v>
      </c>
      <c r="M298" t="n">
        <v>0</v>
      </c>
      <c r="N298" t="n">
        <v>0</v>
      </c>
      <c r="O298" t="n">
        <v>0</v>
      </c>
      <c r="P298" t="n">
        <v>0</v>
      </c>
      <c r="Q298" t="n">
        <v>0</v>
      </c>
      <c r="R298" s="2" t="inlineStr"/>
    </row>
    <row r="299" ht="15" customHeight="1">
      <c r="A299" t="inlineStr">
        <is>
          <t>A 57586-2020</t>
        </is>
      </c>
      <c r="B299" s="1" t="n">
        <v>44140</v>
      </c>
      <c r="C299" s="1" t="n">
        <v>45565</v>
      </c>
      <c r="D299" t="inlineStr">
        <is>
          <t>JÄMTLANDS LÄN</t>
        </is>
      </c>
      <c r="E299" t="inlineStr">
        <is>
          <t>ÅRE</t>
        </is>
      </c>
      <c r="G299" t="n">
        <v>9.5</v>
      </c>
      <c r="H299" t="n">
        <v>0</v>
      </c>
      <c r="I299" t="n">
        <v>0</v>
      </c>
      <c r="J299" t="n">
        <v>0</v>
      </c>
      <c r="K299" t="n">
        <v>0</v>
      </c>
      <c r="L299" t="n">
        <v>0</v>
      </c>
      <c r="M299" t="n">
        <v>0</v>
      </c>
      <c r="N299" t="n">
        <v>0</v>
      </c>
      <c r="O299" t="n">
        <v>0</v>
      </c>
      <c r="P299" t="n">
        <v>0</v>
      </c>
      <c r="Q299" t="n">
        <v>0</v>
      </c>
      <c r="R299" s="2" t="inlineStr"/>
    </row>
    <row r="300" ht="15" customHeight="1">
      <c r="A300" t="inlineStr">
        <is>
          <t>A 58960-2020</t>
        </is>
      </c>
      <c r="B300" s="1" t="n">
        <v>44146</v>
      </c>
      <c r="C300" s="1" t="n">
        <v>45565</v>
      </c>
      <c r="D300" t="inlineStr">
        <is>
          <t>JÄMTLANDS LÄN</t>
        </is>
      </c>
      <c r="E300" t="inlineStr">
        <is>
          <t>ÅRE</t>
        </is>
      </c>
      <c r="G300" t="n">
        <v>5.5</v>
      </c>
      <c r="H300" t="n">
        <v>0</v>
      </c>
      <c r="I300" t="n">
        <v>0</v>
      </c>
      <c r="J300" t="n">
        <v>0</v>
      </c>
      <c r="K300" t="n">
        <v>0</v>
      </c>
      <c r="L300" t="n">
        <v>0</v>
      </c>
      <c r="M300" t="n">
        <v>0</v>
      </c>
      <c r="N300" t="n">
        <v>0</v>
      </c>
      <c r="O300" t="n">
        <v>0</v>
      </c>
      <c r="P300" t="n">
        <v>0</v>
      </c>
      <c r="Q300" t="n">
        <v>0</v>
      </c>
      <c r="R300" s="2" t="inlineStr"/>
    </row>
    <row r="301" ht="15" customHeight="1">
      <c r="A301" t="inlineStr">
        <is>
          <t>A 60016-2020</t>
        </is>
      </c>
      <c r="B301" s="1" t="n">
        <v>44151</v>
      </c>
      <c r="C301" s="1" t="n">
        <v>45565</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61347-2020</t>
        </is>
      </c>
      <c r="B302" s="1" t="n">
        <v>44155</v>
      </c>
      <c r="C302" s="1" t="n">
        <v>45565</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61595-2020</t>
        </is>
      </c>
      <c r="B303" s="1" t="n">
        <v>44158</v>
      </c>
      <c r="C303" s="1" t="n">
        <v>45565</v>
      </c>
      <c r="D303" t="inlineStr">
        <is>
          <t>JÄMTLANDS LÄN</t>
        </is>
      </c>
      <c r="E303" t="inlineStr">
        <is>
          <t>ÅRE</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64355-2020</t>
        </is>
      </c>
      <c r="B304" s="1" t="n">
        <v>44168</v>
      </c>
      <c r="C304" s="1" t="n">
        <v>45565</v>
      </c>
      <c r="D304" t="inlineStr">
        <is>
          <t>JÄMTLANDS LÄN</t>
        </is>
      </c>
      <c r="E304" t="inlineStr">
        <is>
          <t>ÅRE</t>
        </is>
      </c>
      <c r="G304" t="n">
        <v>2.1</v>
      </c>
      <c r="H304" t="n">
        <v>0</v>
      </c>
      <c r="I304" t="n">
        <v>0</v>
      </c>
      <c r="J304" t="n">
        <v>0</v>
      </c>
      <c r="K304" t="n">
        <v>0</v>
      </c>
      <c r="L304" t="n">
        <v>0</v>
      </c>
      <c r="M304" t="n">
        <v>0</v>
      </c>
      <c r="N304" t="n">
        <v>0</v>
      </c>
      <c r="O304" t="n">
        <v>0</v>
      </c>
      <c r="P304" t="n">
        <v>0</v>
      </c>
      <c r="Q304" t="n">
        <v>0</v>
      </c>
      <c r="R304" s="2" t="inlineStr"/>
    </row>
    <row r="305" ht="15" customHeight="1">
      <c r="A305" t="inlineStr">
        <is>
          <t>A 66083-2020</t>
        </is>
      </c>
      <c r="B305" s="1" t="n">
        <v>44172</v>
      </c>
      <c r="C305" s="1" t="n">
        <v>45565</v>
      </c>
      <c r="D305" t="inlineStr">
        <is>
          <t>JÄMTLANDS LÄN</t>
        </is>
      </c>
      <c r="E305" t="inlineStr">
        <is>
          <t>ÅRE</t>
        </is>
      </c>
      <c r="G305" t="n">
        <v>563.3</v>
      </c>
      <c r="H305" t="n">
        <v>0</v>
      </c>
      <c r="I305" t="n">
        <v>0</v>
      </c>
      <c r="J305" t="n">
        <v>0</v>
      </c>
      <c r="K305" t="n">
        <v>0</v>
      </c>
      <c r="L305" t="n">
        <v>0</v>
      </c>
      <c r="M305" t="n">
        <v>0</v>
      </c>
      <c r="N305" t="n">
        <v>0</v>
      </c>
      <c r="O305" t="n">
        <v>0</v>
      </c>
      <c r="P305" t="n">
        <v>0</v>
      </c>
      <c r="Q305" t="n">
        <v>0</v>
      </c>
      <c r="R305" s="2" t="inlineStr"/>
    </row>
    <row r="306" ht="15" customHeight="1">
      <c r="A306" t="inlineStr">
        <is>
          <t>A 65439-2020</t>
        </is>
      </c>
      <c r="B306" s="1" t="n">
        <v>44173</v>
      </c>
      <c r="C306" s="1" t="n">
        <v>45565</v>
      </c>
      <c r="D306" t="inlineStr">
        <is>
          <t>JÄMTLANDS LÄN</t>
        </is>
      </c>
      <c r="E306" t="inlineStr">
        <is>
          <t>ÅRE</t>
        </is>
      </c>
      <c r="G306" t="n">
        <v>6.2</v>
      </c>
      <c r="H306" t="n">
        <v>0</v>
      </c>
      <c r="I306" t="n">
        <v>0</v>
      </c>
      <c r="J306" t="n">
        <v>0</v>
      </c>
      <c r="K306" t="n">
        <v>0</v>
      </c>
      <c r="L306" t="n">
        <v>0</v>
      </c>
      <c r="M306" t="n">
        <v>0</v>
      </c>
      <c r="N306" t="n">
        <v>0</v>
      </c>
      <c r="O306" t="n">
        <v>0</v>
      </c>
      <c r="P306" t="n">
        <v>0</v>
      </c>
      <c r="Q306" t="n">
        <v>0</v>
      </c>
      <c r="R306" s="2" t="inlineStr"/>
    </row>
    <row r="307" ht="15" customHeight="1">
      <c r="A307" t="inlineStr">
        <is>
          <t>A 65512-2020</t>
        </is>
      </c>
      <c r="B307" s="1" t="n">
        <v>44173</v>
      </c>
      <c r="C307" s="1" t="n">
        <v>45565</v>
      </c>
      <c r="D307" t="inlineStr">
        <is>
          <t>JÄMTLANDS LÄN</t>
        </is>
      </c>
      <c r="E307" t="inlineStr">
        <is>
          <t>ÅRE</t>
        </is>
      </c>
      <c r="G307" t="n">
        <v>5.6</v>
      </c>
      <c r="H307" t="n">
        <v>0</v>
      </c>
      <c r="I307" t="n">
        <v>0</v>
      </c>
      <c r="J307" t="n">
        <v>0</v>
      </c>
      <c r="K307" t="n">
        <v>0</v>
      </c>
      <c r="L307" t="n">
        <v>0</v>
      </c>
      <c r="M307" t="n">
        <v>0</v>
      </c>
      <c r="N307" t="n">
        <v>0</v>
      </c>
      <c r="O307" t="n">
        <v>0</v>
      </c>
      <c r="P307" t="n">
        <v>0</v>
      </c>
      <c r="Q307" t="n">
        <v>0</v>
      </c>
      <c r="R307" s="2" t="inlineStr"/>
    </row>
    <row r="308" ht="15" customHeight="1">
      <c r="A308" t="inlineStr">
        <is>
          <t>A 65519-2020</t>
        </is>
      </c>
      <c r="B308" s="1" t="n">
        <v>44173</v>
      </c>
      <c r="C308" s="1" t="n">
        <v>45565</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66755-2020</t>
        </is>
      </c>
      <c r="B309" s="1" t="n">
        <v>44179</v>
      </c>
      <c r="C309" s="1" t="n">
        <v>45565</v>
      </c>
      <c r="D309" t="inlineStr">
        <is>
          <t>JÄMTLANDS LÄN</t>
        </is>
      </c>
      <c r="E309" t="inlineStr">
        <is>
          <t>ÅRE</t>
        </is>
      </c>
      <c r="G309" t="n">
        <v>3.5</v>
      </c>
      <c r="H309" t="n">
        <v>0</v>
      </c>
      <c r="I309" t="n">
        <v>0</v>
      </c>
      <c r="J309" t="n">
        <v>0</v>
      </c>
      <c r="K309" t="n">
        <v>0</v>
      </c>
      <c r="L309" t="n">
        <v>0</v>
      </c>
      <c r="M309" t="n">
        <v>0</v>
      </c>
      <c r="N309" t="n">
        <v>0</v>
      </c>
      <c r="O309" t="n">
        <v>0</v>
      </c>
      <c r="P309" t="n">
        <v>0</v>
      </c>
      <c r="Q309" t="n">
        <v>0</v>
      </c>
      <c r="R309" s="2" t="inlineStr"/>
    </row>
    <row r="310" ht="15" customHeight="1">
      <c r="A310" t="inlineStr">
        <is>
          <t>A 66790-2020</t>
        </is>
      </c>
      <c r="B310" s="1" t="n">
        <v>44179</v>
      </c>
      <c r="C310" s="1" t="n">
        <v>45565</v>
      </c>
      <c r="D310" t="inlineStr">
        <is>
          <t>JÄMTLANDS LÄN</t>
        </is>
      </c>
      <c r="E310" t="inlineStr">
        <is>
          <t>ÅRE</t>
        </is>
      </c>
      <c r="G310" t="n">
        <v>2.3</v>
      </c>
      <c r="H310" t="n">
        <v>0</v>
      </c>
      <c r="I310" t="n">
        <v>0</v>
      </c>
      <c r="J310" t="n">
        <v>0</v>
      </c>
      <c r="K310" t="n">
        <v>0</v>
      </c>
      <c r="L310" t="n">
        <v>0</v>
      </c>
      <c r="M310" t="n">
        <v>0</v>
      </c>
      <c r="N310" t="n">
        <v>0</v>
      </c>
      <c r="O310" t="n">
        <v>0</v>
      </c>
      <c r="P310" t="n">
        <v>0</v>
      </c>
      <c r="Q310" t="n">
        <v>0</v>
      </c>
      <c r="R310" s="2" t="inlineStr"/>
    </row>
    <row r="311" ht="15" customHeight="1">
      <c r="A311" t="inlineStr">
        <is>
          <t>A 67270-2020</t>
        </is>
      </c>
      <c r="B311" s="1" t="n">
        <v>44179</v>
      </c>
      <c r="C311" s="1" t="n">
        <v>45565</v>
      </c>
      <c r="D311" t="inlineStr">
        <is>
          <t>JÄMTLANDS LÄN</t>
        </is>
      </c>
      <c r="E311" t="inlineStr">
        <is>
          <t>ÅRE</t>
        </is>
      </c>
      <c r="G311" t="n">
        <v>4.2</v>
      </c>
      <c r="H311" t="n">
        <v>0</v>
      </c>
      <c r="I311" t="n">
        <v>0</v>
      </c>
      <c r="J311" t="n">
        <v>0</v>
      </c>
      <c r="K311" t="n">
        <v>0</v>
      </c>
      <c r="L311" t="n">
        <v>0</v>
      </c>
      <c r="M311" t="n">
        <v>0</v>
      </c>
      <c r="N311" t="n">
        <v>0</v>
      </c>
      <c r="O311" t="n">
        <v>0</v>
      </c>
      <c r="P311" t="n">
        <v>0</v>
      </c>
      <c r="Q311" t="n">
        <v>0</v>
      </c>
      <c r="R311" s="2" t="inlineStr"/>
    </row>
    <row r="312" ht="15" customHeight="1">
      <c r="A312" t="inlineStr">
        <is>
          <t>A 67972-2020</t>
        </is>
      </c>
      <c r="B312" s="1" t="n">
        <v>44182</v>
      </c>
      <c r="C312" s="1" t="n">
        <v>45565</v>
      </c>
      <c r="D312" t="inlineStr">
        <is>
          <t>JÄMTLANDS LÄN</t>
        </is>
      </c>
      <c r="E312" t="inlineStr">
        <is>
          <t>ÅRE</t>
        </is>
      </c>
      <c r="G312" t="n">
        <v>6</v>
      </c>
      <c r="H312" t="n">
        <v>0</v>
      </c>
      <c r="I312" t="n">
        <v>0</v>
      </c>
      <c r="J312" t="n">
        <v>0</v>
      </c>
      <c r="K312" t="n">
        <v>0</v>
      </c>
      <c r="L312" t="n">
        <v>0</v>
      </c>
      <c r="M312" t="n">
        <v>0</v>
      </c>
      <c r="N312" t="n">
        <v>0</v>
      </c>
      <c r="O312" t="n">
        <v>0</v>
      </c>
      <c r="P312" t="n">
        <v>0</v>
      </c>
      <c r="Q312" t="n">
        <v>0</v>
      </c>
      <c r="R312" s="2" t="inlineStr"/>
    </row>
    <row r="313" ht="15" customHeight="1">
      <c r="A313" t="inlineStr">
        <is>
          <t>A 68545-2020</t>
        </is>
      </c>
      <c r="B313" s="1" t="n">
        <v>44186</v>
      </c>
      <c r="C313" s="1" t="n">
        <v>45565</v>
      </c>
      <c r="D313" t="inlineStr">
        <is>
          <t>JÄMTLANDS LÄN</t>
        </is>
      </c>
      <c r="E313" t="inlineStr">
        <is>
          <t>ÅRE</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68537-2020</t>
        </is>
      </c>
      <c r="B314" s="1" t="n">
        <v>44186</v>
      </c>
      <c r="C314" s="1" t="n">
        <v>45565</v>
      </c>
      <c r="D314" t="inlineStr">
        <is>
          <t>JÄMTLANDS LÄN</t>
        </is>
      </c>
      <c r="E314" t="inlineStr">
        <is>
          <t>ÅRE</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68518-2020</t>
        </is>
      </c>
      <c r="B315" s="1" t="n">
        <v>44186</v>
      </c>
      <c r="C315" s="1" t="n">
        <v>45565</v>
      </c>
      <c r="D315" t="inlineStr">
        <is>
          <t>JÄMTLANDS LÄN</t>
        </is>
      </c>
      <c r="E315" t="inlineStr">
        <is>
          <t>ÅRE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68594-2020</t>
        </is>
      </c>
      <c r="B316" s="1" t="n">
        <v>44186</v>
      </c>
      <c r="C316" s="1" t="n">
        <v>45565</v>
      </c>
      <c r="D316" t="inlineStr">
        <is>
          <t>JÄMTLANDS LÄN</t>
        </is>
      </c>
      <c r="E316" t="inlineStr">
        <is>
          <t>ÅRE</t>
        </is>
      </c>
      <c r="G316" t="n">
        <v>2.8</v>
      </c>
      <c r="H316" t="n">
        <v>0</v>
      </c>
      <c r="I316" t="n">
        <v>0</v>
      </c>
      <c r="J316" t="n">
        <v>0</v>
      </c>
      <c r="K316" t="n">
        <v>0</v>
      </c>
      <c r="L316" t="n">
        <v>0</v>
      </c>
      <c r="M316" t="n">
        <v>0</v>
      </c>
      <c r="N316" t="n">
        <v>0</v>
      </c>
      <c r="O316" t="n">
        <v>0</v>
      </c>
      <c r="P316" t="n">
        <v>0</v>
      </c>
      <c r="Q316" t="n">
        <v>0</v>
      </c>
      <c r="R316" s="2" t="inlineStr"/>
    </row>
    <row r="317" ht="15" customHeight="1">
      <c r="A317" t="inlineStr">
        <is>
          <t>A 1339-2021</t>
        </is>
      </c>
      <c r="B317" s="1" t="n">
        <v>44208</v>
      </c>
      <c r="C317" s="1" t="n">
        <v>45565</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4838-2021</t>
        </is>
      </c>
      <c r="B318" s="1" t="n">
        <v>44225</v>
      </c>
      <c r="C318" s="1" t="n">
        <v>45565</v>
      </c>
      <c r="D318" t="inlineStr">
        <is>
          <t>JÄMTLANDS LÄN</t>
        </is>
      </c>
      <c r="E318" t="inlineStr">
        <is>
          <t>ÅRE</t>
        </is>
      </c>
      <c r="G318" t="n">
        <v>12.4</v>
      </c>
      <c r="H318" t="n">
        <v>0</v>
      </c>
      <c r="I318" t="n">
        <v>0</v>
      </c>
      <c r="J318" t="n">
        <v>0</v>
      </c>
      <c r="K318" t="n">
        <v>0</v>
      </c>
      <c r="L318" t="n">
        <v>0</v>
      </c>
      <c r="M318" t="n">
        <v>0</v>
      </c>
      <c r="N318" t="n">
        <v>0</v>
      </c>
      <c r="O318" t="n">
        <v>0</v>
      </c>
      <c r="P318" t="n">
        <v>0</v>
      </c>
      <c r="Q318" t="n">
        <v>0</v>
      </c>
      <c r="R318" s="2" t="inlineStr"/>
    </row>
    <row r="319" ht="15" customHeight="1">
      <c r="A319" t="inlineStr">
        <is>
          <t>A 4870-2021</t>
        </is>
      </c>
      <c r="B319" s="1" t="n">
        <v>44225</v>
      </c>
      <c r="C319" s="1" t="n">
        <v>45565</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5401-2021</t>
        </is>
      </c>
      <c r="B320" s="1" t="n">
        <v>44229</v>
      </c>
      <c r="C320" s="1" t="n">
        <v>45565</v>
      </c>
      <c r="D320" t="inlineStr">
        <is>
          <t>JÄMTLANDS LÄN</t>
        </is>
      </c>
      <c r="E320" t="inlineStr">
        <is>
          <t>ÅRE</t>
        </is>
      </c>
      <c r="G320" t="n">
        <v>10</v>
      </c>
      <c r="H320" t="n">
        <v>0</v>
      </c>
      <c r="I320" t="n">
        <v>0</v>
      </c>
      <c r="J320" t="n">
        <v>0</v>
      </c>
      <c r="K320" t="n">
        <v>0</v>
      </c>
      <c r="L320" t="n">
        <v>0</v>
      </c>
      <c r="M320" t="n">
        <v>0</v>
      </c>
      <c r="N320" t="n">
        <v>0</v>
      </c>
      <c r="O320" t="n">
        <v>0</v>
      </c>
      <c r="P320" t="n">
        <v>0</v>
      </c>
      <c r="Q320" t="n">
        <v>0</v>
      </c>
      <c r="R320" s="2" t="inlineStr"/>
    </row>
    <row r="321" ht="15" customHeight="1">
      <c r="A321" t="inlineStr">
        <is>
          <t>A 5753-2021</t>
        </is>
      </c>
      <c r="B321" s="1" t="n">
        <v>44230</v>
      </c>
      <c r="C321" s="1" t="n">
        <v>45565</v>
      </c>
      <c r="D321" t="inlineStr">
        <is>
          <t>JÄMTLANDS LÄN</t>
        </is>
      </c>
      <c r="E321" t="inlineStr">
        <is>
          <t>ÅRE</t>
        </is>
      </c>
      <c r="G321" t="n">
        <v>1</v>
      </c>
      <c r="H321" t="n">
        <v>0</v>
      </c>
      <c r="I321" t="n">
        <v>0</v>
      </c>
      <c r="J321" t="n">
        <v>0</v>
      </c>
      <c r="K321" t="n">
        <v>0</v>
      </c>
      <c r="L321" t="n">
        <v>0</v>
      </c>
      <c r="M321" t="n">
        <v>0</v>
      </c>
      <c r="N321" t="n">
        <v>0</v>
      </c>
      <c r="O321" t="n">
        <v>0</v>
      </c>
      <c r="P321" t="n">
        <v>0</v>
      </c>
      <c r="Q321" t="n">
        <v>0</v>
      </c>
      <c r="R321" s="2" t="inlineStr"/>
    </row>
    <row r="322" ht="15" customHeight="1">
      <c r="A322" t="inlineStr">
        <is>
          <t>A 8983-2021</t>
        </is>
      </c>
      <c r="B322" s="1" t="n">
        <v>44231</v>
      </c>
      <c r="C322" s="1" t="n">
        <v>45565</v>
      </c>
      <c r="D322" t="inlineStr">
        <is>
          <t>JÄMTLANDS LÄN</t>
        </is>
      </c>
      <c r="E322" t="inlineStr">
        <is>
          <t>ÅRE</t>
        </is>
      </c>
      <c r="G322" t="n">
        <v>4.1</v>
      </c>
      <c r="H322" t="n">
        <v>0</v>
      </c>
      <c r="I322" t="n">
        <v>0</v>
      </c>
      <c r="J322" t="n">
        <v>0</v>
      </c>
      <c r="K322" t="n">
        <v>0</v>
      </c>
      <c r="L322" t="n">
        <v>0</v>
      </c>
      <c r="M322" t="n">
        <v>0</v>
      </c>
      <c r="N322" t="n">
        <v>0</v>
      </c>
      <c r="O322" t="n">
        <v>0</v>
      </c>
      <c r="P322" t="n">
        <v>0</v>
      </c>
      <c r="Q322" t="n">
        <v>0</v>
      </c>
      <c r="R322" s="2" t="inlineStr"/>
    </row>
    <row r="323" ht="15" customHeight="1">
      <c r="A323" t="inlineStr">
        <is>
          <t>A 6232-2021</t>
        </is>
      </c>
      <c r="B323" s="1" t="n">
        <v>44231</v>
      </c>
      <c r="C323" s="1" t="n">
        <v>45565</v>
      </c>
      <c r="D323" t="inlineStr">
        <is>
          <t>JÄMTLANDS LÄN</t>
        </is>
      </c>
      <c r="E323" t="inlineStr">
        <is>
          <t>ÅRE</t>
        </is>
      </c>
      <c r="G323" t="n">
        <v>11.9</v>
      </c>
      <c r="H323" t="n">
        <v>0</v>
      </c>
      <c r="I323" t="n">
        <v>0</v>
      </c>
      <c r="J323" t="n">
        <v>0</v>
      </c>
      <c r="K323" t="n">
        <v>0</v>
      </c>
      <c r="L323" t="n">
        <v>0</v>
      </c>
      <c r="M323" t="n">
        <v>0</v>
      </c>
      <c r="N323" t="n">
        <v>0</v>
      </c>
      <c r="O323" t="n">
        <v>0</v>
      </c>
      <c r="P323" t="n">
        <v>0</v>
      </c>
      <c r="Q323" t="n">
        <v>0</v>
      </c>
      <c r="R323" s="2" t="inlineStr"/>
    </row>
    <row r="324" ht="15" customHeight="1">
      <c r="A324" t="inlineStr">
        <is>
          <t>A 8294-2021</t>
        </is>
      </c>
      <c r="B324" s="1" t="n">
        <v>44243</v>
      </c>
      <c r="C324" s="1" t="n">
        <v>45565</v>
      </c>
      <c r="D324" t="inlineStr">
        <is>
          <t>JÄMTLANDS LÄN</t>
        </is>
      </c>
      <c r="E324" t="inlineStr">
        <is>
          <t>ÅRE</t>
        </is>
      </c>
      <c r="G324" t="n">
        <v>16.5</v>
      </c>
      <c r="H324" t="n">
        <v>0</v>
      </c>
      <c r="I324" t="n">
        <v>0</v>
      </c>
      <c r="J324" t="n">
        <v>0</v>
      </c>
      <c r="K324" t="n">
        <v>0</v>
      </c>
      <c r="L324" t="n">
        <v>0</v>
      </c>
      <c r="M324" t="n">
        <v>0</v>
      </c>
      <c r="N324" t="n">
        <v>0</v>
      </c>
      <c r="O324" t="n">
        <v>0</v>
      </c>
      <c r="P324" t="n">
        <v>0</v>
      </c>
      <c r="Q324" t="n">
        <v>0</v>
      </c>
      <c r="R324" s="2" t="inlineStr"/>
    </row>
    <row r="325" ht="15" customHeight="1">
      <c r="A325" t="inlineStr">
        <is>
          <t>A 8217-2021</t>
        </is>
      </c>
      <c r="B325" s="1" t="n">
        <v>44244</v>
      </c>
      <c r="C325" s="1" t="n">
        <v>45565</v>
      </c>
      <c r="D325" t="inlineStr">
        <is>
          <t>JÄMTLANDS LÄN</t>
        </is>
      </c>
      <c r="E325" t="inlineStr">
        <is>
          <t>ÅRE</t>
        </is>
      </c>
      <c r="G325" t="n">
        <v>51.8</v>
      </c>
      <c r="H325" t="n">
        <v>0</v>
      </c>
      <c r="I325" t="n">
        <v>0</v>
      </c>
      <c r="J325" t="n">
        <v>0</v>
      </c>
      <c r="K325" t="n">
        <v>0</v>
      </c>
      <c r="L325" t="n">
        <v>0</v>
      </c>
      <c r="M325" t="n">
        <v>0</v>
      </c>
      <c r="N325" t="n">
        <v>0</v>
      </c>
      <c r="O325" t="n">
        <v>0</v>
      </c>
      <c r="P325" t="n">
        <v>0</v>
      </c>
      <c r="Q325" t="n">
        <v>0</v>
      </c>
      <c r="R325" s="2" t="inlineStr"/>
    </row>
    <row r="326" ht="15" customHeight="1">
      <c r="A326" t="inlineStr">
        <is>
          <t>A 8668-2021</t>
        </is>
      </c>
      <c r="B326" s="1" t="n">
        <v>44246</v>
      </c>
      <c r="C326" s="1" t="n">
        <v>45565</v>
      </c>
      <c r="D326" t="inlineStr">
        <is>
          <t>JÄMTLANDS LÄN</t>
        </is>
      </c>
      <c r="E326" t="inlineStr">
        <is>
          <t>ÅRE</t>
        </is>
      </c>
      <c r="G326" t="n">
        <v>19.5</v>
      </c>
      <c r="H326" t="n">
        <v>0</v>
      </c>
      <c r="I326" t="n">
        <v>0</v>
      </c>
      <c r="J326" t="n">
        <v>0</v>
      </c>
      <c r="K326" t="n">
        <v>0</v>
      </c>
      <c r="L326" t="n">
        <v>0</v>
      </c>
      <c r="M326" t="n">
        <v>0</v>
      </c>
      <c r="N326" t="n">
        <v>0</v>
      </c>
      <c r="O326" t="n">
        <v>0</v>
      </c>
      <c r="P326" t="n">
        <v>0</v>
      </c>
      <c r="Q326" t="n">
        <v>0</v>
      </c>
      <c r="R326" s="2" t="inlineStr"/>
    </row>
    <row r="327" ht="15" customHeight="1">
      <c r="A327" t="inlineStr">
        <is>
          <t>A 9613-2021</t>
        </is>
      </c>
      <c r="B327" s="1" t="n">
        <v>44251</v>
      </c>
      <c r="C327" s="1" t="n">
        <v>45565</v>
      </c>
      <c r="D327" t="inlineStr">
        <is>
          <t>JÄMTLANDS LÄN</t>
        </is>
      </c>
      <c r="E327" t="inlineStr">
        <is>
          <t>ÅRE</t>
        </is>
      </c>
      <c r="G327" t="n">
        <v>2</v>
      </c>
      <c r="H327" t="n">
        <v>0</v>
      </c>
      <c r="I327" t="n">
        <v>0</v>
      </c>
      <c r="J327" t="n">
        <v>0</v>
      </c>
      <c r="K327" t="n">
        <v>0</v>
      </c>
      <c r="L327" t="n">
        <v>0</v>
      </c>
      <c r="M327" t="n">
        <v>0</v>
      </c>
      <c r="N327" t="n">
        <v>0</v>
      </c>
      <c r="O327" t="n">
        <v>0</v>
      </c>
      <c r="P327" t="n">
        <v>0</v>
      </c>
      <c r="Q327" t="n">
        <v>0</v>
      </c>
      <c r="R327" s="2" t="inlineStr"/>
    </row>
    <row r="328" ht="15" customHeight="1">
      <c r="A328" t="inlineStr">
        <is>
          <t>A 9777-2021</t>
        </is>
      </c>
      <c r="B328" s="1" t="n">
        <v>44252</v>
      </c>
      <c r="C328" s="1" t="n">
        <v>45565</v>
      </c>
      <c r="D328" t="inlineStr">
        <is>
          <t>JÄMTLANDS LÄN</t>
        </is>
      </c>
      <c r="E328" t="inlineStr">
        <is>
          <t>ÅRE</t>
        </is>
      </c>
      <c r="G328" t="n">
        <v>4.2</v>
      </c>
      <c r="H328" t="n">
        <v>0</v>
      </c>
      <c r="I328" t="n">
        <v>0</v>
      </c>
      <c r="J328" t="n">
        <v>0</v>
      </c>
      <c r="K328" t="n">
        <v>0</v>
      </c>
      <c r="L328" t="n">
        <v>0</v>
      </c>
      <c r="M328" t="n">
        <v>0</v>
      </c>
      <c r="N328" t="n">
        <v>0</v>
      </c>
      <c r="O328" t="n">
        <v>0</v>
      </c>
      <c r="P328" t="n">
        <v>0</v>
      </c>
      <c r="Q328" t="n">
        <v>0</v>
      </c>
      <c r="R328" s="2" t="inlineStr"/>
    </row>
    <row r="329" ht="15" customHeight="1">
      <c r="A329" t="inlineStr">
        <is>
          <t>A 10191-2021</t>
        </is>
      </c>
      <c r="B329" s="1" t="n">
        <v>44256</v>
      </c>
      <c r="C329" s="1" t="n">
        <v>45565</v>
      </c>
      <c r="D329" t="inlineStr">
        <is>
          <t>JÄMTLANDS LÄN</t>
        </is>
      </c>
      <c r="E329" t="inlineStr">
        <is>
          <t>ÅRE</t>
        </is>
      </c>
      <c r="G329" t="n">
        <v>2.3</v>
      </c>
      <c r="H329" t="n">
        <v>0</v>
      </c>
      <c r="I329" t="n">
        <v>0</v>
      </c>
      <c r="J329" t="n">
        <v>0</v>
      </c>
      <c r="K329" t="n">
        <v>0</v>
      </c>
      <c r="L329" t="n">
        <v>0</v>
      </c>
      <c r="M329" t="n">
        <v>0</v>
      </c>
      <c r="N329" t="n">
        <v>0</v>
      </c>
      <c r="O329" t="n">
        <v>0</v>
      </c>
      <c r="P329" t="n">
        <v>0</v>
      </c>
      <c r="Q329" t="n">
        <v>0</v>
      </c>
      <c r="R329" s="2" t="inlineStr"/>
    </row>
    <row r="330" ht="15" customHeight="1">
      <c r="A330" t="inlineStr">
        <is>
          <t>A 10285-2021</t>
        </is>
      </c>
      <c r="B330" s="1" t="n">
        <v>44257</v>
      </c>
      <c r="C330" s="1" t="n">
        <v>45565</v>
      </c>
      <c r="D330" t="inlineStr">
        <is>
          <t>JÄMTLANDS LÄN</t>
        </is>
      </c>
      <c r="E330" t="inlineStr">
        <is>
          <t>ÅRE</t>
        </is>
      </c>
      <c r="G330" t="n">
        <v>2.9</v>
      </c>
      <c r="H330" t="n">
        <v>0</v>
      </c>
      <c r="I330" t="n">
        <v>0</v>
      </c>
      <c r="J330" t="n">
        <v>0</v>
      </c>
      <c r="K330" t="n">
        <v>0</v>
      </c>
      <c r="L330" t="n">
        <v>0</v>
      </c>
      <c r="M330" t="n">
        <v>0</v>
      </c>
      <c r="N330" t="n">
        <v>0</v>
      </c>
      <c r="O330" t="n">
        <v>0</v>
      </c>
      <c r="P330" t="n">
        <v>0</v>
      </c>
      <c r="Q330" t="n">
        <v>0</v>
      </c>
      <c r="R330" s="2" t="inlineStr"/>
    </row>
    <row r="331" ht="15" customHeight="1">
      <c r="A331" t="inlineStr">
        <is>
          <t>A 10283-2021</t>
        </is>
      </c>
      <c r="B331" s="1" t="n">
        <v>44257</v>
      </c>
      <c r="C331" s="1" t="n">
        <v>45565</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12387-2021</t>
        </is>
      </c>
      <c r="B332" s="1" t="n">
        <v>44267</v>
      </c>
      <c r="C332" s="1" t="n">
        <v>45565</v>
      </c>
      <c r="D332" t="inlineStr">
        <is>
          <t>JÄMTLANDS LÄN</t>
        </is>
      </c>
      <c r="E332" t="inlineStr">
        <is>
          <t>ÅRE</t>
        </is>
      </c>
      <c r="G332" t="n">
        <v>3.4</v>
      </c>
      <c r="H332" t="n">
        <v>0</v>
      </c>
      <c r="I332" t="n">
        <v>0</v>
      </c>
      <c r="J332" t="n">
        <v>0</v>
      </c>
      <c r="K332" t="n">
        <v>0</v>
      </c>
      <c r="L332" t="n">
        <v>0</v>
      </c>
      <c r="M332" t="n">
        <v>0</v>
      </c>
      <c r="N332" t="n">
        <v>0</v>
      </c>
      <c r="O332" t="n">
        <v>0</v>
      </c>
      <c r="P332" t="n">
        <v>0</v>
      </c>
      <c r="Q332" t="n">
        <v>0</v>
      </c>
      <c r="R332" s="2" t="inlineStr"/>
    </row>
    <row r="333" ht="15" customHeight="1">
      <c r="A333" t="inlineStr">
        <is>
          <t>A 12857-2021</t>
        </is>
      </c>
      <c r="B333" s="1" t="n">
        <v>44270</v>
      </c>
      <c r="C333" s="1" t="n">
        <v>45565</v>
      </c>
      <c r="D333" t="inlineStr">
        <is>
          <t>JÄMTLANDS LÄN</t>
        </is>
      </c>
      <c r="E333" t="inlineStr">
        <is>
          <t>ÅRE</t>
        </is>
      </c>
      <c r="F333" t="inlineStr">
        <is>
          <t>Kommuner</t>
        </is>
      </c>
      <c r="G333" t="n">
        <v>17.2</v>
      </c>
      <c r="H333" t="n">
        <v>0</v>
      </c>
      <c r="I333" t="n">
        <v>0</v>
      </c>
      <c r="J333" t="n">
        <v>0</v>
      </c>
      <c r="K333" t="n">
        <v>0</v>
      </c>
      <c r="L333" t="n">
        <v>0</v>
      </c>
      <c r="M333" t="n">
        <v>0</v>
      </c>
      <c r="N333" t="n">
        <v>0</v>
      </c>
      <c r="O333" t="n">
        <v>0</v>
      </c>
      <c r="P333" t="n">
        <v>0</v>
      </c>
      <c r="Q333" t="n">
        <v>0</v>
      </c>
      <c r="R333" s="2" t="inlineStr"/>
    </row>
    <row r="334" ht="15" customHeight="1">
      <c r="A334" t="inlineStr">
        <is>
          <t>A 12827-2021</t>
        </is>
      </c>
      <c r="B334" s="1" t="n">
        <v>44271</v>
      </c>
      <c r="C334" s="1" t="n">
        <v>45565</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14202-2021</t>
        </is>
      </c>
      <c r="B335" s="1" t="n">
        <v>44278</v>
      </c>
      <c r="C335" s="1" t="n">
        <v>45565</v>
      </c>
      <c r="D335" t="inlineStr">
        <is>
          <t>JÄMTLANDS LÄN</t>
        </is>
      </c>
      <c r="E335" t="inlineStr">
        <is>
          <t>ÅRE</t>
        </is>
      </c>
      <c r="G335" t="n">
        <v>17.8</v>
      </c>
      <c r="H335" t="n">
        <v>0</v>
      </c>
      <c r="I335" t="n">
        <v>0</v>
      </c>
      <c r="J335" t="n">
        <v>0</v>
      </c>
      <c r="K335" t="n">
        <v>0</v>
      </c>
      <c r="L335" t="n">
        <v>0</v>
      </c>
      <c r="M335" t="n">
        <v>0</v>
      </c>
      <c r="N335" t="n">
        <v>0</v>
      </c>
      <c r="O335" t="n">
        <v>0</v>
      </c>
      <c r="P335" t="n">
        <v>0</v>
      </c>
      <c r="Q335" t="n">
        <v>0</v>
      </c>
      <c r="R335" s="2" t="inlineStr"/>
    </row>
    <row r="336" ht="15" customHeight="1">
      <c r="A336" t="inlineStr">
        <is>
          <t>A 14210-2021</t>
        </is>
      </c>
      <c r="B336" s="1" t="n">
        <v>44278</v>
      </c>
      <c r="C336" s="1" t="n">
        <v>45565</v>
      </c>
      <c r="D336" t="inlineStr">
        <is>
          <t>JÄMTLANDS LÄN</t>
        </is>
      </c>
      <c r="E336" t="inlineStr">
        <is>
          <t>ÅRE</t>
        </is>
      </c>
      <c r="G336" t="n">
        <v>5.3</v>
      </c>
      <c r="H336" t="n">
        <v>0</v>
      </c>
      <c r="I336" t="n">
        <v>0</v>
      </c>
      <c r="J336" t="n">
        <v>0</v>
      </c>
      <c r="K336" t="n">
        <v>0</v>
      </c>
      <c r="L336" t="n">
        <v>0</v>
      </c>
      <c r="M336" t="n">
        <v>0</v>
      </c>
      <c r="N336" t="n">
        <v>0</v>
      </c>
      <c r="O336" t="n">
        <v>0</v>
      </c>
      <c r="P336" t="n">
        <v>0</v>
      </c>
      <c r="Q336" t="n">
        <v>0</v>
      </c>
      <c r="R336" s="2" t="inlineStr"/>
    </row>
    <row r="337" ht="15" customHeight="1">
      <c r="A337" t="inlineStr">
        <is>
          <t>A 14204-2021</t>
        </is>
      </c>
      <c r="B337" s="1" t="n">
        <v>44278</v>
      </c>
      <c r="C337" s="1" t="n">
        <v>45565</v>
      </c>
      <c r="D337" t="inlineStr">
        <is>
          <t>JÄMTLANDS LÄN</t>
        </is>
      </c>
      <c r="E337" t="inlineStr">
        <is>
          <t>ÅRE</t>
        </is>
      </c>
      <c r="G337" t="n">
        <v>24.6</v>
      </c>
      <c r="H337" t="n">
        <v>0</v>
      </c>
      <c r="I337" t="n">
        <v>0</v>
      </c>
      <c r="J337" t="n">
        <v>0</v>
      </c>
      <c r="K337" t="n">
        <v>0</v>
      </c>
      <c r="L337" t="n">
        <v>0</v>
      </c>
      <c r="M337" t="n">
        <v>0</v>
      </c>
      <c r="N337" t="n">
        <v>0</v>
      </c>
      <c r="O337" t="n">
        <v>0</v>
      </c>
      <c r="P337" t="n">
        <v>0</v>
      </c>
      <c r="Q337" t="n">
        <v>0</v>
      </c>
      <c r="R337" s="2" t="inlineStr"/>
    </row>
    <row r="338" ht="15" customHeight="1">
      <c r="A338" t="inlineStr">
        <is>
          <t>A 14826-2021</t>
        </is>
      </c>
      <c r="B338" s="1" t="n">
        <v>44280</v>
      </c>
      <c r="C338" s="1" t="n">
        <v>45565</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15305-2021</t>
        </is>
      </c>
      <c r="B339" s="1" t="n">
        <v>44284</v>
      </c>
      <c r="C339" s="1" t="n">
        <v>45565</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16625-2021</t>
        </is>
      </c>
      <c r="B340" s="1" t="n">
        <v>44294</v>
      </c>
      <c r="C340" s="1" t="n">
        <v>45565</v>
      </c>
      <c r="D340" t="inlineStr">
        <is>
          <t>JÄMTLANDS LÄN</t>
        </is>
      </c>
      <c r="E340" t="inlineStr">
        <is>
          <t>ÅRE</t>
        </is>
      </c>
      <c r="F340" t="inlineStr">
        <is>
          <t>Övriga Aktiebolag</t>
        </is>
      </c>
      <c r="G340" t="n">
        <v>0.1</v>
      </c>
      <c r="H340" t="n">
        <v>0</v>
      </c>
      <c r="I340" t="n">
        <v>0</v>
      </c>
      <c r="J340" t="n">
        <v>0</v>
      </c>
      <c r="K340" t="n">
        <v>0</v>
      </c>
      <c r="L340" t="n">
        <v>0</v>
      </c>
      <c r="M340" t="n">
        <v>0</v>
      </c>
      <c r="N340" t="n">
        <v>0</v>
      </c>
      <c r="O340" t="n">
        <v>0</v>
      </c>
      <c r="P340" t="n">
        <v>0</v>
      </c>
      <c r="Q340" t="n">
        <v>0</v>
      </c>
      <c r="R340" s="2" t="inlineStr"/>
    </row>
    <row r="341" ht="15" customHeight="1">
      <c r="A341" t="inlineStr">
        <is>
          <t>A 17883-2021</t>
        </is>
      </c>
      <c r="B341" s="1" t="n">
        <v>44301</v>
      </c>
      <c r="C341" s="1" t="n">
        <v>45565</v>
      </c>
      <c r="D341" t="inlineStr">
        <is>
          <t>JÄMTLANDS LÄN</t>
        </is>
      </c>
      <c r="E341" t="inlineStr">
        <is>
          <t>ÅRE</t>
        </is>
      </c>
      <c r="F341" t="inlineStr">
        <is>
          <t>Övriga Aktiebolag</t>
        </is>
      </c>
      <c r="G341" t="n">
        <v>6.7</v>
      </c>
      <c r="H341" t="n">
        <v>0</v>
      </c>
      <c r="I341" t="n">
        <v>0</v>
      </c>
      <c r="J341" t="n">
        <v>0</v>
      </c>
      <c r="K341" t="n">
        <v>0</v>
      </c>
      <c r="L341" t="n">
        <v>0</v>
      </c>
      <c r="M341" t="n">
        <v>0</v>
      </c>
      <c r="N341" t="n">
        <v>0</v>
      </c>
      <c r="O341" t="n">
        <v>0</v>
      </c>
      <c r="P341" t="n">
        <v>0</v>
      </c>
      <c r="Q341" t="n">
        <v>0</v>
      </c>
      <c r="R341" s="2" t="inlineStr"/>
    </row>
    <row r="342" ht="15" customHeight="1">
      <c r="A342" t="inlineStr">
        <is>
          <t>A 18374-2021</t>
        </is>
      </c>
      <c r="B342" s="1" t="n">
        <v>44305</v>
      </c>
      <c r="C342" s="1" t="n">
        <v>45565</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18531-2021</t>
        </is>
      </c>
      <c r="B343" s="1" t="n">
        <v>44306</v>
      </c>
      <c r="C343" s="1" t="n">
        <v>45565</v>
      </c>
      <c r="D343" t="inlineStr">
        <is>
          <t>JÄMTLANDS LÄN</t>
        </is>
      </c>
      <c r="E343" t="inlineStr">
        <is>
          <t>ÅRE</t>
        </is>
      </c>
      <c r="G343" t="n">
        <v>4</v>
      </c>
      <c r="H343" t="n">
        <v>0</v>
      </c>
      <c r="I343" t="n">
        <v>0</v>
      </c>
      <c r="J343" t="n">
        <v>0</v>
      </c>
      <c r="K343" t="n">
        <v>0</v>
      </c>
      <c r="L343" t="n">
        <v>0</v>
      </c>
      <c r="M343" t="n">
        <v>0</v>
      </c>
      <c r="N343" t="n">
        <v>0</v>
      </c>
      <c r="O343" t="n">
        <v>0</v>
      </c>
      <c r="P343" t="n">
        <v>0</v>
      </c>
      <c r="Q343" t="n">
        <v>0</v>
      </c>
      <c r="R343" s="2" t="inlineStr"/>
    </row>
    <row r="344" ht="15" customHeight="1">
      <c r="A344" t="inlineStr">
        <is>
          <t>A 19275-2021</t>
        </is>
      </c>
      <c r="B344" s="1" t="n">
        <v>44309</v>
      </c>
      <c r="C344" s="1" t="n">
        <v>45565</v>
      </c>
      <c r="D344" t="inlineStr">
        <is>
          <t>JÄMTLANDS LÄN</t>
        </is>
      </c>
      <c r="E344" t="inlineStr">
        <is>
          <t>ÅRE</t>
        </is>
      </c>
      <c r="G344" t="n">
        <v>16.4</v>
      </c>
      <c r="H344" t="n">
        <v>0</v>
      </c>
      <c r="I344" t="n">
        <v>0</v>
      </c>
      <c r="J344" t="n">
        <v>0</v>
      </c>
      <c r="K344" t="n">
        <v>0</v>
      </c>
      <c r="L344" t="n">
        <v>0</v>
      </c>
      <c r="M344" t="n">
        <v>0</v>
      </c>
      <c r="N344" t="n">
        <v>0</v>
      </c>
      <c r="O344" t="n">
        <v>0</v>
      </c>
      <c r="P344" t="n">
        <v>0</v>
      </c>
      <c r="Q344" t="n">
        <v>0</v>
      </c>
      <c r="R344" s="2" t="inlineStr"/>
    </row>
    <row r="345" ht="15" customHeight="1">
      <c r="A345" t="inlineStr">
        <is>
          <t>A 20501-2021</t>
        </is>
      </c>
      <c r="B345" s="1" t="n">
        <v>44315</v>
      </c>
      <c r="C345" s="1" t="n">
        <v>45565</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21897-2021</t>
        </is>
      </c>
      <c r="B346" s="1" t="n">
        <v>44322</v>
      </c>
      <c r="C346" s="1" t="n">
        <v>45565</v>
      </c>
      <c r="D346" t="inlineStr">
        <is>
          <t>JÄMTLANDS LÄN</t>
        </is>
      </c>
      <c r="E346" t="inlineStr">
        <is>
          <t>ÅRE</t>
        </is>
      </c>
      <c r="G346" t="n">
        <v>41.4</v>
      </c>
      <c r="H346" t="n">
        <v>0</v>
      </c>
      <c r="I346" t="n">
        <v>0</v>
      </c>
      <c r="J346" t="n">
        <v>0</v>
      </c>
      <c r="K346" t="n">
        <v>0</v>
      </c>
      <c r="L346" t="n">
        <v>0</v>
      </c>
      <c r="M346" t="n">
        <v>0</v>
      </c>
      <c r="N346" t="n">
        <v>0</v>
      </c>
      <c r="O346" t="n">
        <v>0</v>
      </c>
      <c r="P346" t="n">
        <v>0</v>
      </c>
      <c r="Q346" t="n">
        <v>0</v>
      </c>
      <c r="R346" s="2" t="inlineStr"/>
    </row>
    <row r="347" ht="15" customHeight="1">
      <c r="A347" t="inlineStr">
        <is>
          <t>A 21905-2021</t>
        </is>
      </c>
      <c r="B347" s="1" t="n">
        <v>44322</v>
      </c>
      <c r="C347" s="1" t="n">
        <v>45565</v>
      </c>
      <c r="D347" t="inlineStr">
        <is>
          <t>JÄMTLANDS LÄN</t>
        </is>
      </c>
      <c r="E347" t="inlineStr">
        <is>
          <t>ÅRE</t>
        </is>
      </c>
      <c r="G347" t="n">
        <v>14.3</v>
      </c>
      <c r="H347" t="n">
        <v>0</v>
      </c>
      <c r="I347" t="n">
        <v>0</v>
      </c>
      <c r="J347" t="n">
        <v>0</v>
      </c>
      <c r="K347" t="n">
        <v>0</v>
      </c>
      <c r="L347" t="n">
        <v>0</v>
      </c>
      <c r="M347" t="n">
        <v>0</v>
      </c>
      <c r="N347" t="n">
        <v>0</v>
      </c>
      <c r="O347" t="n">
        <v>0</v>
      </c>
      <c r="P347" t="n">
        <v>0</v>
      </c>
      <c r="Q347" t="n">
        <v>0</v>
      </c>
      <c r="R347" s="2" t="inlineStr"/>
    </row>
    <row r="348" ht="15" customHeight="1">
      <c r="A348" t="inlineStr">
        <is>
          <t>A 22707-2021</t>
        </is>
      </c>
      <c r="B348" s="1" t="n">
        <v>44323</v>
      </c>
      <c r="C348" s="1" t="n">
        <v>45565</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22505-2021</t>
        </is>
      </c>
      <c r="B349" s="1" t="n">
        <v>44326</v>
      </c>
      <c r="C349" s="1" t="n">
        <v>45565</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23561-2021</t>
        </is>
      </c>
      <c r="B350" s="1" t="n">
        <v>44334</v>
      </c>
      <c r="C350" s="1" t="n">
        <v>45565</v>
      </c>
      <c r="D350" t="inlineStr">
        <is>
          <t>JÄMTLANDS LÄN</t>
        </is>
      </c>
      <c r="E350" t="inlineStr">
        <is>
          <t>ÅRE</t>
        </is>
      </c>
      <c r="G350" t="n">
        <v>8.5</v>
      </c>
      <c r="H350" t="n">
        <v>0</v>
      </c>
      <c r="I350" t="n">
        <v>0</v>
      </c>
      <c r="J350" t="n">
        <v>0</v>
      </c>
      <c r="K350" t="n">
        <v>0</v>
      </c>
      <c r="L350" t="n">
        <v>0</v>
      </c>
      <c r="M350" t="n">
        <v>0</v>
      </c>
      <c r="N350" t="n">
        <v>0</v>
      </c>
      <c r="O350" t="n">
        <v>0</v>
      </c>
      <c r="P350" t="n">
        <v>0</v>
      </c>
      <c r="Q350" t="n">
        <v>0</v>
      </c>
      <c r="R350" s="2" t="inlineStr"/>
    </row>
    <row r="351" ht="15" customHeight="1">
      <c r="A351" t="inlineStr">
        <is>
          <t>A 24585-2021</t>
        </is>
      </c>
      <c r="B351" s="1" t="n">
        <v>44337</v>
      </c>
      <c r="C351" s="1" t="n">
        <v>45565</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26722-2021</t>
        </is>
      </c>
      <c r="B352" s="1" t="n">
        <v>44349</v>
      </c>
      <c r="C352" s="1" t="n">
        <v>45565</v>
      </c>
      <c r="D352" t="inlineStr">
        <is>
          <t>JÄMTLANDS LÄN</t>
        </is>
      </c>
      <c r="E352" t="inlineStr">
        <is>
          <t>ÅRE</t>
        </is>
      </c>
      <c r="G352" t="n">
        <v>11.4</v>
      </c>
      <c r="H352" t="n">
        <v>0</v>
      </c>
      <c r="I352" t="n">
        <v>0</v>
      </c>
      <c r="J352" t="n">
        <v>0</v>
      </c>
      <c r="K352" t="n">
        <v>0</v>
      </c>
      <c r="L352" t="n">
        <v>0</v>
      </c>
      <c r="M352" t="n">
        <v>0</v>
      </c>
      <c r="N352" t="n">
        <v>0</v>
      </c>
      <c r="O352" t="n">
        <v>0</v>
      </c>
      <c r="P352" t="n">
        <v>0</v>
      </c>
      <c r="Q352" t="n">
        <v>0</v>
      </c>
      <c r="R352" s="2" t="inlineStr"/>
    </row>
    <row r="353" ht="15" customHeight="1">
      <c r="A353" t="inlineStr">
        <is>
          <t>A 27010-2021</t>
        </is>
      </c>
      <c r="B353" s="1" t="n">
        <v>44350</v>
      </c>
      <c r="C353" s="1" t="n">
        <v>45565</v>
      </c>
      <c r="D353" t="inlineStr">
        <is>
          <t>JÄMTLANDS LÄN</t>
        </is>
      </c>
      <c r="E353" t="inlineStr">
        <is>
          <t>ÅRE</t>
        </is>
      </c>
      <c r="G353" t="n">
        <v>1.6</v>
      </c>
      <c r="H353" t="n">
        <v>0</v>
      </c>
      <c r="I353" t="n">
        <v>0</v>
      </c>
      <c r="J353" t="n">
        <v>0</v>
      </c>
      <c r="K353" t="n">
        <v>0</v>
      </c>
      <c r="L353" t="n">
        <v>0</v>
      </c>
      <c r="M353" t="n">
        <v>0</v>
      </c>
      <c r="N353" t="n">
        <v>0</v>
      </c>
      <c r="O353" t="n">
        <v>0</v>
      </c>
      <c r="P353" t="n">
        <v>0</v>
      </c>
      <c r="Q353" t="n">
        <v>0</v>
      </c>
      <c r="R353" s="2" t="inlineStr"/>
    </row>
    <row r="354" ht="15" customHeight="1">
      <c r="A354" t="inlineStr">
        <is>
          <t>A 27375-2021</t>
        </is>
      </c>
      <c r="B354" s="1" t="n">
        <v>44351</v>
      </c>
      <c r="C354" s="1" t="n">
        <v>45565</v>
      </c>
      <c r="D354" t="inlineStr">
        <is>
          <t>JÄMTLANDS LÄN</t>
        </is>
      </c>
      <c r="E354" t="inlineStr">
        <is>
          <t>ÅRE</t>
        </is>
      </c>
      <c r="G354" t="n">
        <v>7.4</v>
      </c>
      <c r="H354" t="n">
        <v>0</v>
      </c>
      <c r="I354" t="n">
        <v>0</v>
      </c>
      <c r="J354" t="n">
        <v>0</v>
      </c>
      <c r="K354" t="n">
        <v>0</v>
      </c>
      <c r="L354" t="n">
        <v>0</v>
      </c>
      <c r="M354" t="n">
        <v>0</v>
      </c>
      <c r="N354" t="n">
        <v>0</v>
      </c>
      <c r="O354" t="n">
        <v>0</v>
      </c>
      <c r="P354" t="n">
        <v>0</v>
      </c>
      <c r="Q354" t="n">
        <v>0</v>
      </c>
      <c r="R354" s="2" t="inlineStr"/>
    </row>
    <row r="355" ht="15" customHeight="1">
      <c r="A355" t="inlineStr">
        <is>
          <t>A 27390-2021</t>
        </is>
      </c>
      <c r="B355" s="1" t="n">
        <v>44351</v>
      </c>
      <c r="C355" s="1" t="n">
        <v>45565</v>
      </c>
      <c r="D355" t="inlineStr">
        <is>
          <t>JÄMTLANDS LÄN</t>
        </is>
      </c>
      <c r="E355" t="inlineStr">
        <is>
          <t>ÅRE</t>
        </is>
      </c>
      <c r="G355" t="n">
        <v>14.9</v>
      </c>
      <c r="H355" t="n">
        <v>0</v>
      </c>
      <c r="I355" t="n">
        <v>0</v>
      </c>
      <c r="J355" t="n">
        <v>0</v>
      </c>
      <c r="K355" t="n">
        <v>0</v>
      </c>
      <c r="L355" t="n">
        <v>0</v>
      </c>
      <c r="M355" t="n">
        <v>0</v>
      </c>
      <c r="N355" t="n">
        <v>0</v>
      </c>
      <c r="O355" t="n">
        <v>0</v>
      </c>
      <c r="P355" t="n">
        <v>0</v>
      </c>
      <c r="Q355" t="n">
        <v>0</v>
      </c>
      <c r="R355" s="2" t="inlineStr"/>
    </row>
    <row r="356" ht="15" customHeight="1">
      <c r="A356" t="inlineStr">
        <is>
          <t>A 27946-2021</t>
        </is>
      </c>
      <c r="B356" s="1" t="n">
        <v>44354</v>
      </c>
      <c r="C356" s="1" t="n">
        <v>45565</v>
      </c>
      <c r="D356" t="inlineStr">
        <is>
          <t>JÄMTLANDS LÄN</t>
        </is>
      </c>
      <c r="E356" t="inlineStr">
        <is>
          <t>ÅRE</t>
        </is>
      </c>
      <c r="G356" t="n">
        <v>0.3</v>
      </c>
      <c r="H356" t="n">
        <v>0</v>
      </c>
      <c r="I356" t="n">
        <v>0</v>
      </c>
      <c r="J356" t="n">
        <v>0</v>
      </c>
      <c r="K356" t="n">
        <v>0</v>
      </c>
      <c r="L356" t="n">
        <v>0</v>
      </c>
      <c r="M356" t="n">
        <v>0</v>
      </c>
      <c r="N356" t="n">
        <v>0</v>
      </c>
      <c r="O356" t="n">
        <v>0</v>
      </c>
      <c r="P356" t="n">
        <v>0</v>
      </c>
      <c r="Q356" t="n">
        <v>0</v>
      </c>
      <c r="R356" s="2" t="inlineStr"/>
    </row>
    <row r="357" ht="15" customHeight="1">
      <c r="A357" t="inlineStr">
        <is>
          <t>A 28881-2021</t>
        </is>
      </c>
      <c r="B357" s="1" t="n">
        <v>44357</v>
      </c>
      <c r="C357" s="1" t="n">
        <v>45565</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28817-2021</t>
        </is>
      </c>
      <c r="B358" s="1" t="n">
        <v>44357</v>
      </c>
      <c r="C358" s="1" t="n">
        <v>45565</v>
      </c>
      <c r="D358" t="inlineStr">
        <is>
          <t>JÄMTLANDS LÄN</t>
        </is>
      </c>
      <c r="E358" t="inlineStr">
        <is>
          <t>ÅRE</t>
        </is>
      </c>
      <c r="G358" t="n">
        <v>21.4</v>
      </c>
      <c r="H358" t="n">
        <v>0</v>
      </c>
      <c r="I358" t="n">
        <v>0</v>
      </c>
      <c r="J358" t="n">
        <v>0</v>
      </c>
      <c r="K358" t="n">
        <v>0</v>
      </c>
      <c r="L358" t="n">
        <v>0</v>
      </c>
      <c r="M358" t="n">
        <v>0</v>
      </c>
      <c r="N358" t="n">
        <v>0</v>
      </c>
      <c r="O358" t="n">
        <v>0</v>
      </c>
      <c r="P358" t="n">
        <v>0</v>
      </c>
      <c r="Q358" t="n">
        <v>0</v>
      </c>
      <c r="R358" s="2" t="inlineStr"/>
    </row>
    <row r="359" ht="15" customHeight="1">
      <c r="A359" t="inlineStr">
        <is>
          <t>A 31388-2021</t>
        </is>
      </c>
      <c r="B359" s="1" t="n">
        <v>44369</v>
      </c>
      <c r="C359" s="1" t="n">
        <v>45565</v>
      </c>
      <c r="D359" t="inlineStr">
        <is>
          <t>JÄMTLANDS LÄN</t>
        </is>
      </c>
      <c r="E359" t="inlineStr">
        <is>
          <t>ÅRE</t>
        </is>
      </c>
      <c r="G359" t="n">
        <v>2</v>
      </c>
      <c r="H359" t="n">
        <v>0</v>
      </c>
      <c r="I359" t="n">
        <v>0</v>
      </c>
      <c r="J359" t="n">
        <v>0</v>
      </c>
      <c r="K359" t="n">
        <v>0</v>
      </c>
      <c r="L359" t="n">
        <v>0</v>
      </c>
      <c r="M359" t="n">
        <v>0</v>
      </c>
      <c r="N359" t="n">
        <v>0</v>
      </c>
      <c r="O359" t="n">
        <v>0</v>
      </c>
      <c r="P359" t="n">
        <v>0</v>
      </c>
      <c r="Q359" t="n">
        <v>0</v>
      </c>
      <c r="R359" s="2" t="inlineStr"/>
    </row>
    <row r="360" ht="15" customHeight="1">
      <c r="A360" t="inlineStr">
        <is>
          <t>A 32241-2021</t>
        </is>
      </c>
      <c r="B360" s="1" t="n">
        <v>44371</v>
      </c>
      <c r="C360" s="1" t="n">
        <v>45565</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34357-2021</t>
        </is>
      </c>
      <c r="B361" s="1" t="n">
        <v>44379</v>
      </c>
      <c r="C361" s="1" t="n">
        <v>45565</v>
      </c>
      <c r="D361" t="inlineStr">
        <is>
          <t>JÄMTLANDS LÄN</t>
        </is>
      </c>
      <c r="E361" t="inlineStr">
        <is>
          <t>ÅRE</t>
        </is>
      </c>
      <c r="G361" t="n">
        <v>7.1</v>
      </c>
      <c r="H361" t="n">
        <v>0</v>
      </c>
      <c r="I361" t="n">
        <v>0</v>
      </c>
      <c r="J361" t="n">
        <v>0</v>
      </c>
      <c r="K361" t="n">
        <v>0</v>
      </c>
      <c r="L361" t="n">
        <v>0</v>
      </c>
      <c r="M361" t="n">
        <v>0</v>
      </c>
      <c r="N361" t="n">
        <v>0</v>
      </c>
      <c r="O361" t="n">
        <v>0</v>
      </c>
      <c r="P361" t="n">
        <v>0</v>
      </c>
      <c r="Q361" t="n">
        <v>0</v>
      </c>
      <c r="R361" s="2" t="inlineStr"/>
    </row>
    <row r="362" ht="15" customHeight="1">
      <c r="A362" t="inlineStr">
        <is>
          <t>A 36868-2021</t>
        </is>
      </c>
      <c r="B362" s="1" t="n">
        <v>44393</v>
      </c>
      <c r="C362" s="1" t="n">
        <v>45565</v>
      </c>
      <c r="D362" t="inlineStr">
        <is>
          <t>JÄMTLANDS LÄN</t>
        </is>
      </c>
      <c r="E362" t="inlineStr">
        <is>
          <t>ÅRE</t>
        </is>
      </c>
      <c r="G362" t="n">
        <v>2.5</v>
      </c>
      <c r="H362" t="n">
        <v>0</v>
      </c>
      <c r="I362" t="n">
        <v>0</v>
      </c>
      <c r="J362" t="n">
        <v>0</v>
      </c>
      <c r="K362" t="n">
        <v>0</v>
      </c>
      <c r="L362" t="n">
        <v>0</v>
      </c>
      <c r="M362" t="n">
        <v>0</v>
      </c>
      <c r="N362" t="n">
        <v>0</v>
      </c>
      <c r="O362" t="n">
        <v>0</v>
      </c>
      <c r="P362" t="n">
        <v>0</v>
      </c>
      <c r="Q362" t="n">
        <v>0</v>
      </c>
      <c r="R362" s="2" t="inlineStr"/>
    </row>
    <row r="363" ht="15" customHeight="1">
      <c r="A363" t="inlineStr">
        <is>
          <t>A 37086-2021</t>
        </is>
      </c>
      <c r="B363" s="1" t="n">
        <v>44395</v>
      </c>
      <c r="C363" s="1" t="n">
        <v>45565</v>
      </c>
      <c r="D363" t="inlineStr">
        <is>
          <t>JÄMTLANDS LÄN</t>
        </is>
      </c>
      <c r="E363" t="inlineStr">
        <is>
          <t>ÅRE</t>
        </is>
      </c>
      <c r="G363" t="n">
        <v>34.1</v>
      </c>
      <c r="H363" t="n">
        <v>0</v>
      </c>
      <c r="I363" t="n">
        <v>0</v>
      </c>
      <c r="J363" t="n">
        <v>0</v>
      </c>
      <c r="K363" t="n">
        <v>0</v>
      </c>
      <c r="L363" t="n">
        <v>0</v>
      </c>
      <c r="M363" t="n">
        <v>0</v>
      </c>
      <c r="N363" t="n">
        <v>0</v>
      </c>
      <c r="O363" t="n">
        <v>0</v>
      </c>
      <c r="P363" t="n">
        <v>0</v>
      </c>
      <c r="Q363" t="n">
        <v>0</v>
      </c>
      <c r="R363" s="2" t="inlineStr"/>
    </row>
    <row r="364" ht="15" customHeight="1">
      <c r="A364" t="inlineStr">
        <is>
          <t>A 37156-2021</t>
        </is>
      </c>
      <c r="B364" s="1" t="n">
        <v>44396</v>
      </c>
      <c r="C364" s="1" t="n">
        <v>45565</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37461-2021</t>
        </is>
      </c>
      <c r="B365" s="1" t="n">
        <v>44398</v>
      </c>
      <c r="C365" s="1" t="n">
        <v>45565</v>
      </c>
      <c r="D365" t="inlineStr">
        <is>
          <t>JÄMTLANDS LÄN</t>
        </is>
      </c>
      <c r="E365" t="inlineStr">
        <is>
          <t>ÅRE</t>
        </is>
      </c>
      <c r="G365" t="n">
        <v>11.7</v>
      </c>
      <c r="H365" t="n">
        <v>0</v>
      </c>
      <c r="I365" t="n">
        <v>0</v>
      </c>
      <c r="J365" t="n">
        <v>0</v>
      </c>
      <c r="K365" t="n">
        <v>0</v>
      </c>
      <c r="L365" t="n">
        <v>0</v>
      </c>
      <c r="M365" t="n">
        <v>0</v>
      </c>
      <c r="N365" t="n">
        <v>0</v>
      </c>
      <c r="O365" t="n">
        <v>0</v>
      </c>
      <c r="P365" t="n">
        <v>0</v>
      </c>
      <c r="Q365" t="n">
        <v>0</v>
      </c>
      <c r="R365" s="2" t="inlineStr"/>
    </row>
    <row r="366" ht="15" customHeight="1">
      <c r="A366" t="inlineStr">
        <is>
          <t>A 38450-2021</t>
        </is>
      </c>
      <c r="B366" s="1" t="n">
        <v>44406</v>
      </c>
      <c r="C366" s="1" t="n">
        <v>45565</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38456-2021</t>
        </is>
      </c>
      <c r="B367" s="1" t="n">
        <v>44406</v>
      </c>
      <c r="C367" s="1" t="n">
        <v>45565</v>
      </c>
      <c r="D367" t="inlineStr">
        <is>
          <t>JÄMTLANDS LÄN</t>
        </is>
      </c>
      <c r="E367" t="inlineStr">
        <is>
          <t>ÅRE</t>
        </is>
      </c>
      <c r="G367" t="n">
        <v>19.8</v>
      </c>
      <c r="H367" t="n">
        <v>0</v>
      </c>
      <c r="I367" t="n">
        <v>0</v>
      </c>
      <c r="J367" t="n">
        <v>0</v>
      </c>
      <c r="K367" t="n">
        <v>0</v>
      </c>
      <c r="L367" t="n">
        <v>0</v>
      </c>
      <c r="M367" t="n">
        <v>0</v>
      </c>
      <c r="N367" t="n">
        <v>0</v>
      </c>
      <c r="O367" t="n">
        <v>0</v>
      </c>
      <c r="P367" t="n">
        <v>0</v>
      </c>
      <c r="Q367" t="n">
        <v>0</v>
      </c>
      <c r="R367" s="2" t="inlineStr"/>
    </row>
    <row r="368" ht="15" customHeight="1">
      <c r="A368" t="inlineStr">
        <is>
          <t>A 40336-2021</t>
        </is>
      </c>
      <c r="B368" s="1" t="n">
        <v>44419</v>
      </c>
      <c r="C368" s="1" t="n">
        <v>45565</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45565</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40341-2021</t>
        </is>
      </c>
      <c r="B370" s="1" t="n">
        <v>44419</v>
      </c>
      <c r="C370" s="1" t="n">
        <v>45565</v>
      </c>
      <c r="D370" t="inlineStr">
        <is>
          <t>JÄMTLANDS LÄN</t>
        </is>
      </c>
      <c r="E370" t="inlineStr">
        <is>
          <t>ÅRE</t>
        </is>
      </c>
      <c r="G370" t="n">
        <v>3</v>
      </c>
      <c r="H370" t="n">
        <v>0</v>
      </c>
      <c r="I370" t="n">
        <v>0</v>
      </c>
      <c r="J370" t="n">
        <v>0</v>
      </c>
      <c r="K370" t="n">
        <v>0</v>
      </c>
      <c r="L370" t="n">
        <v>0</v>
      </c>
      <c r="M370" t="n">
        <v>0</v>
      </c>
      <c r="N370" t="n">
        <v>0</v>
      </c>
      <c r="O370" t="n">
        <v>0</v>
      </c>
      <c r="P370" t="n">
        <v>0</v>
      </c>
      <c r="Q370" t="n">
        <v>0</v>
      </c>
      <c r="R370" s="2" t="inlineStr"/>
    </row>
    <row r="371" ht="15" customHeight="1">
      <c r="A371" t="inlineStr">
        <is>
          <t>A 50099-2021</t>
        </is>
      </c>
      <c r="B371" s="1" t="n">
        <v>44456</v>
      </c>
      <c r="C371" s="1" t="n">
        <v>45565</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51042-2021</t>
        </is>
      </c>
      <c r="B372" s="1" t="n">
        <v>44461</v>
      </c>
      <c r="C372" s="1" t="n">
        <v>45565</v>
      </c>
      <c r="D372" t="inlineStr">
        <is>
          <t>JÄMTLANDS LÄN</t>
        </is>
      </c>
      <c r="E372" t="inlineStr">
        <is>
          <t>ÅRE</t>
        </is>
      </c>
      <c r="G372" t="n">
        <v>0.8</v>
      </c>
      <c r="H372" t="n">
        <v>0</v>
      </c>
      <c r="I372" t="n">
        <v>0</v>
      </c>
      <c r="J372" t="n">
        <v>0</v>
      </c>
      <c r="K372" t="n">
        <v>0</v>
      </c>
      <c r="L372" t="n">
        <v>0</v>
      </c>
      <c r="M372" t="n">
        <v>0</v>
      </c>
      <c r="N372" t="n">
        <v>0</v>
      </c>
      <c r="O372" t="n">
        <v>0</v>
      </c>
      <c r="P372" t="n">
        <v>0</v>
      </c>
      <c r="Q372" t="n">
        <v>0</v>
      </c>
      <c r="R372" s="2" t="inlineStr"/>
    </row>
    <row r="373" ht="15" customHeight="1">
      <c r="A373" t="inlineStr">
        <is>
          <t>A 51040-2021</t>
        </is>
      </c>
      <c r="B373" s="1" t="n">
        <v>44461</v>
      </c>
      <c r="C373" s="1" t="n">
        <v>45565</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52427-2021</t>
        </is>
      </c>
      <c r="B374" s="1" t="n">
        <v>44466</v>
      </c>
      <c r="C374" s="1" t="n">
        <v>45565</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56197-2021</t>
        </is>
      </c>
      <c r="B375" s="1" t="n">
        <v>44478</v>
      </c>
      <c r="C375" s="1" t="n">
        <v>45565</v>
      </c>
      <c r="D375" t="inlineStr">
        <is>
          <t>JÄMTLANDS LÄN</t>
        </is>
      </c>
      <c r="E375" t="inlineStr">
        <is>
          <t>ÅRE</t>
        </is>
      </c>
      <c r="F375" t="inlineStr">
        <is>
          <t>Övriga Aktiebolag</t>
        </is>
      </c>
      <c r="G375" t="n">
        <v>13</v>
      </c>
      <c r="H375" t="n">
        <v>0</v>
      </c>
      <c r="I375" t="n">
        <v>0</v>
      </c>
      <c r="J375" t="n">
        <v>0</v>
      </c>
      <c r="K375" t="n">
        <v>0</v>
      </c>
      <c r="L375" t="n">
        <v>0</v>
      </c>
      <c r="M375" t="n">
        <v>0</v>
      </c>
      <c r="N375" t="n">
        <v>0</v>
      </c>
      <c r="O375" t="n">
        <v>0</v>
      </c>
      <c r="P375" t="n">
        <v>0</v>
      </c>
      <c r="Q375" t="n">
        <v>0</v>
      </c>
      <c r="R375" s="2" t="inlineStr"/>
    </row>
    <row r="376" ht="15" customHeight="1">
      <c r="A376" t="inlineStr">
        <is>
          <t>A 56192-2021</t>
        </is>
      </c>
      <c r="B376" s="1" t="n">
        <v>44477</v>
      </c>
      <c r="C376" s="1" t="n">
        <v>45565</v>
      </c>
      <c r="D376" t="inlineStr">
        <is>
          <t>JÄMTLANDS LÄN</t>
        </is>
      </c>
      <c r="E376" t="inlineStr">
        <is>
          <t>ÅRE</t>
        </is>
      </c>
      <c r="F376" t="inlineStr">
        <is>
          <t>Övriga Aktiebolag</t>
        </is>
      </c>
      <c r="G376" t="n">
        <v>21.5</v>
      </c>
      <c r="H376" t="n">
        <v>0</v>
      </c>
      <c r="I376" t="n">
        <v>0</v>
      </c>
      <c r="J376" t="n">
        <v>0</v>
      </c>
      <c r="K376" t="n">
        <v>0</v>
      </c>
      <c r="L376" t="n">
        <v>0</v>
      </c>
      <c r="M376" t="n">
        <v>0</v>
      </c>
      <c r="N376" t="n">
        <v>0</v>
      </c>
      <c r="O376" t="n">
        <v>0</v>
      </c>
      <c r="P376" t="n">
        <v>0</v>
      </c>
      <c r="Q376" t="n">
        <v>0</v>
      </c>
      <c r="R376" s="2" t="inlineStr"/>
    </row>
    <row r="377" ht="15" customHeight="1">
      <c r="A377" t="inlineStr">
        <is>
          <t>A 57150-2021</t>
        </is>
      </c>
      <c r="B377" s="1" t="n">
        <v>44482</v>
      </c>
      <c r="C377" s="1" t="n">
        <v>45565</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57158-2021</t>
        </is>
      </c>
      <c r="B378" s="1" t="n">
        <v>44482</v>
      </c>
      <c r="C378" s="1" t="n">
        <v>45565</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57512-2021</t>
        </is>
      </c>
      <c r="B379" s="1" t="n">
        <v>44483</v>
      </c>
      <c r="C379" s="1" t="n">
        <v>45565</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57710-2021</t>
        </is>
      </c>
      <c r="B380" s="1" t="n">
        <v>44484</v>
      </c>
      <c r="C380" s="1" t="n">
        <v>45565</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58230-2021</t>
        </is>
      </c>
      <c r="B381" s="1" t="n">
        <v>44487</v>
      </c>
      <c r="C381" s="1" t="n">
        <v>45565</v>
      </c>
      <c r="D381" t="inlineStr">
        <is>
          <t>JÄMTLANDS LÄN</t>
        </is>
      </c>
      <c r="E381" t="inlineStr">
        <is>
          <t>ÅRE</t>
        </is>
      </c>
      <c r="G381" t="n">
        <v>19.3</v>
      </c>
      <c r="H381" t="n">
        <v>0</v>
      </c>
      <c r="I381" t="n">
        <v>0</v>
      </c>
      <c r="J381" t="n">
        <v>0</v>
      </c>
      <c r="K381" t="n">
        <v>0</v>
      </c>
      <c r="L381" t="n">
        <v>0</v>
      </c>
      <c r="M381" t="n">
        <v>0</v>
      </c>
      <c r="N381" t="n">
        <v>0</v>
      </c>
      <c r="O381" t="n">
        <v>0</v>
      </c>
      <c r="P381" t="n">
        <v>0</v>
      </c>
      <c r="Q381" t="n">
        <v>0</v>
      </c>
      <c r="R381" s="2" t="inlineStr"/>
    </row>
    <row r="382" ht="15" customHeight="1">
      <c r="A382" t="inlineStr">
        <is>
          <t>A 58232-2021</t>
        </is>
      </c>
      <c r="B382" s="1" t="n">
        <v>44487</v>
      </c>
      <c r="C382" s="1" t="n">
        <v>45565</v>
      </c>
      <c r="D382" t="inlineStr">
        <is>
          <t>JÄMTLANDS LÄN</t>
        </is>
      </c>
      <c r="E382" t="inlineStr">
        <is>
          <t>ÅRE</t>
        </is>
      </c>
      <c r="G382" t="n">
        <v>43.7</v>
      </c>
      <c r="H382" t="n">
        <v>0</v>
      </c>
      <c r="I382" t="n">
        <v>0</v>
      </c>
      <c r="J382" t="n">
        <v>0</v>
      </c>
      <c r="K382" t="n">
        <v>0</v>
      </c>
      <c r="L382" t="n">
        <v>0</v>
      </c>
      <c r="M382" t="n">
        <v>0</v>
      </c>
      <c r="N382" t="n">
        <v>0</v>
      </c>
      <c r="O382" t="n">
        <v>0</v>
      </c>
      <c r="P382" t="n">
        <v>0</v>
      </c>
      <c r="Q382" t="n">
        <v>0</v>
      </c>
      <c r="R382" s="2" t="inlineStr"/>
    </row>
    <row r="383" ht="15" customHeight="1">
      <c r="A383" t="inlineStr">
        <is>
          <t>A 58228-2021</t>
        </is>
      </c>
      <c r="B383" s="1" t="n">
        <v>44487</v>
      </c>
      <c r="C383" s="1" t="n">
        <v>45565</v>
      </c>
      <c r="D383" t="inlineStr">
        <is>
          <t>JÄMTLANDS LÄN</t>
        </is>
      </c>
      <c r="E383" t="inlineStr">
        <is>
          <t>ÅRE</t>
        </is>
      </c>
      <c r="G383" t="n">
        <v>46.2</v>
      </c>
      <c r="H383" t="n">
        <v>0</v>
      </c>
      <c r="I383" t="n">
        <v>0</v>
      </c>
      <c r="J383" t="n">
        <v>0</v>
      </c>
      <c r="K383" t="n">
        <v>0</v>
      </c>
      <c r="L383" t="n">
        <v>0</v>
      </c>
      <c r="M383" t="n">
        <v>0</v>
      </c>
      <c r="N383" t="n">
        <v>0</v>
      </c>
      <c r="O383" t="n">
        <v>0</v>
      </c>
      <c r="P383" t="n">
        <v>0</v>
      </c>
      <c r="Q383" t="n">
        <v>0</v>
      </c>
      <c r="R383" s="2" t="inlineStr"/>
    </row>
    <row r="384" ht="15" customHeight="1">
      <c r="A384" t="inlineStr">
        <is>
          <t>A 58940-2021</t>
        </is>
      </c>
      <c r="B384" s="1" t="n">
        <v>44489</v>
      </c>
      <c r="C384" s="1" t="n">
        <v>45565</v>
      </c>
      <c r="D384" t="inlineStr">
        <is>
          <t>JÄMTLANDS LÄN</t>
        </is>
      </c>
      <c r="E384" t="inlineStr">
        <is>
          <t>ÅRE</t>
        </is>
      </c>
      <c r="G384" t="n">
        <v>5.8</v>
      </c>
      <c r="H384" t="n">
        <v>0</v>
      </c>
      <c r="I384" t="n">
        <v>0</v>
      </c>
      <c r="J384" t="n">
        <v>0</v>
      </c>
      <c r="K384" t="n">
        <v>0</v>
      </c>
      <c r="L384" t="n">
        <v>0</v>
      </c>
      <c r="M384" t="n">
        <v>0</v>
      </c>
      <c r="N384" t="n">
        <v>0</v>
      </c>
      <c r="O384" t="n">
        <v>0</v>
      </c>
      <c r="P384" t="n">
        <v>0</v>
      </c>
      <c r="Q384" t="n">
        <v>0</v>
      </c>
      <c r="R384" s="2" t="inlineStr"/>
    </row>
    <row r="385" ht="15" customHeight="1">
      <c r="A385" t="inlineStr">
        <is>
          <t>A 59352-2021</t>
        </is>
      </c>
      <c r="B385" s="1" t="n">
        <v>44490</v>
      </c>
      <c r="C385" s="1" t="n">
        <v>45565</v>
      </c>
      <c r="D385" t="inlineStr">
        <is>
          <t>JÄMTLANDS LÄN</t>
        </is>
      </c>
      <c r="E385" t="inlineStr">
        <is>
          <t>ÅRE</t>
        </is>
      </c>
      <c r="G385" t="n">
        <v>0.4</v>
      </c>
      <c r="H385" t="n">
        <v>0</v>
      </c>
      <c r="I385" t="n">
        <v>0</v>
      </c>
      <c r="J385" t="n">
        <v>0</v>
      </c>
      <c r="K385" t="n">
        <v>0</v>
      </c>
      <c r="L385" t="n">
        <v>0</v>
      </c>
      <c r="M385" t="n">
        <v>0</v>
      </c>
      <c r="N385" t="n">
        <v>0</v>
      </c>
      <c r="O385" t="n">
        <v>0</v>
      </c>
      <c r="P385" t="n">
        <v>0</v>
      </c>
      <c r="Q385" t="n">
        <v>0</v>
      </c>
      <c r="R385" s="2" t="inlineStr"/>
    </row>
    <row r="386" ht="15" customHeight="1">
      <c r="A386" t="inlineStr">
        <is>
          <t>A 59397-2021</t>
        </is>
      </c>
      <c r="B386" s="1" t="n">
        <v>44491</v>
      </c>
      <c r="C386" s="1" t="n">
        <v>45565</v>
      </c>
      <c r="D386" t="inlineStr">
        <is>
          <t>JÄMTLANDS LÄN</t>
        </is>
      </c>
      <c r="E386" t="inlineStr">
        <is>
          <t>ÅRE</t>
        </is>
      </c>
      <c r="F386" t="inlineStr">
        <is>
          <t>Övriga Aktiebolag</t>
        </is>
      </c>
      <c r="G386" t="n">
        <v>7.6</v>
      </c>
      <c r="H386" t="n">
        <v>0</v>
      </c>
      <c r="I386" t="n">
        <v>0</v>
      </c>
      <c r="J386" t="n">
        <v>0</v>
      </c>
      <c r="K386" t="n">
        <v>0</v>
      </c>
      <c r="L386" t="n">
        <v>0</v>
      </c>
      <c r="M386" t="n">
        <v>0</v>
      </c>
      <c r="N386" t="n">
        <v>0</v>
      </c>
      <c r="O386" t="n">
        <v>0</v>
      </c>
      <c r="P386" t="n">
        <v>0</v>
      </c>
      <c r="Q386" t="n">
        <v>0</v>
      </c>
      <c r="R386" s="2" t="inlineStr"/>
    </row>
    <row r="387" ht="15" customHeight="1">
      <c r="A387" t="inlineStr">
        <is>
          <t>A 60132-2021</t>
        </is>
      </c>
      <c r="B387" s="1" t="n">
        <v>44495</v>
      </c>
      <c r="C387" s="1" t="n">
        <v>45565</v>
      </c>
      <c r="D387" t="inlineStr">
        <is>
          <t>JÄMTLANDS LÄN</t>
        </is>
      </c>
      <c r="E387" t="inlineStr">
        <is>
          <t>ÅRE</t>
        </is>
      </c>
      <c r="G387" t="n">
        <v>3.7</v>
      </c>
      <c r="H387" t="n">
        <v>0</v>
      </c>
      <c r="I387" t="n">
        <v>0</v>
      </c>
      <c r="J387" t="n">
        <v>0</v>
      </c>
      <c r="K387" t="n">
        <v>0</v>
      </c>
      <c r="L387" t="n">
        <v>0</v>
      </c>
      <c r="M387" t="n">
        <v>0</v>
      </c>
      <c r="N387" t="n">
        <v>0</v>
      </c>
      <c r="O387" t="n">
        <v>0</v>
      </c>
      <c r="P387" t="n">
        <v>0</v>
      </c>
      <c r="Q387" t="n">
        <v>0</v>
      </c>
      <c r="R387" s="2" t="inlineStr"/>
    </row>
    <row r="388" ht="15" customHeight="1">
      <c r="A388" t="inlineStr">
        <is>
          <t>A 60122-2021</t>
        </is>
      </c>
      <c r="B388" s="1" t="n">
        <v>44495</v>
      </c>
      <c r="C388" s="1" t="n">
        <v>45565</v>
      </c>
      <c r="D388" t="inlineStr">
        <is>
          <t>JÄMTLANDS LÄN</t>
        </is>
      </c>
      <c r="E388" t="inlineStr">
        <is>
          <t>ÅRE</t>
        </is>
      </c>
      <c r="G388" t="n">
        <v>46.7</v>
      </c>
      <c r="H388" t="n">
        <v>0</v>
      </c>
      <c r="I388" t="n">
        <v>0</v>
      </c>
      <c r="J388" t="n">
        <v>0</v>
      </c>
      <c r="K388" t="n">
        <v>0</v>
      </c>
      <c r="L388" t="n">
        <v>0</v>
      </c>
      <c r="M388" t="n">
        <v>0</v>
      </c>
      <c r="N388" t="n">
        <v>0</v>
      </c>
      <c r="O388" t="n">
        <v>0</v>
      </c>
      <c r="P388" t="n">
        <v>0</v>
      </c>
      <c r="Q388" t="n">
        <v>0</v>
      </c>
      <c r="R388" s="2" t="inlineStr"/>
    </row>
    <row r="389" ht="15" customHeight="1">
      <c r="A389" t="inlineStr">
        <is>
          <t>A 61566-2021</t>
        </is>
      </c>
      <c r="B389" s="1" t="n">
        <v>44496</v>
      </c>
      <c r="C389" s="1" t="n">
        <v>45565</v>
      </c>
      <c r="D389" t="inlineStr">
        <is>
          <t>JÄMTLANDS LÄN</t>
        </is>
      </c>
      <c r="E389" t="inlineStr">
        <is>
          <t>ÅRE</t>
        </is>
      </c>
      <c r="F389" t="inlineStr">
        <is>
          <t>Övriga statliga verk och myndigheter</t>
        </is>
      </c>
      <c r="G389" t="n">
        <v>10.9</v>
      </c>
      <c r="H389" t="n">
        <v>0</v>
      </c>
      <c r="I389" t="n">
        <v>0</v>
      </c>
      <c r="J389" t="n">
        <v>0</v>
      </c>
      <c r="K389" t="n">
        <v>0</v>
      </c>
      <c r="L389" t="n">
        <v>0</v>
      </c>
      <c r="M389" t="n">
        <v>0</v>
      </c>
      <c r="N389" t="n">
        <v>0</v>
      </c>
      <c r="O389" t="n">
        <v>0</v>
      </c>
      <c r="P389" t="n">
        <v>0</v>
      </c>
      <c r="Q389" t="n">
        <v>0</v>
      </c>
      <c r="R389" s="2" t="inlineStr"/>
    </row>
    <row r="390" ht="15" customHeight="1">
      <c r="A390" t="inlineStr">
        <is>
          <t>A 61524-2021</t>
        </is>
      </c>
      <c r="B390" s="1" t="n">
        <v>44496</v>
      </c>
      <c r="C390" s="1" t="n">
        <v>45565</v>
      </c>
      <c r="D390" t="inlineStr">
        <is>
          <t>JÄMTLANDS LÄN</t>
        </is>
      </c>
      <c r="E390" t="inlineStr">
        <is>
          <t>ÅRE</t>
        </is>
      </c>
      <c r="F390" t="inlineStr">
        <is>
          <t>Övriga statliga verk och myndigheter</t>
        </is>
      </c>
      <c r="G390" t="n">
        <v>15</v>
      </c>
      <c r="H390" t="n">
        <v>0</v>
      </c>
      <c r="I390" t="n">
        <v>0</v>
      </c>
      <c r="J390" t="n">
        <v>0</v>
      </c>
      <c r="K390" t="n">
        <v>0</v>
      </c>
      <c r="L390" t="n">
        <v>0</v>
      </c>
      <c r="M390" t="n">
        <v>0</v>
      </c>
      <c r="N390" t="n">
        <v>0</v>
      </c>
      <c r="O390" t="n">
        <v>0</v>
      </c>
      <c r="P390" t="n">
        <v>0</v>
      </c>
      <c r="Q390" t="n">
        <v>0</v>
      </c>
      <c r="R390" s="2" t="inlineStr"/>
    </row>
    <row r="391" ht="15" customHeight="1">
      <c r="A391" t="inlineStr">
        <is>
          <t>A 61331-2021</t>
        </is>
      </c>
      <c r="B391" s="1" t="n">
        <v>44498</v>
      </c>
      <c r="C391" s="1" t="n">
        <v>45565</v>
      </c>
      <c r="D391" t="inlineStr">
        <is>
          <t>JÄMTLANDS LÄN</t>
        </is>
      </c>
      <c r="E391" t="inlineStr">
        <is>
          <t>ÅRE</t>
        </is>
      </c>
      <c r="G391" t="n">
        <v>8.4</v>
      </c>
      <c r="H391" t="n">
        <v>0</v>
      </c>
      <c r="I391" t="n">
        <v>0</v>
      </c>
      <c r="J391" t="n">
        <v>0</v>
      </c>
      <c r="K391" t="n">
        <v>0</v>
      </c>
      <c r="L391" t="n">
        <v>0</v>
      </c>
      <c r="M391" t="n">
        <v>0</v>
      </c>
      <c r="N391" t="n">
        <v>0</v>
      </c>
      <c r="O391" t="n">
        <v>0</v>
      </c>
      <c r="P391" t="n">
        <v>0</v>
      </c>
      <c r="Q391" t="n">
        <v>0</v>
      </c>
      <c r="R391" s="2" t="inlineStr"/>
    </row>
    <row r="392" ht="15" customHeight="1">
      <c r="A392" t="inlineStr">
        <is>
          <t>A 61803-2021</t>
        </is>
      </c>
      <c r="B392" s="1" t="n">
        <v>44498</v>
      </c>
      <c r="C392" s="1" t="n">
        <v>45565</v>
      </c>
      <c r="D392" t="inlineStr">
        <is>
          <t>JÄMTLANDS LÄN</t>
        </is>
      </c>
      <c r="E392" t="inlineStr">
        <is>
          <t>ÅRE</t>
        </is>
      </c>
      <c r="G392" t="n">
        <v>0.9</v>
      </c>
      <c r="H392" t="n">
        <v>0</v>
      </c>
      <c r="I392" t="n">
        <v>0</v>
      </c>
      <c r="J392" t="n">
        <v>0</v>
      </c>
      <c r="K392" t="n">
        <v>0</v>
      </c>
      <c r="L392" t="n">
        <v>0</v>
      </c>
      <c r="M392" t="n">
        <v>0</v>
      </c>
      <c r="N392" t="n">
        <v>0</v>
      </c>
      <c r="O392" t="n">
        <v>0</v>
      </c>
      <c r="P392" t="n">
        <v>0</v>
      </c>
      <c r="Q392" t="n">
        <v>0</v>
      </c>
      <c r="R392" s="2" t="inlineStr"/>
    </row>
    <row r="393" ht="15" customHeight="1">
      <c r="A393" t="inlineStr">
        <is>
          <t>A 61806-2021</t>
        </is>
      </c>
      <c r="B393" s="1" t="n">
        <v>44498</v>
      </c>
      <c r="C393" s="1" t="n">
        <v>45565</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61815-2021</t>
        </is>
      </c>
      <c r="B394" s="1" t="n">
        <v>44498</v>
      </c>
      <c r="C394" s="1" t="n">
        <v>45565</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61375-2021</t>
        </is>
      </c>
      <c r="B395" s="1" t="n">
        <v>44499</v>
      </c>
      <c r="C395" s="1" t="n">
        <v>45565</v>
      </c>
      <c r="D395" t="inlineStr">
        <is>
          <t>JÄMTLANDS LÄN</t>
        </is>
      </c>
      <c r="E395" t="inlineStr">
        <is>
          <t>ÅRE</t>
        </is>
      </c>
      <c r="G395" t="n">
        <v>1.2</v>
      </c>
      <c r="H395" t="n">
        <v>0</v>
      </c>
      <c r="I395" t="n">
        <v>0</v>
      </c>
      <c r="J395" t="n">
        <v>0</v>
      </c>
      <c r="K395" t="n">
        <v>0</v>
      </c>
      <c r="L395" t="n">
        <v>0</v>
      </c>
      <c r="M395" t="n">
        <v>0</v>
      </c>
      <c r="N395" t="n">
        <v>0</v>
      </c>
      <c r="O395" t="n">
        <v>0</v>
      </c>
      <c r="P395" t="n">
        <v>0</v>
      </c>
      <c r="Q395" t="n">
        <v>0</v>
      </c>
      <c r="R395" s="2" t="inlineStr"/>
    </row>
    <row r="396" ht="15" customHeight="1">
      <c r="A396" t="inlineStr">
        <is>
          <t>A 62183-2021</t>
        </is>
      </c>
      <c r="B396" s="1" t="n">
        <v>44502</v>
      </c>
      <c r="C396" s="1" t="n">
        <v>45565</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62352-2021</t>
        </is>
      </c>
      <c r="B397" s="1" t="n">
        <v>44502</v>
      </c>
      <c r="C397" s="1" t="n">
        <v>45565</v>
      </c>
      <c r="D397" t="inlineStr">
        <is>
          <t>JÄMTLANDS LÄN</t>
        </is>
      </c>
      <c r="E397" t="inlineStr">
        <is>
          <t>ÅRE</t>
        </is>
      </c>
      <c r="F397" t="inlineStr">
        <is>
          <t>Övriga statliga verk och myndigheter</t>
        </is>
      </c>
      <c r="G397" t="n">
        <v>64.90000000000001</v>
      </c>
      <c r="H397" t="n">
        <v>0</v>
      </c>
      <c r="I397" t="n">
        <v>0</v>
      </c>
      <c r="J397" t="n">
        <v>0</v>
      </c>
      <c r="K397" t="n">
        <v>0</v>
      </c>
      <c r="L397" t="n">
        <v>0</v>
      </c>
      <c r="M397" t="n">
        <v>0</v>
      </c>
      <c r="N397" t="n">
        <v>0</v>
      </c>
      <c r="O397" t="n">
        <v>0</v>
      </c>
      <c r="P397" t="n">
        <v>0</v>
      </c>
      <c r="Q397" t="n">
        <v>0</v>
      </c>
      <c r="R397" s="2" t="inlineStr"/>
    </row>
    <row r="398" ht="15" customHeight="1">
      <c r="A398" t="inlineStr">
        <is>
          <t>A 63226-2021</t>
        </is>
      </c>
      <c r="B398" s="1" t="n">
        <v>44504</v>
      </c>
      <c r="C398" s="1" t="n">
        <v>45565</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64196-2021</t>
        </is>
      </c>
      <c r="B399" s="1" t="n">
        <v>44510</v>
      </c>
      <c r="C399" s="1" t="n">
        <v>45565</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64237-2021</t>
        </is>
      </c>
      <c r="B400" s="1" t="n">
        <v>44510</v>
      </c>
      <c r="C400" s="1" t="n">
        <v>45565</v>
      </c>
      <c r="D400" t="inlineStr">
        <is>
          <t>JÄMTLANDS LÄN</t>
        </is>
      </c>
      <c r="E400" t="inlineStr">
        <is>
          <t>ÅRE</t>
        </is>
      </c>
      <c r="G400" t="n">
        <v>2.7</v>
      </c>
      <c r="H400" t="n">
        <v>0</v>
      </c>
      <c r="I400" t="n">
        <v>0</v>
      </c>
      <c r="J400" t="n">
        <v>0</v>
      </c>
      <c r="K400" t="n">
        <v>0</v>
      </c>
      <c r="L400" t="n">
        <v>0</v>
      </c>
      <c r="M400" t="n">
        <v>0</v>
      </c>
      <c r="N400" t="n">
        <v>0</v>
      </c>
      <c r="O400" t="n">
        <v>0</v>
      </c>
      <c r="P400" t="n">
        <v>0</v>
      </c>
      <c r="Q400" t="n">
        <v>0</v>
      </c>
      <c r="R400" s="2" t="inlineStr"/>
    </row>
    <row r="401" ht="15" customHeight="1">
      <c r="A401" t="inlineStr">
        <is>
          <t>A 64219-2021</t>
        </is>
      </c>
      <c r="B401" s="1" t="n">
        <v>44510</v>
      </c>
      <c r="C401" s="1" t="n">
        <v>45565</v>
      </c>
      <c r="D401" t="inlineStr">
        <is>
          <t>JÄMTLANDS LÄN</t>
        </is>
      </c>
      <c r="E401" t="inlineStr">
        <is>
          <t>ÅRE</t>
        </is>
      </c>
      <c r="G401" t="n">
        <v>5.1</v>
      </c>
      <c r="H401" t="n">
        <v>0</v>
      </c>
      <c r="I401" t="n">
        <v>0</v>
      </c>
      <c r="J401" t="n">
        <v>0</v>
      </c>
      <c r="K401" t="n">
        <v>0</v>
      </c>
      <c r="L401" t="n">
        <v>0</v>
      </c>
      <c r="M401" t="n">
        <v>0</v>
      </c>
      <c r="N401" t="n">
        <v>0</v>
      </c>
      <c r="O401" t="n">
        <v>0</v>
      </c>
      <c r="P401" t="n">
        <v>0</v>
      </c>
      <c r="Q401" t="n">
        <v>0</v>
      </c>
      <c r="R401" s="2" t="inlineStr"/>
    </row>
    <row r="402" ht="15" customHeight="1">
      <c r="A402" t="inlineStr">
        <is>
          <t>A 64245-2021</t>
        </is>
      </c>
      <c r="B402" s="1" t="n">
        <v>44510</v>
      </c>
      <c r="C402" s="1" t="n">
        <v>45565</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65239-2021</t>
        </is>
      </c>
      <c r="B403" s="1" t="n">
        <v>44515</v>
      </c>
      <c r="C403" s="1" t="n">
        <v>45565</v>
      </c>
      <c r="D403" t="inlineStr">
        <is>
          <t>JÄMTLANDS LÄN</t>
        </is>
      </c>
      <c r="E403" t="inlineStr">
        <is>
          <t>ÅRE</t>
        </is>
      </c>
      <c r="G403" t="n">
        <v>0</v>
      </c>
      <c r="H403" t="n">
        <v>0</v>
      </c>
      <c r="I403" t="n">
        <v>0</v>
      </c>
      <c r="J403" t="n">
        <v>0</v>
      </c>
      <c r="K403" t="n">
        <v>0</v>
      </c>
      <c r="L403" t="n">
        <v>0</v>
      </c>
      <c r="M403" t="n">
        <v>0</v>
      </c>
      <c r="N403" t="n">
        <v>0</v>
      </c>
      <c r="O403" t="n">
        <v>0</v>
      </c>
      <c r="P403" t="n">
        <v>0</v>
      </c>
      <c r="Q403" t="n">
        <v>0</v>
      </c>
      <c r="R403" s="2" t="inlineStr"/>
    </row>
    <row r="404" ht="15" customHeight="1">
      <c r="A404" t="inlineStr">
        <is>
          <t>A 65415-2021</t>
        </is>
      </c>
      <c r="B404" s="1" t="n">
        <v>44515</v>
      </c>
      <c r="C404" s="1" t="n">
        <v>45565</v>
      </c>
      <c r="D404" t="inlineStr">
        <is>
          <t>JÄMTLANDS LÄN</t>
        </is>
      </c>
      <c r="E404" t="inlineStr">
        <is>
          <t>ÅRE</t>
        </is>
      </c>
      <c r="G404" t="n">
        <v>2.7</v>
      </c>
      <c r="H404" t="n">
        <v>0</v>
      </c>
      <c r="I404" t="n">
        <v>0</v>
      </c>
      <c r="J404" t="n">
        <v>0</v>
      </c>
      <c r="K404" t="n">
        <v>0</v>
      </c>
      <c r="L404" t="n">
        <v>0</v>
      </c>
      <c r="M404" t="n">
        <v>0</v>
      </c>
      <c r="N404" t="n">
        <v>0</v>
      </c>
      <c r="O404" t="n">
        <v>0</v>
      </c>
      <c r="P404" t="n">
        <v>0</v>
      </c>
      <c r="Q404" t="n">
        <v>0</v>
      </c>
      <c r="R404" s="2" t="inlineStr"/>
    </row>
    <row r="405" ht="15" customHeight="1">
      <c r="A405" t="inlineStr">
        <is>
          <t>A 65782-2021</t>
        </is>
      </c>
      <c r="B405" s="1" t="n">
        <v>44516</v>
      </c>
      <c r="C405" s="1" t="n">
        <v>45565</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65784-2021</t>
        </is>
      </c>
      <c r="B406" s="1" t="n">
        <v>44516</v>
      </c>
      <c r="C406" s="1" t="n">
        <v>45565</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67541-2021</t>
        </is>
      </c>
      <c r="B407" s="1" t="n">
        <v>44524</v>
      </c>
      <c r="C407" s="1" t="n">
        <v>45565</v>
      </c>
      <c r="D407" t="inlineStr">
        <is>
          <t>JÄMTLANDS LÄN</t>
        </is>
      </c>
      <c r="E407" t="inlineStr">
        <is>
          <t>ÅRE</t>
        </is>
      </c>
      <c r="G407" t="n">
        <v>3</v>
      </c>
      <c r="H407" t="n">
        <v>0</v>
      </c>
      <c r="I407" t="n">
        <v>0</v>
      </c>
      <c r="J407" t="n">
        <v>0</v>
      </c>
      <c r="K407" t="n">
        <v>0</v>
      </c>
      <c r="L407" t="n">
        <v>0</v>
      </c>
      <c r="M407" t="n">
        <v>0</v>
      </c>
      <c r="N407" t="n">
        <v>0</v>
      </c>
      <c r="O407" t="n">
        <v>0</v>
      </c>
      <c r="P407" t="n">
        <v>0</v>
      </c>
      <c r="Q407" t="n">
        <v>0</v>
      </c>
      <c r="R407" s="2" t="inlineStr"/>
    </row>
    <row r="408" ht="15" customHeight="1">
      <c r="A408" t="inlineStr">
        <is>
          <t>A 69170-2021</t>
        </is>
      </c>
      <c r="B408" s="1" t="n">
        <v>44529</v>
      </c>
      <c r="C408" s="1" t="n">
        <v>45565</v>
      </c>
      <c r="D408" t="inlineStr">
        <is>
          <t>JÄMTLANDS LÄN</t>
        </is>
      </c>
      <c r="E408" t="inlineStr">
        <is>
          <t>ÅRE</t>
        </is>
      </c>
      <c r="G408" t="n">
        <v>114.4</v>
      </c>
      <c r="H408" t="n">
        <v>0</v>
      </c>
      <c r="I408" t="n">
        <v>0</v>
      </c>
      <c r="J408" t="n">
        <v>0</v>
      </c>
      <c r="K408" t="n">
        <v>0</v>
      </c>
      <c r="L408" t="n">
        <v>0</v>
      </c>
      <c r="M408" t="n">
        <v>0</v>
      </c>
      <c r="N408" t="n">
        <v>0</v>
      </c>
      <c r="O408" t="n">
        <v>0</v>
      </c>
      <c r="P408" t="n">
        <v>0</v>
      </c>
      <c r="Q408" t="n">
        <v>0</v>
      </c>
      <c r="R408" s="2" t="inlineStr"/>
    </row>
    <row r="409" ht="15" customHeight="1">
      <c r="A409" t="inlineStr">
        <is>
          <t>A 69568-2021</t>
        </is>
      </c>
      <c r="B409" s="1" t="n">
        <v>44531</v>
      </c>
      <c r="C409" s="1" t="n">
        <v>45565</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69592-2021</t>
        </is>
      </c>
      <c r="B410" s="1" t="n">
        <v>44531</v>
      </c>
      <c r="C410" s="1" t="n">
        <v>45565</v>
      </c>
      <c r="D410" t="inlineStr">
        <is>
          <t>JÄMTLANDS LÄN</t>
        </is>
      </c>
      <c r="E410" t="inlineStr">
        <is>
          <t>ÅRE</t>
        </is>
      </c>
      <c r="G410" t="n">
        <v>4.7</v>
      </c>
      <c r="H410" t="n">
        <v>0</v>
      </c>
      <c r="I410" t="n">
        <v>0</v>
      </c>
      <c r="J410" t="n">
        <v>0</v>
      </c>
      <c r="K410" t="n">
        <v>0</v>
      </c>
      <c r="L410" t="n">
        <v>0</v>
      </c>
      <c r="M410" t="n">
        <v>0</v>
      </c>
      <c r="N410" t="n">
        <v>0</v>
      </c>
      <c r="O410" t="n">
        <v>0</v>
      </c>
      <c r="P410" t="n">
        <v>0</v>
      </c>
      <c r="Q410" t="n">
        <v>0</v>
      </c>
      <c r="R410" s="2" t="inlineStr"/>
    </row>
    <row r="411" ht="15" customHeight="1">
      <c r="A411" t="inlineStr">
        <is>
          <t>A 69801-2021</t>
        </is>
      </c>
      <c r="B411" s="1" t="n">
        <v>44532</v>
      </c>
      <c r="C411" s="1" t="n">
        <v>45565</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70523-2021</t>
        </is>
      </c>
      <c r="B412" s="1" t="n">
        <v>44536</v>
      </c>
      <c r="C412" s="1" t="n">
        <v>45565</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70522-2021</t>
        </is>
      </c>
      <c r="B413" s="1" t="n">
        <v>44536</v>
      </c>
      <c r="C413" s="1" t="n">
        <v>45565</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71005-2021</t>
        </is>
      </c>
      <c r="B414" s="1" t="n">
        <v>44538</v>
      </c>
      <c r="C414" s="1" t="n">
        <v>45565</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71043-2021</t>
        </is>
      </c>
      <c r="B415" s="1" t="n">
        <v>44538</v>
      </c>
      <c r="C415" s="1" t="n">
        <v>45565</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71968-2021</t>
        </is>
      </c>
      <c r="B416" s="1" t="n">
        <v>44540</v>
      </c>
      <c r="C416" s="1" t="n">
        <v>45565</v>
      </c>
      <c r="D416" t="inlineStr">
        <is>
          <t>JÄMTLANDS LÄN</t>
        </is>
      </c>
      <c r="E416" t="inlineStr">
        <is>
          <t>ÅRE</t>
        </is>
      </c>
      <c r="G416" t="n">
        <v>7</v>
      </c>
      <c r="H416" t="n">
        <v>0</v>
      </c>
      <c r="I416" t="n">
        <v>0</v>
      </c>
      <c r="J416" t="n">
        <v>0</v>
      </c>
      <c r="K416" t="n">
        <v>0</v>
      </c>
      <c r="L416" t="n">
        <v>0</v>
      </c>
      <c r="M416" t="n">
        <v>0</v>
      </c>
      <c r="N416" t="n">
        <v>0</v>
      </c>
      <c r="O416" t="n">
        <v>0</v>
      </c>
      <c r="P416" t="n">
        <v>0</v>
      </c>
      <c r="Q416" t="n">
        <v>0</v>
      </c>
      <c r="R416" s="2" t="inlineStr"/>
    </row>
    <row r="417" ht="15" customHeight="1">
      <c r="A417" t="inlineStr">
        <is>
          <t>A 71900-2021</t>
        </is>
      </c>
      <c r="B417" s="1" t="n">
        <v>44543</v>
      </c>
      <c r="C417" s="1" t="n">
        <v>45565</v>
      </c>
      <c r="D417" t="inlineStr">
        <is>
          <t>JÄMTLANDS LÄN</t>
        </is>
      </c>
      <c r="E417" t="inlineStr">
        <is>
          <t>ÅRE</t>
        </is>
      </c>
      <c r="G417" t="n">
        <v>7.7</v>
      </c>
      <c r="H417" t="n">
        <v>0</v>
      </c>
      <c r="I417" t="n">
        <v>0</v>
      </c>
      <c r="J417" t="n">
        <v>0</v>
      </c>
      <c r="K417" t="n">
        <v>0</v>
      </c>
      <c r="L417" t="n">
        <v>0</v>
      </c>
      <c r="M417" t="n">
        <v>0</v>
      </c>
      <c r="N417" t="n">
        <v>0</v>
      </c>
      <c r="O417" t="n">
        <v>0</v>
      </c>
      <c r="P417" t="n">
        <v>0</v>
      </c>
      <c r="Q417" t="n">
        <v>0</v>
      </c>
      <c r="R417" s="2" t="inlineStr"/>
    </row>
    <row r="418" ht="15" customHeight="1">
      <c r="A418" t="inlineStr">
        <is>
          <t>A 72214-2021</t>
        </is>
      </c>
      <c r="B418" s="1" t="n">
        <v>44544</v>
      </c>
      <c r="C418" s="1" t="n">
        <v>45565</v>
      </c>
      <c r="D418" t="inlineStr">
        <is>
          <t>JÄMTLANDS LÄN</t>
        </is>
      </c>
      <c r="E418" t="inlineStr">
        <is>
          <t>ÅRE</t>
        </is>
      </c>
      <c r="G418" t="n">
        <v>14.1</v>
      </c>
      <c r="H418" t="n">
        <v>0</v>
      </c>
      <c r="I418" t="n">
        <v>0</v>
      </c>
      <c r="J418" t="n">
        <v>0</v>
      </c>
      <c r="K418" t="n">
        <v>0</v>
      </c>
      <c r="L418" t="n">
        <v>0</v>
      </c>
      <c r="M418" t="n">
        <v>0</v>
      </c>
      <c r="N418" t="n">
        <v>0</v>
      </c>
      <c r="O418" t="n">
        <v>0</v>
      </c>
      <c r="P418" t="n">
        <v>0</v>
      </c>
      <c r="Q418" t="n">
        <v>0</v>
      </c>
      <c r="R418" s="2" t="inlineStr"/>
    </row>
    <row r="419" ht="15" customHeight="1">
      <c r="A419" t="inlineStr">
        <is>
          <t>A 72215-2021</t>
        </is>
      </c>
      <c r="B419" s="1" t="n">
        <v>44544</v>
      </c>
      <c r="C419" s="1" t="n">
        <v>45565</v>
      </c>
      <c r="D419" t="inlineStr">
        <is>
          <t>JÄMTLANDS LÄN</t>
        </is>
      </c>
      <c r="E419" t="inlineStr">
        <is>
          <t>ÅRE</t>
        </is>
      </c>
      <c r="G419" t="n">
        <v>3.9</v>
      </c>
      <c r="H419" t="n">
        <v>0</v>
      </c>
      <c r="I419" t="n">
        <v>0</v>
      </c>
      <c r="J419" t="n">
        <v>0</v>
      </c>
      <c r="K419" t="n">
        <v>0</v>
      </c>
      <c r="L419" t="n">
        <v>0</v>
      </c>
      <c r="M419" t="n">
        <v>0</v>
      </c>
      <c r="N419" t="n">
        <v>0</v>
      </c>
      <c r="O419" t="n">
        <v>0</v>
      </c>
      <c r="P419" t="n">
        <v>0</v>
      </c>
      <c r="Q419" t="n">
        <v>0</v>
      </c>
      <c r="R419" s="2" t="inlineStr"/>
    </row>
    <row r="420" ht="15" customHeight="1">
      <c r="A420" t="inlineStr">
        <is>
          <t>A 73086-2021</t>
        </is>
      </c>
      <c r="B420" s="1" t="n">
        <v>44550</v>
      </c>
      <c r="C420" s="1" t="n">
        <v>45565</v>
      </c>
      <c r="D420" t="inlineStr">
        <is>
          <t>JÄMTLANDS LÄN</t>
        </is>
      </c>
      <c r="E420" t="inlineStr">
        <is>
          <t>ÅRE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73738-2021</t>
        </is>
      </c>
      <c r="B421" s="1" t="n">
        <v>44551</v>
      </c>
      <c r="C421" s="1" t="n">
        <v>45565</v>
      </c>
      <c r="D421" t="inlineStr">
        <is>
          <t>JÄMTLANDS LÄN</t>
        </is>
      </c>
      <c r="E421" t="inlineStr">
        <is>
          <t>ÅRE</t>
        </is>
      </c>
      <c r="G421" t="n">
        <v>1.4</v>
      </c>
      <c r="H421" t="n">
        <v>0</v>
      </c>
      <c r="I421" t="n">
        <v>0</v>
      </c>
      <c r="J421" t="n">
        <v>0</v>
      </c>
      <c r="K421" t="n">
        <v>0</v>
      </c>
      <c r="L421" t="n">
        <v>0</v>
      </c>
      <c r="M421" t="n">
        <v>0</v>
      </c>
      <c r="N421" t="n">
        <v>0</v>
      </c>
      <c r="O421" t="n">
        <v>0</v>
      </c>
      <c r="P421" t="n">
        <v>0</v>
      </c>
      <c r="Q421" t="n">
        <v>0</v>
      </c>
      <c r="R421" s="2" t="inlineStr"/>
    </row>
    <row r="422" ht="15" customHeight="1">
      <c r="A422" t="inlineStr">
        <is>
          <t>A 73629-2021</t>
        </is>
      </c>
      <c r="B422" s="1" t="n">
        <v>44552</v>
      </c>
      <c r="C422" s="1" t="n">
        <v>45565</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73800-2021</t>
        </is>
      </c>
      <c r="B423" s="1" t="n">
        <v>44552</v>
      </c>
      <c r="C423" s="1" t="n">
        <v>45565</v>
      </c>
      <c r="D423" t="inlineStr">
        <is>
          <t>JÄMTLANDS LÄN</t>
        </is>
      </c>
      <c r="E423" t="inlineStr">
        <is>
          <t>ÅRE</t>
        </is>
      </c>
      <c r="G423" t="n">
        <v>8.6</v>
      </c>
      <c r="H423" t="n">
        <v>0</v>
      </c>
      <c r="I423" t="n">
        <v>0</v>
      </c>
      <c r="J423" t="n">
        <v>0</v>
      </c>
      <c r="K423" t="n">
        <v>0</v>
      </c>
      <c r="L423" t="n">
        <v>0</v>
      </c>
      <c r="M423" t="n">
        <v>0</v>
      </c>
      <c r="N423" t="n">
        <v>0</v>
      </c>
      <c r="O423" t="n">
        <v>0</v>
      </c>
      <c r="P423" t="n">
        <v>0</v>
      </c>
      <c r="Q423" t="n">
        <v>0</v>
      </c>
      <c r="R423" s="2" t="inlineStr"/>
    </row>
    <row r="424" ht="15" customHeight="1">
      <c r="A424" t="inlineStr">
        <is>
          <t>A 73798-2021</t>
        </is>
      </c>
      <c r="B424" s="1" t="n">
        <v>44552</v>
      </c>
      <c r="C424" s="1" t="n">
        <v>45565</v>
      </c>
      <c r="D424" t="inlineStr">
        <is>
          <t>JÄMTLANDS LÄN</t>
        </is>
      </c>
      <c r="E424" t="inlineStr">
        <is>
          <t>ÅRE</t>
        </is>
      </c>
      <c r="G424" t="n">
        <v>2.5</v>
      </c>
      <c r="H424" t="n">
        <v>0</v>
      </c>
      <c r="I424" t="n">
        <v>0</v>
      </c>
      <c r="J424" t="n">
        <v>0</v>
      </c>
      <c r="K424" t="n">
        <v>0</v>
      </c>
      <c r="L424" t="n">
        <v>0</v>
      </c>
      <c r="M424" t="n">
        <v>0</v>
      </c>
      <c r="N424" t="n">
        <v>0</v>
      </c>
      <c r="O424" t="n">
        <v>0</v>
      </c>
      <c r="P424" t="n">
        <v>0</v>
      </c>
      <c r="Q424" t="n">
        <v>0</v>
      </c>
      <c r="R424" s="2" t="inlineStr"/>
    </row>
    <row r="425" ht="15" customHeight="1">
      <c r="A425" t="inlineStr">
        <is>
          <t>A 74046-2021</t>
        </is>
      </c>
      <c r="B425" s="1" t="n">
        <v>44553</v>
      </c>
      <c r="C425" s="1" t="n">
        <v>45565</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911-2022</t>
        </is>
      </c>
      <c r="B426" s="1" t="n">
        <v>44570</v>
      </c>
      <c r="C426" s="1" t="n">
        <v>45565</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2230-2022</t>
        </is>
      </c>
      <c r="B427" s="1" t="n">
        <v>44578</v>
      </c>
      <c r="C427" s="1" t="n">
        <v>45565</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2571-2022</t>
        </is>
      </c>
      <c r="B428" s="1" t="n">
        <v>44580</v>
      </c>
      <c r="C428" s="1" t="n">
        <v>45565</v>
      </c>
      <c r="D428" t="inlineStr">
        <is>
          <t>JÄMTLANDS LÄN</t>
        </is>
      </c>
      <c r="E428" t="inlineStr">
        <is>
          <t>ÅRE</t>
        </is>
      </c>
      <c r="G428" t="n">
        <v>3.7</v>
      </c>
      <c r="H428" t="n">
        <v>0</v>
      </c>
      <c r="I428" t="n">
        <v>0</v>
      </c>
      <c r="J428" t="n">
        <v>0</v>
      </c>
      <c r="K428" t="n">
        <v>0</v>
      </c>
      <c r="L428" t="n">
        <v>0</v>
      </c>
      <c r="M428" t="n">
        <v>0</v>
      </c>
      <c r="N428" t="n">
        <v>0</v>
      </c>
      <c r="O428" t="n">
        <v>0</v>
      </c>
      <c r="P428" t="n">
        <v>0</v>
      </c>
      <c r="Q428" t="n">
        <v>0</v>
      </c>
      <c r="R428" s="2" t="inlineStr"/>
    </row>
    <row r="429" ht="15" customHeight="1">
      <c r="A429" t="inlineStr">
        <is>
          <t>A 5250-2022</t>
        </is>
      </c>
      <c r="B429" s="1" t="n">
        <v>44594</v>
      </c>
      <c r="C429" s="1" t="n">
        <v>45565</v>
      </c>
      <c r="D429" t="inlineStr">
        <is>
          <t>JÄMTLANDS LÄN</t>
        </is>
      </c>
      <c r="E429" t="inlineStr">
        <is>
          <t>ÅRE</t>
        </is>
      </c>
      <c r="G429" t="n">
        <v>2.1</v>
      </c>
      <c r="H429" t="n">
        <v>0</v>
      </c>
      <c r="I429" t="n">
        <v>0</v>
      </c>
      <c r="J429" t="n">
        <v>0</v>
      </c>
      <c r="K429" t="n">
        <v>0</v>
      </c>
      <c r="L429" t="n">
        <v>0</v>
      </c>
      <c r="M429" t="n">
        <v>0</v>
      </c>
      <c r="N429" t="n">
        <v>0</v>
      </c>
      <c r="O429" t="n">
        <v>0</v>
      </c>
      <c r="P429" t="n">
        <v>0</v>
      </c>
      <c r="Q429" t="n">
        <v>0</v>
      </c>
      <c r="R429" s="2" t="inlineStr"/>
    </row>
    <row r="430" ht="15" customHeight="1">
      <c r="A430" t="inlineStr">
        <is>
          <t>A 5923-2022</t>
        </is>
      </c>
      <c r="B430" s="1" t="n">
        <v>44598</v>
      </c>
      <c r="C430" s="1" t="n">
        <v>45565</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11112-2022</t>
        </is>
      </c>
      <c r="B431" s="1" t="n">
        <v>44628</v>
      </c>
      <c r="C431" s="1" t="n">
        <v>45565</v>
      </c>
      <c r="D431" t="inlineStr">
        <is>
          <t>JÄMTLANDS LÄN</t>
        </is>
      </c>
      <c r="E431" t="inlineStr">
        <is>
          <t>ÅRE</t>
        </is>
      </c>
      <c r="G431" t="n">
        <v>6.6</v>
      </c>
      <c r="H431" t="n">
        <v>0</v>
      </c>
      <c r="I431" t="n">
        <v>0</v>
      </c>
      <c r="J431" t="n">
        <v>0</v>
      </c>
      <c r="K431" t="n">
        <v>0</v>
      </c>
      <c r="L431" t="n">
        <v>0</v>
      </c>
      <c r="M431" t="n">
        <v>0</v>
      </c>
      <c r="N431" t="n">
        <v>0</v>
      </c>
      <c r="O431" t="n">
        <v>0</v>
      </c>
      <c r="P431" t="n">
        <v>0</v>
      </c>
      <c r="Q431" t="n">
        <v>0</v>
      </c>
      <c r="R431" s="2" t="inlineStr"/>
    </row>
    <row r="432" ht="15" customHeight="1">
      <c r="A432" t="inlineStr">
        <is>
          <t>A 11500-2022</t>
        </is>
      </c>
      <c r="B432" s="1" t="n">
        <v>44631</v>
      </c>
      <c r="C432" s="1" t="n">
        <v>45565</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13383-2022</t>
        </is>
      </c>
      <c r="B433" s="1" t="n">
        <v>44637</v>
      </c>
      <c r="C433" s="1" t="n">
        <v>45565</v>
      </c>
      <c r="D433" t="inlineStr">
        <is>
          <t>JÄMTLANDS LÄN</t>
        </is>
      </c>
      <c r="E433" t="inlineStr">
        <is>
          <t>ÅRE</t>
        </is>
      </c>
      <c r="G433" t="n">
        <v>2.2</v>
      </c>
      <c r="H433" t="n">
        <v>0</v>
      </c>
      <c r="I433" t="n">
        <v>0</v>
      </c>
      <c r="J433" t="n">
        <v>0</v>
      </c>
      <c r="K433" t="n">
        <v>0</v>
      </c>
      <c r="L433" t="n">
        <v>0</v>
      </c>
      <c r="M433" t="n">
        <v>0</v>
      </c>
      <c r="N433" t="n">
        <v>0</v>
      </c>
      <c r="O433" t="n">
        <v>0</v>
      </c>
      <c r="P433" t="n">
        <v>0</v>
      </c>
      <c r="Q433" t="n">
        <v>0</v>
      </c>
      <c r="R433" s="2" t="inlineStr"/>
    </row>
    <row r="434" ht="15" customHeight="1">
      <c r="A434" t="inlineStr">
        <is>
          <t>A 13221-2022</t>
        </is>
      </c>
      <c r="B434" s="1" t="n">
        <v>44644</v>
      </c>
      <c r="C434" s="1" t="n">
        <v>45565</v>
      </c>
      <c r="D434" t="inlineStr">
        <is>
          <t>JÄMTLANDS LÄN</t>
        </is>
      </c>
      <c r="E434" t="inlineStr">
        <is>
          <t>ÅRE</t>
        </is>
      </c>
      <c r="F434" t="inlineStr">
        <is>
          <t>Övriga Aktiebolag</t>
        </is>
      </c>
      <c r="G434" t="n">
        <v>13.7</v>
      </c>
      <c r="H434" t="n">
        <v>0</v>
      </c>
      <c r="I434" t="n">
        <v>0</v>
      </c>
      <c r="J434" t="n">
        <v>0</v>
      </c>
      <c r="K434" t="n">
        <v>0</v>
      </c>
      <c r="L434" t="n">
        <v>0</v>
      </c>
      <c r="M434" t="n">
        <v>0</v>
      </c>
      <c r="N434" t="n">
        <v>0</v>
      </c>
      <c r="O434" t="n">
        <v>0</v>
      </c>
      <c r="P434" t="n">
        <v>0</v>
      </c>
      <c r="Q434" t="n">
        <v>0</v>
      </c>
      <c r="R434" s="2" t="inlineStr"/>
    </row>
    <row r="435" ht="15" customHeight="1">
      <c r="A435" t="inlineStr">
        <is>
          <t>A 13324-2022</t>
        </is>
      </c>
      <c r="B435" s="1" t="n">
        <v>44645</v>
      </c>
      <c r="C435" s="1" t="n">
        <v>45565</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18443-2022</t>
        </is>
      </c>
      <c r="B436" s="1" t="n">
        <v>44686</v>
      </c>
      <c r="C436" s="1" t="n">
        <v>45565</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18849-2022</t>
        </is>
      </c>
      <c r="B437" s="1" t="n">
        <v>44690</v>
      </c>
      <c r="C437" s="1" t="n">
        <v>45565</v>
      </c>
      <c r="D437" t="inlineStr">
        <is>
          <t>JÄMTLANDS LÄN</t>
        </is>
      </c>
      <c r="E437" t="inlineStr">
        <is>
          <t>ÅRE</t>
        </is>
      </c>
      <c r="G437" t="n">
        <v>12.8</v>
      </c>
      <c r="H437" t="n">
        <v>0</v>
      </c>
      <c r="I437" t="n">
        <v>0</v>
      </c>
      <c r="J437" t="n">
        <v>0</v>
      </c>
      <c r="K437" t="n">
        <v>0</v>
      </c>
      <c r="L437" t="n">
        <v>0</v>
      </c>
      <c r="M437" t="n">
        <v>0</v>
      </c>
      <c r="N437" t="n">
        <v>0</v>
      </c>
      <c r="O437" t="n">
        <v>0</v>
      </c>
      <c r="P437" t="n">
        <v>0</v>
      </c>
      <c r="Q437" t="n">
        <v>0</v>
      </c>
      <c r="R437" s="2" t="inlineStr"/>
    </row>
    <row r="438" ht="15" customHeight="1">
      <c r="A438" t="inlineStr">
        <is>
          <t>A 20827-2022</t>
        </is>
      </c>
      <c r="B438" s="1" t="n">
        <v>44700</v>
      </c>
      <c r="C438" s="1" t="n">
        <v>45565</v>
      </c>
      <c r="D438" t="inlineStr">
        <is>
          <t>JÄMTLANDS LÄN</t>
        </is>
      </c>
      <c r="E438" t="inlineStr">
        <is>
          <t>ÅRE</t>
        </is>
      </c>
      <c r="G438" t="n">
        <v>2.6</v>
      </c>
      <c r="H438" t="n">
        <v>0</v>
      </c>
      <c r="I438" t="n">
        <v>0</v>
      </c>
      <c r="J438" t="n">
        <v>0</v>
      </c>
      <c r="K438" t="n">
        <v>0</v>
      </c>
      <c r="L438" t="n">
        <v>0</v>
      </c>
      <c r="M438" t="n">
        <v>0</v>
      </c>
      <c r="N438" t="n">
        <v>0</v>
      </c>
      <c r="O438" t="n">
        <v>0</v>
      </c>
      <c r="P438" t="n">
        <v>0</v>
      </c>
      <c r="Q438" t="n">
        <v>0</v>
      </c>
      <c r="R438" s="2" t="inlineStr"/>
    </row>
    <row r="439" ht="15" customHeight="1">
      <c r="A439" t="inlineStr">
        <is>
          <t>A 20816-2022</t>
        </is>
      </c>
      <c r="B439" s="1" t="n">
        <v>44700</v>
      </c>
      <c r="C439" s="1" t="n">
        <v>45565</v>
      </c>
      <c r="D439" t="inlineStr">
        <is>
          <t>JÄMTLANDS LÄN</t>
        </is>
      </c>
      <c r="E439" t="inlineStr">
        <is>
          <t>ÅRE</t>
        </is>
      </c>
      <c r="G439" t="n">
        <v>1</v>
      </c>
      <c r="H439" t="n">
        <v>0</v>
      </c>
      <c r="I439" t="n">
        <v>0</v>
      </c>
      <c r="J439" t="n">
        <v>0</v>
      </c>
      <c r="K439" t="n">
        <v>0</v>
      </c>
      <c r="L439" t="n">
        <v>0</v>
      </c>
      <c r="M439" t="n">
        <v>0</v>
      </c>
      <c r="N439" t="n">
        <v>0</v>
      </c>
      <c r="O439" t="n">
        <v>0</v>
      </c>
      <c r="P439" t="n">
        <v>0</v>
      </c>
      <c r="Q439" t="n">
        <v>0</v>
      </c>
      <c r="R439" s="2" t="inlineStr"/>
    </row>
    <row r="440" ht="15" customHeight="1">
      <c r="A440" t="inlineStr">
        <is>
          <t>A 21464-2022</t>
        </is>
      </c>
      <c r="B440" s="1" t="n">
        <v>44706</v>
      </c>
      <c r="C440" s="1" t="n">
        <v>45565</v>
      </c>
      <c r="D440" t="inlineStr">
        <is>
          <t>JÄMTLANDS LÄN</t>
        </is>
      </c>
      <c r="E440" t="inlineStr">
        <is>
          <t>ÅRE</t>
        </is>
      </c>
      <c r="G440" t="n">
        <v>10.9</v>
      </c>
      <c r="H440" t="n">
        <v>0</v>
      </c>
      <c r="I440" t="n">
        <v>0</v>
      </c>
      <c r="J440" t="n">
        <v>0</v>
      </c>
      <c r="K440" t="n">
        <v>0</v>
      </c>
      <c r="L440" t="n">
        <v>0</v>
      </c>
      <c r="M440" t="n">
        <v>0</v>
      </c>
      <c r="N440" t="n">
        <v>0</v>
      </c>
      <c r="O440" t="n">
        <v>0</v>
      </c>
      <c r="P440" t="n">
        <v>0</v>
      </c>
      <c r="Q440" t="n">
        <v>0</v>
      </c>
      <c r="R440" s="2" t="inlineStr"/>
    </row>
    <row r="441" ht="15" customHeight="1">
      <c r="A441" t="inlineStr">
        <is>
          <t>A 22473-2022</t>
        </is>
      </c>
      <c r="B441" s="1" t="n">
        <v>44713</v>
      </c>
      <c r="C441" s="1" t="n">
        <v>45565</v>
      </c>
      <c r="D441" t="inlineStr">
        <is>
          <t>JÄMTLANDS LÄN</t>
        </is>
      </c>
      <c r="E441" t="inlineStr">
        <is>
          <t>ÅRE</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23117-2022</t>
        </is>
      </c>
      <c r="B442" s="1" t="n">
        <v>44719</v>
      </c>
      <c r="C442" s="1" t="n">
        <v>45565</v>
      </c>
      <c r="D442" t="inlineStr">
        <is>
          <t>JÄMTLANDS LÄN</t>
        </is>
      </c>
      <c r="E442" t="inlineStr">
        <is>
          <t>ÅRE</t>
        </is>
      </c>
      <c r="G442" t="n">
        <v>3.5</v>
      </c>
      <c r="H442" t="n">
        <v>0</v>
      </c>
      <c r="I442" t="n">
        <v>0</v>
      </c>
      <c r="J442" t="n">
        <v>0</v>
      </c>
      <c r="K442" t="n">
        <v>0</v>
      </c>
      <c r="L442" t="n">
        <v>0</v>
      </c>
      <c r="M442" t="n">
        <v>0</v>
      </c>
      <c r="N442" t="n">
        <v>0</v>
      </c>
      <c r="O442" t="n">
        <v>0</v>
      </c>
      <c r="P442" t="n">
        <v>0</v>
      </c>
      <c r="Q442" t="n">
        <v>0</v>
      </c>
      <c r="R442" s="2" t="inlineStr"/>
    </row>
    <row r="443" ht="15" customHeight="1">
      <c r="A443" t="inlineStr">
        <is>
          <t>A 23118-2022</t>
        </is>
      </c>
      <c r="B443" s="1" t="n">
        <v>44719</v>
      </c>
      <c r="C443" s="1" t="n">
        <v>45565</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24539-2022</t>
        </is>
      </c>
      <c r="B444" s="1" t="n">
        <v>44727</v>
      </c>
      <c r="C444" s="1" t="n">
        <v>45565</v>
      </c>
      <c r="D444" t="inlineStr">
        <is>
          <t>JÄMTLANDS LÄN</t>
        </is>
      </c>
      <c r="E444" t="inlineStr">
        <is>
          <t>ÅRE</t>
        </is>
      </c>
      <c r="G444" t="n">
        <v>0.3</v>
      </c>
      <c r="H444" t="n">
        <v>0</v>
      </c>
      <c r="I444" t="n">
        <v>0</v>
      </c>
      <c r="J444" t="n">
        <v>0</v>
      </c>
      <c r="K444" t="n">
        <v>0</v>
      </c>
      <c r="L444" t="n">
        <v>0</v>
      </c>
      <c r="M444" t="n">
        <v>0</v>
      </c>
      <c r="N444" t="n">
        <v>0</v>
      </c>
      <c r="O444" t="n">
        <v>0</v>
      </c>
      <c r="P444" t="n">
        <v>0</v>
      </c>
      <c r="Q444" t="n">
        <v>0</v>
      </c>
      <c r="R444" s="2" t="inlineStr"/>
    </row>
    <row r="445" ht="15" customHeight="1">
      <c r="A445" t="inlineStr">
        <is>
          <t>A 25122-2022</t>
        </is>
      </c>
      <c r="B445" s="1" t="n">
        <v>44729</v>
      </c>
      <c r="C445" s="1" t="n">
        <v>45565</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25248-2022</t>
        </is>
      </c>
      <c r="B446" s="1" t="n">
        <v>44729</v>
      </c>
      <c r="C446" s="1" t="n">
        <v>45565</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26533-2022</t>
        </is>
      </c>
      <c r="B447" s="1" t="n">
        <v>44739</v>
      </c>
      <c r="C447" s="1" t="n">
        <v>45565</v>
      </c>
      <c r="D447" t="inlineStr">
        <is>
          <t>JÄMTLANDS LÄN</t>
        </is>
      </c>
      <c r="E447" t="inlineStr">
        <is>
          <t>ÅRE</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26546-2022</t>
        </is>
      </c>
      <c r="B448" s="1" t="n">
        <v>44739</v>
      </c>
      <c r="C448" s="1" t="n">
        <v>45565</v>
      </c>
      <c r="D448" t="inlineStr">
        <is>
          <t>JÄMTLANDS LÄN</t>
        </is>
      </c>
      <c r="E448" t="inlineStr">
        <is>
          <t>ÅRE</t>
        </is>
      </c>
      <c r="F448" t="inlineStr">
        <is>
          <t>Övriga Aktiebolag</t>
        </is>
      </c>
      <c r="G448" t="n">
        <v>7</v>
      </c>
      <c r="H448" t="n">
        <v>0</v>
      </c>
      <c r="I448" t="n">
        <v>0</v>
      </c>
      <c r="J448" t="n">
        <v>0</v>
      </c>
      <c r="K448" t="n">
        <v>0</v>
      </c>
      <c r="L448" t="n">
        <v>0</v>
      </c>
      <c r="M448" t="n">
        <v>0</v>
      </c>
      <c r="N448" t="n">
        <v>0</v>
      </c>
      <c r="O448" t="n">
        <v>0</v>
      </c>
      <c r="P448" t="n">
        <v>0</v>
      </c>
      <c r="Q448" t="n">
        <v>0</v>
      </c>
      <c r="R448" s="2" t="inlineStr"/>
    </row>
    <row r="449" ht="15" customHeight="1">
      <c r="A449" t="inlineStr">
        <is>
          <t>A 27805-2022</t>
        </is>
      </c>
      <c r="B449" s="1" t="n">
        <v>44743</v>
      </c>
      <c r="C449" s="1" t="n">
        <v>45565</v>
      </c>
      <c r="D449" t="inlineStr">
        <is>
          <t>JÄMTLANDS LÄN</t>
        </is>
      </c>
      <c r="E449" t="inlineStr">
        <is>
          <t>ÅRE</t>
        </is>
      </c>
      <c r="G449" t="n">
        <v>106.2</v>
      </c>
      <c r="H449" t="n">
        <v>0</v>
      </c>
      <c r="I449" t="n">
        <v>0</v>
      </c>
      <c r="J449" t="n">
        <v>0</v>
      </c>
      <c r="K449" t="n">
        <v>0</v>
      </c>
      <c r="L449" t="n">
        <v>0</v>
      </c>
      <c r="M449" t="n">
        <v>0</v>
      </c>
      <c r="N449" t="n">
        <v>0</v>
      </c>
      <c r="O449" t="n">
        <v>0</v>
      </c>
      <c r="P449" t="n">
        <v>0</v>
      </c>
      <c r="Q449" t="n">
        <v>0</v>
      </c>
      <c r="R449" s="2" t="inlineStr"/>
    </row>
    <row r="450" ht="15" customHeight="1">
      <c r="A450" t="inlineStr">
        <is>
          <t>A 29385-2022</t>
        </is>
      </c>
      <c r="B450" s="1" t="n">
        <v>44753</v>
      </c>
      <c r="C450" s="1" t="n">
        <v>45565</v>
      </c>
      <c r="D450" t="inlineStr">
        <is>
          <t>JÄMTLANDS LÄN</t>
        </is>
      </c>
      <c r="E450" t="inlineStr">
        <is>
          <t>ÅRE</t>
        </is>
      </c>
      <c r="F450" t="inlineStr">
        <is>
          <t>Sveaskog</t>
        </is>
      </c>
      <c r="G450" t="n">
        <v>6.4</v>
      </c>
      <c r="H450" t="n">
        <v>0</v>
      </c>
      <c r="I450" t="n">
        <v>0</v>
      </c>
      <c r="J450" t="n">
        <v>0</v>
      </c>
      <c r="K450" t="n">
        <v>0</v>
      </c>
      <c r="L450" t="n">
        <v>0</v>
      </c>
      <c r="M450" t="n">
        <v>0</v>
      </c>
      <c r="N450" t="n">
        <v>0</v>
      </c>
      <c r="O450" t="n">
        <v>0</v>
      </c>
      <c r="P450" t="n">
        <v>0</v>
      </c>
      <c r="Q450" t="n">
        <v>0</v>
      </c>
      <c r="R450" s="2" t="inlineStr"/>
    </row>
    <row r="451" ht="15" customHeight="1">
      <c r="A451" t="inlineStr">
        <is>
          <t>A 29383-2022</t>
        </is>
      </c>
      <c r="B451" s="1" t="n">
        <v>44753</v>
      </c>
      <c r="C451" s="1" t="n">
        <v>45565</v>
      </c>
      <c r="D451" t="inlineStr">
        <is>
          <t>JÄMTLANDS LÄN</t>
        </is>
      </c>
      <c r="E451" t="inlineStr">
        <is>
          <t>ÅRE</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31776-2022</t>
        </is>
      </c>
      <c r="B452" s="1" t="n">
        <v>44776</v>
      </c>
      <c r="C452" s="1" t="n">
        <v>45565</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32212-2022</t>
        </is>
      </c>
      <c r="B453" s="1" t="n">
        <v>44781</v>
      </c>
      <c r="C453" s="1" t="n">
        <v>45565</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32210-2022</t>
        </is>
      </c>
      <c r="B454" s="1" t="n">
        <v>44781</v>
      </c>
      <c r="C454" s="1" t="n">
        <v>45565</v>
      </c>
      <c r="D454" t="inlineStr">
        <is>
          <t>JÄMTLANDS LÄN</t>
        </is>
      </c>
      <c r="E454" t="inlineStr">
        <is>
          <t>ÅRE</t>
        </is>
      </c>
      <c r="G454" t="n">
        <v>17.3</v>
      </c>
      <c r="H454" t="n">
        <v>0</v>
      </c>
      <c r="I454" t="n">
        <v>0</v>
      </c>
      <c r="J454" t="n">
        <v>0</v>
      </c>
      <c r="K454" t="n">
        <v>0</v>
      </c>
      <c r="L454" t="n">
        <v>0</v>
      </c>
      <c r="M454" t="n">
        <v>0</v>
      </c>
      <c r="N454" t="n">
        <v>0</v>
      </c>
      <c r="O454" t="n">
        <v>0</v>
      </c>
      <c r="P454" t="n">
        <v>0</v>
      </c>
      <c r="Q454" t="n">
        <v>0</v>
      </c>
      <c r="R454" s="2" t="inlineStr"/>
    </row>
    <row r="455" ht="15" customHeight="1">
      <c r="A455" t="inlineStr">
        <is>
          <t>A 32758-2022</t>
        </is>
      </c>
      <c r="B455" s="1" t="n">
        <v>44783</v>
      </c>
      <c r="C455" s="1" t="n">
        <v>45565</v>
      </c>
      <c r="D455" t="inlineStr">
        <is>
          <t>JÄMTLANDS LÄN</t>
        </is>
      </c>
      <c r="E455" t="inlineStr">
        <is>
          <t>ÅRE</t>
        </is>
      </c>
      <c r="G455" t="n">
        <v>8.4</v>
      </c>
      <c r="H455" t="n">
        <v>0</v>
      </c>
      <c r="I455" t="n">
        <v>0</v>
      </c>
      <c r="J455" t="n">
        <v>0</v>
      </c>
      <c r="K455" t="n">
        <v>0</v>
      </c>
      <c r="L455" t="n">
        <v>0</v>
      </c>
      <c r="M455" t="n">
        <v>0</v>
      </c>
      <c r="N455" t="n">
        <v>0</v>
      </c>
      <c r="O455" t="n">
        <v>0</v>
      </c>
      <c r="P455" t="n">
        <v>0</v>
      </c>
      <c r="Q455" t="n">
        <v>0</v>
      </c>
      <c r="R455" s="2" t="inlineStr"/>
    </row>
    <row r="456" ht="15" customHeight="1">
      <c r="A456" t="inlineStr">
        <is>
          <t>A 33023-2022</t>
        </is>
      </c>
      <c r="B456" s="1" t="n">
        <v>44784</v>
      </c>
      <c r="C456" s="1" t="n">
        <v>45565</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33003-2022</t>
        </is>
      </c>
      <c r="B457" s="1" t="n">
        <v>44784</v>
      </c>
      <c r="C457" s="1" t="n">
        <v>45565</v>
      </c>
      <c r="D457" t="inlineStr">
        <is>
          <t>JÄMTLANDS LÄN</t>
        </is>
      </c>
      <c r="E457" t="inlineStr">
        <is>
          <t>ÅRE</t>
        </is>
      </c>
      <c r="G457" t="n">
        <v>6.1</v>
      </c>
      <c r="H457" t="n">
        <v>0</v>
      </c>
      <c r="I457" t="n">
        <v>0</v>
      </c>
      <c r="J457" t="n">
        <v>0</v>
      </c>
      <c r="K457" t="n">
        <v>0</v>
      </c>
      <c r="L457" t="n">
        <v>0</v>
      </c>
      <c r="M457" t="n">
        <v>0</v>
      </c>
      <c r="N457" t="n">
        <v>0</v>
      </c>
      <c r="O457" t="n">
        <v>0</v>
      </c>
      <c r="P457" t="n">
        <v>0</v>
      </c>
      <c r="Q457" t="n">
        <v>0</v>
      </c>
      <c r="R457" s="2" t="inlineStr"/>
    </row>
    <row r="458" ht="15" customHeight="1">
      <c r="A458" t="inlineStr">
        <is>
          <t>A 33015-2022</t>
        </is>
      </c>
      <c r="B458" s="1" t="n">
        <v>44784</v>
      </c>
      <c r="C458" s="1" t="n">
        <v>45565</v>
      </c>
      <c r="D458" t="inlineStr">
        <is>
          <t>JÄMTLANDS LÄN</t>
        </is>
      </c>
      <c r="E458" t="inlineStr">
        <is>
          <t>ÅRE</t>
        </is>
      </c>
      <c r="G458" t="n">
        <v>5.1</v>
      </c>
      <c r="H458" t="n">
        <v>0</v>
      </c>
      <c r="I458" t="n">
        <v>0</v>
      </c>
      <c r="J458" t="n">
        <v>0</v>
      </c>
      <c r="K458" t="n">
        <v>0</v>
      </c>
      <c r="L458" t="n">
        <v>0</v>
      </c>
      <c r="M458" t="n">
        <v>0</v>
      </c>
      <c r="N458" t="n">
        <v>0</v>
      </c>
      <c r="O458" t="n">
        <v>0</v>
      </c>
      <c r="P458" t="n">
        <v>0</v>
      </c>
      <c r="Q458" t="n">
        <v>0</v>
      </c>
      <c r="R458" s="2" t="inlineStr"/>
    </row>
    <row r="459" ht="15" customHeight="1">
      <c r="A459" t="inlineStr">
        <is>
          <t>A 33479-2022</t>
        </is>
      </c>
      <c r="B459" s="1" t="n">
        <v>44788</v>
      </c>
      <c r="C459" s="1" t="n">
        <v>45565</v>
      </c>
      <c r="D459" t="inlineStr">
        <is>
          <t>JÄMTLANDS LÄN</t>
        </is>
      </c>
      <c r="E459" t="inlineStr">
        <is>
          <t>ÅRE</t>
        </is>
      </c>
      <c r="F459" t="inlineStr">
        <is>
          <t>Sveaskog</t>
        </is>
      </c>
      <c r="G459" t="n">
        <v>5.3</v>
      </c>
      <c r="H459" t="n">
        <v>0</v>
      </c>
      <c r="I459" t="n">
        <v>0</v>
      </c>
      <c r="J459" t="n">
        <v>0</v>
      </c>
      <c r="K459" t="n">
        <v>0</v>
      </c>
      <c r="L459" t="n">
        <v>0</v>
      </c>
      <c r="M459" t="n">
        <v>0</v>
      </c>
      <c r="N459" t="n">
        <v>0</v>
      </c>
      <c r="O459" t="n">
        <v>0</v>
      </c>
      <c r="P459" t="n">
        <v>0</v>
      </c>
      <c r="Q459" t="n">
        <v>0</v>
      </c>
      <c r="R459" s="2" t="inlineStr"/>
    </row>
    <row r="460" ht="15" customHeight="1">
      <c r="A460" t="inlineStr">
        <is>
          <t>A 33480-2022</t>
        </is>
      </c>
      <c r="B460" s="1" t="n">
        <v>44788</v>
      </c>
      <c r="C460" s="1" t="n">
        <v>45565</v>
      </c>
      <c r="D460" t="inlineStr">
        <is>
          <t>JÄMTLANDS LÄN</t>
        </is>
      </c>
      <c r="E460" t="inlineStr">
        <is>
          <t>ÅRE</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33625-2022</t>
        </is>
      </c>
      <c r="B461" s="1" t="n">
        <v>44789</v>
      </c>
      <c r="C461" s="1" t="n">
        <v>45565</v>
      </c>
      <c r="D461" t="inlineStr">
        <is>
          <t>JÄMTLANDS LÄN</t>
        </is>
      </c>
      <c r="E461" t="inlineStr">
        <is>
          <t>ÅRE</t>
        </is>
      </c>
      <c r="G461" t="n">
        <v>20.7</v>
      </c>
      <c r="H461" t="n">
        <v>0</v>
      </c>
      <c r="I461" t="n">
        <v>0</v>
      </c>
      <c r="J461" t="n">
        <v>0</v>
      </c>
      <c r="K461" t="n">
        <v>0</v>
      </c>
      <c r="L461" t="n">
        <v>0</v>
      </c>
      <c r="M461" t="n">
        <v>0</v>
      </c>
      <c r="N461" t="n">
        <v>0</v>
      </c>
      <c r="O461" t="n">
        <v>0</v>
      </c>
      <c r="P461" t="n">
        <v>0</v>
      </c>
      <c r="Q461" t="n">
        <v>0</v>
      </c>
      <c r="R461" s="2" t="inlineStr"/>
    </row>
    <row r="462" ht="15" customHeight="1">
      <c r="A462" t="inlineStr">
        <is>
          <t>A 33565-2022</t>
        </is>
      </c>
      <c r="B462" s="1" t="n">
        <v>44789</v>
      </c>
      <c r="C462" s="1" t="n">
        <v>45565</v>
      </c>
      <c r="D462" t="inlineStr">
        <is>
          <t>JÄMTLANDS LÄN</t>
        </is>
      </c>
      <c r="E462" t="inlineStr">
        <is>
          <t>ÅRE</t>
        </is>
      </c>
      <c r="G462" t="n">
        <v>0.6</v>
      </c>
      <c r="H462" t="n">
        <v>0</v>
      </c>
      <c r="I462" t="n">
        <v>0</v>
      </c>
      <c r="J462" t="n">
        <v>0</v>
      </c>
      <c r="K462" t="n">
        <v>0</v>
      </c>
      <c r="L462" t="n">
        <v>0</v>
      </c>
      <c r="M462" t="n">
        <v>0</v>
      </c>
      <c r="N462" t="n">
        <v>0</v>
      </c>
      <c r="O462" t="n">
        <v>0</v>
      </c>
      <c r="P462" t="n">
        <v>0</v>
      </c>
      <c r="Q462" t="n">
        <v>0</v>
      </c>
      <c r="R462" s="2" t="inlineStr"/>
    </row>
    <row r="463" ht="15" customHeight="1">
      <c r="A463" t="inlineStr">
        <is>
          <t>A 34033-2022</t>
        </is>
      </c>
      <c r="B463" s="1" t="n">
        <v>44790</v>
      </c>
      <c r="C463" s="1" t="n">
        <v>45565</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34916-2022</t>
        </is>
      </c>
      <c r="B464" s="1" t="n">
        <v>44796</v>
      </c>
      <c r="C464" s="1" t="n">
        <v>45565</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36219-2022</t>
        </is>
      </c>
      <c r="B465" s="1" t="n">
        <v>44803</v>
      </c>
      <c r="C465" s="1" t="n">
        <v>45565</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37645-2022</t>
        </is>
      </c>
      <c r="B466" s="1" t="n">
        <v>44810</v>
      </c>
      <c r="C466" s="1" t="n">
        <v>45565</v>
      </c>
      <c r="D466" t="inlineStr">
        <is>
          <t>JÄMTLANDS LÄN</t>
        </is>
      </c>
      <c r="E466" t="inlineStr">
        <is>
          <t>ÅRE</t>
        </is>
      </c>
      <c r="G466" t="n">
        <v>5.3</v>
      </c>
      <c r="H466" t="n">
        <v>0</v>
      </c>
      <c r="I466" t="n">
        <v>0</v>
      </c>
      <c r="J466" t="n">
        <v>0</v>
      </c>
      <c r="K466" t="n">
        <v>0</v>
      </c>
      <c r="L466" t="n">
        <v>0</v>
      </c>
      <c r="M466" t="n">
        <v>0</v>
      </c>
      <c r="N466" t="n">
        <v>0</v>
      </c>
      <c r="O466" t="n">
        <v>0</v>
      </c>
      <c r="P466" t="n">
        <v>0</v>
      </c>
      <c r="Q466" t="n">
        <v>0</v>
      </c>
      <c r="R466" s="2" t="inlineStr"/>
    </row>
    <row r="467" ht="15" customHeight="1">
      <c r="A467" t="inlineStr">
        <is>
          <t>A 38265-2022</t>
        </is>
      </c>
      <c r="B467" s="1" t="n">
        <v>44812</v>
      </c>
      <c r="C467" s="1" t="n">
        <v>45565</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40159-2022</t>
        </is>
      </c>
      <c r="B468" s="1" t="n">
        <v>44818</v>
      </c>
      <c r="C468" s="1" t="n">
        <v>45565</v>
      </c>
      <c r="D468" t="inlineStr">
        <is>
          <t>JÄMTLANDS LÄN</t>
        </is>
      </c>
      <c r="E468" t="inlineStr">
        <is>
          <t>ÅRE</t>
        </is>
      </c>
      <c r="G468" t="n">
        <v>1.9</v>
      </c>
      <c r="H468" t="n">
        <v>0</v>
      </c>
      <c r="I468" t="n">
        <v>0</v>
      </c>
      <c r="J468" t="n">
        <v>0</v>
      </c>
      <c r="K468" t="n">
        <v>0</v>
      </c>
      <c r="L468" t="n">
        <v>0</v>
      </c>
      <c r="M468" t="n">
        <v>0</v>
      </c>
      <c r="N468" t="n">
        <v>0</v>
      </c>
      <c r="O468" t="n">
        <v>0</v>
      </c>
      <c r="P468" t="n">
        <v>0</v>
      </c>
      <c r="Q468" t="n">
        <v>0</v>
      </c>
      <c r="R468" s="2" t="inlineStr"/>
    </row>
    <row r="469" ht="15" customHeight="1">
      <c r="A469" t="inlineStr">
        <is>
          <t>A 40653-2022</t>
        </is>
      </c>
      <c r="B469" s="1" t="n">
        <v>44818</v>
      </c>
      <c r="C469" s="1" t="n">
        <v>45565</v>
      </c>
      <c r="D469" t="inlineStr">
        <is>
          <t>JÄMTLANDS LÄN</t>
        </is>
      </c>
      <c r="E469" t="inlineStr">
        <is>
          <t>ÅRE</t>
        </is>
      </c>
      <c r="G469" t="n">
        <v>1.4</v>
      </c>
      <c r="H469" t="n">
        <v>0</v>
      </c>
      <c r="I469" t="n">
        <v>0</v>
      </c>
      <c r="J469" t="n">
        <v>0</v>
      </c>
      <c r="K469" t="n">
        <v>0</v>
      </c>
      <c r="L469" t="n">
        <v>0</v>
      </c>
      <c r="M469" t="n">
        <v>0</v>
      </c>
      <c r="N469" t="n">
        <v>0</v>
      </c>
      <c r="O469" t="n">
        <v>0</v>
      </c>
      <c r="P469" t="n">
        <v>0</v>
      </c>
      <c r="Q469" t="n">
        <v>0</v>
      </c>
      <c r="R469" s="2" t="inlineStr"/>
    </row>
    <row r="470" ht="15" customHeight="1">
      <c r="A470" t="inlineStr">
        <is>
          <t>A 39713-2022</t>
        </is>
      </c>
      <c r="B470" s="1" t="n">
        <v>44819</v>
      </c>
      <c r="C470" s="1" t="n">
        <v>45565</v>
      </c>
      <c r="D470" t="inlineStr">
        <is>
          <t>JÄMTLANDS LÄN</t>
        </is>
      </c>
      <c r="E470" t="inlineStr">
        <is>
          <t>ÅRE</t>
        </is>
      </c>
      <c r="G470" t="n">
        <v>10.4</v>
      </c>
      <c r="H470" t="n">
        <v>0</v>
      </c>
      <c r="I470" t="n">
        <v>0</v>
      </c>
      <c r="J470" t="n">
        <v>0</v>
      </c>
      <c r="K470" t="n">
        <v>0</v>
      </c>
      <c r="L470" t="n">
        <v>0</v>
      </c>
      <c r="M470" t="n">
        <v>0</v>
      </c>
      <c r="N470" t="n">
        <v>0</v>
      </c>
      <c r="O470" t="n">
        <v>0</v>
      </c>
      <c r="P470" t="n">
        <v>0</v>
      </c>
      <c r="Q470" t="n">
        <v>0</v>
      </c>
      <c r="R470" s="2" t="inlineStr"/>
    </row>
    <row r="471" ht="15" customHeight="1">
      <c r="A471" t="inlineStr">
        <is>
          <t>A 41015-2022</t>
        </is>
      </c>
      <c r="B471" s="1" t="n">
        <v>44820</v>
      </c>
      <c r="C471" s="1" t="n">
        <v>45565</v>
      </c>
      <c r="D471" t="inlineStr">
        <is>
          <t>JÄMTLANDS LÄN</t>
        </is>
      </c>
      <c r="E471" t="inlineStr">
        <is>
          <t>ÅRE</t>
        </is>
      </c>
      <c r="F471" t="inlineStr">
        <is>
          <t>Övriga statliga verk och myndigheter</t>
        </is>
      </c>
      <c r="G471" t="n">
        <v>8</v>
      </c>
      <c r="H471" t="n">
        <v>0</v>
      </c>
      <c r="I471" t="n">
        <v>0</v>
      </c>
      <c r="J471" t="n">
        <v>0</v>
      </c>
      <c r="K471" t="n">
        <v>0</v>
      </c>
      <c r="L471" t="n">
        <v>0</v>
      </c>
      <c r="M471" t="n">
        <v>0</v>
      </c>
      <c r="N471" t="n">
        <v>0</v>
      </c>
      <c r="O471" t="n">
        <v>0</v>
      </c>
      <c r="P471" t="n">
        <v>0</v>
      </c>
      <c r="Q471" t="n">
        <v>0</v>
      </c>
      <c r="R471" s="2" t="inlineStr"/>
    </row>
    <row r="472" ht="15" customHeight="1">
      <c r="A472" t="inlineStr">
        <is>
          <t>A 41162-2022</t>
        </is>
      </c>
      <c r="B472" s="1" t="n">
        <v>44825</v>
      </c>
      <c r="C472" s="1" t="n">
        <v>45565</v>
      </c>
      <c r="D472" t="inlineStr">
        <is>
          <t>JÄMTLANDS LÄN</t>
        </is>
      </c>
      <c r="E472" t="inlineStr">
        <is>
          <t>ÅRE</t>
        </is>
      </c>
      <c r="G472" t="n">
        <v>11.3</v>
      </c>
      <c r="H472" t="n">
        <v>0</v>
      </c>
      <c r="I472" t="n">
        <v>0</v>
      </c>
      <c r="J472" t="n">
        <v>0</v>
      </c>
      <c r="K472" t="n">
        <v>0</v>
      </c>
      <c r="L472" t="n">
        <v>0</v>
      </c>
      <c r="M472" t="n">
        <v>0</v>
      </c>
      <c r="N472" t="n">
        <v>0</v>
      </c>
      <c r="O472" t="n">
        <v>0</v>
      </c>
      <c r="P472" t="n">
        <v>0</v>
      </c>
      <c r="Q472" t="n">
        <v>0</v>
      </c>
      <c r="R472" s="2" t="inlineStr"/>
    </row>
    <row r="473" ht="15" customHeight="1">
      <c r="A473" t="inlineStr">
        <is>
          <t>A 41655-2022</t>
        </is>
      </c>
      <c r="B473" s="1" t="n">
        <v>44827</v>
      </c>
      <c r="C473" s="1" t="n">
        <v>45565</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41654-2022</t>
        </is>
      </c>
      <c r="B474" s="1" t="n">
        <v>44827</v>
      </c>
      <c r="C474" s="1" t="n">
        <v>45565</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41657-2022</t>
        </is>
      </c>
      <c r="B475" s="1" t="n">
        <v>44827</v>
      </c>
      <c r="C475" s="1" t="n">
        <v>45565</v>
      </c>
      <c r="D475" t="inlineStr">
        <is>
          <t>JÄMTLANDS LÄN</t>
        </is>
      </c>
      <c r="E475" t="inlineStr">
        <is>
          <t>ÅRE</t>
        </is>
      </c>
      <c r="G475" t="n">
        <v>2.4</v>
      </c>
      <c r="H475" t="n">
        <v>0</v>
      </c>
      <c r="I475" t="n">
        <v>0</v>
      </c>
      <c r="J475" t="n">
        <v>0</v>
      </c>
      <c r="K475" t="n">
        <v>0</v>
      </c>
      <c r="L475" t="n">
        <v>0</v>
      </c>
      <c r="M475" t="n">
        <v>0</v>
      </c>
      <c r="N475" t="n">
        <v>0</v>
      </c>
      <c r="O475" t="n">
        <v>0</v>
      </c>
      <c r="P475" t="n">
        <v>0</v>
      </c>
      <c r="Q475" t="n">
        <v>0</v>
      </c>
      <c r="R475" s="2" t="inlineStr"/>
    </row>
    <row r="476" ht="15" customHeight="1">
      <c r="A476" t="inlineStr">
        <is>
          <t>A 42136-2022</t>
        </is>
      </c>
      <c r="B476" s="1" t="n">
        <v>44830</v>
      </c>
      <c r="C476" s="1" t="n">
        <v>45565</v>
      </c>
      <c r="D476" t="inlineStr">
        <is>
          <t>JÄMTLANDS LÄN</t>
        </is>
      </c>
      <c r="E476" t="inlineStr">
        <is>
          <t>ÅRE</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43180-2022</t>
        </is>
      </c>
      <c r="B477" s="1" t="n">
        <v>44833</v>
      </c>
      <c r="C477" s="1" t="n">
        <v>45565</v>
      </c>
      <c r="D477" t="inlineStr">
        <is>
          <t>JÄMTLANDS LÄN</t>
        </is>
      </c>
      <c r="E477" t="inlineStr">
        <is>
          <t>ÅRE</t>
        </is>
      </c>
      <c r="G477" t="n">
        <v>17.9</v>
      </c>
      <c r="H477" t="n">
        <v>0</v>
      </c>
      <c r="I477" t="n">
        <v>0</v>
      </c>
      <c r="J477" t="n">
        <v>0</v>
      </c>
      <c r="K477" t="n">
        <v>0</v>
      </c>
      <c r="L477" t="n">
        <v>0</v>
      </c>
      <c r="M477" t="n">
        <v>0</v>
      </c>
      <c r="N477" t="n">
        <v>0</v>
      </c>
      <c r="O477" t="n">
        <v>0</v>
      </c>
      <c r="P477" t="n">
        <v>0</v>
      </c>
      <c r="Q477" t="n">
        <v>0</v>
      </c>
      <c r="R477" s="2" t="inlineStr"/>
    </row>
    <row r="478" ht="15" customHeight="1">
      <c r="A478" t="inlineStr">
        <is>
          <t>A 43324-2022</t>
        </is>
      </c>
      <c r="B478" s="1" t="n">
        <v>44834</v>
      </c>
      <c r="C478" s="1" t="n">
        <v>45565</v>
      </c>
      <c r="D478" t="inlineStr">
        <is>
          <t>JÄMTLANDS LÄN</t>
        </is>
      </c>
      <c r="E478" t="inlineStr">
        <is>
          <t>ÅRE</t>
        </is>
      </c>
      <c r="F478" t="inlineStr">
        <is>
          <t>Bergvik skog öst AB</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43583-2022</t>
        </is>
      </c>
      <c r="B479" s="1" t="n">
        <v>44834</v>
      </c>
      <c r="C479" s="1" t="n">
        <v>45565</v>
      </c>
      <c r="D479" t="inlineStr">
        <is>
          <t>JÄMTLANDS LÄN</t>
        </is>
      </c>
      <c r="E479" t="inlineStr">
        <is>
          <t>ÅRE</t>
        </is>
      </c>
      <c r="G479" t="n">
        <v>6.7</v>
      </c>
      <c r="H479" t="n">
        <v>0</v>
      </c>
      <c r="I479" t="n">
        <v>0</v>
      </c>
      <c r="J479" t="n">
        <v>0</v>
      </c>
      <c r="K479" t="n">
        <v>0</v>
      </c>
      <c r="L479" t="n">
        <v>0</v>
      </c>
      <c r="M479" t="n">
        <v>0</v>
      </c>
      <c r="N479" t="n">
        <v>0</v>
      </c>
      <c r="O479" t="n">
        <v>0</v>
      </c>
      <c r="P479" t="n">
        <v>0</v>
      </c>
      <c r="Q479" t="n">
        <v>0</v>
      </c>
      <c r="R479" s="2" t="inlineStr"/>
    </row>
    <row r="480" ht="15" customHeight="1">
      <c r="A480" t="inlineStr">
        <is>
          <t>A 44502-2022</t>
        </is>
      </c>
      <c r="B480" s="1" t="n">
        <v>44840</v>
      </c>
      <c r="C480" s="1" t="n">
        <v>45565</v>
      </c>
      <c r="D480" t="inlineStr">
        <is>
          <t>JÄMTLANDS LÄN</t>
        </is>
      </c>
      <c r="E480" t="inlineStr">
        <is>
          <t>ÅRE</t>
        </is>
      </c>
      <c r="G480" t="n">
        <v>2.6</v>
      </c>
      <c r="H480" t="n">
        <v>0</v>
      </c>
      <c r="I480" t="n">
        <v>0</v>
      </c>
      <c r="J480" t="n">
        <v>0</v>
      </c>
      <c r="K480" t="n">
        <v>0</v>
      </c>
      <c r="L480" t="n">
        <v>0</v>
      </c>
      <c r="M480" t="n">
        <v>0</v>
      </c>
      <c r="N480" t="n">
        <v>0</v>
      </c>
      <c r="O480" t="n">
        <v>0</v>
      </c>
      <c r="P480" t="n">
        <v>0</v>
      </c>
      <c r="Q480" t="n">
        <v>0</v>
      </c>
      <c r="R480" s="2" t="inlineStr"/>
    </row>
    <row r="481" ht="15" customHeight="1">
      <c r="A481" t="inlineStr">
        <is>
          <t>A 45461-2022</t>
        </is>
      </c>
      <c r="B481" s="1" t="n">
        <v>44841</v>
      </c>
      <c r="C481" s="1" t="n">
        <v>45565</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45660-2022</t>
        </is>
      </c>
      <c r="B482" s="1" t="n">
        <v>44845</v>
      </c>
      <c r="C482" s="1" t="n">
        <v>45565</v>
      </c>
      <c r="D482" t="inlineStr">
        <is>
          <t>JÄMTLANDS LÄN</t>
        </is>
      </c>
      <c r="E482" t="inlineStr">
        <is>
          <t>ÅRE</t>
        </is>
      </c>
      <c r="F482" t="inlineStr">
        <is>
          <t>Kyrkan</t>
        </is>
      </c>
      <c r="G482" t="n">
        <v>2.1</v>
      </c>
      <c r="H482" t="n">
        <v>0</v>
      </c>
      <c r="I482" t="n">
        <v>0</v>
      </c>
      <c r="J482" t="n">
        <v>0</v>
      </c>
      <c r="K482" t="n">
        <v>0</v>
      </c>
      <c r="L482" t="n">
        <v>0</v>
      </c>
      <c r="M482" t="n">
        <v>0</v>
      </c>
      <c r="N482" t="n">
        <v>0</v>
      </c>
      <c r="O482" t="n">
        <v>0</v>
      </c>
      <c r="P482" t="n">
        <v>0</v>
      </c>
      <c r="Q482" t="n">
        <v>0</v>
      </c>
      <c r="R482" s="2" t="inlineStr"/>
    </row>
    <row r="483" ht="15" customHeight="1">
      <c r="A483" t="inlineStr">
        <is>
          <t>A 46491-2022</t>
        </is>
      </c>
      <c r="B483" s="1" t="n">
        <v>44848</v>
      </c>
      <c r="C483" s="1" t="n">
        <v>45565</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46497-2022</t>
        </is>
      </c>
      <c r="B484" s="1" t="n">
        <v>44848</v>
      </c>
      <c r="C484" s="1" t="n">
        <v>45565</v>
      </c>
      <c r="D484" t="inlineStr">
        <is>
          <t>JÄMTLANDS LÄN</t>
        </is>
      </c>
      <c r="E484" t="inlineStr">
        <is>
          <t>ÅRE</t>
        </is>
      </c>
      <c r="G484" t="n">
        <v>1.6</v>
      </c>
      <c r="H484" t="n">
        <v>0</v>
      </c>
      <c r="I484" t="n">
        <v>0</v>
      </c>
      <c r="J484" t="n">
        <v>0</v>
      </c>
      <c r="K484" t="n">
        <v>0</v>
      </c>
      <c r="L484" t="n">
        <v>0</v>
      </c>
      <c r="M484" t="n">
        <v>0</v>
      </c>
      <c r="N484" t="n">
        <v>0</v>
      </c>
      <c r="O484" t="n">
        <v>0</v>
      </c>
      <c r="P484" t="n">
        <v>0</v>
      </c>
      <c r="Q484" t="n">
        <v>0</v>
      </c>
      <c r="R484" s="2" t="inlineStr"/>
    </row>
    <row r="485" ht="15" customHeight="1">
      <c r="A485" t="inlineStr">
        <is>
          <t>A 46488-2022</t>
        </is>
      </c>
      <c r="B485" s="1" t="n">
        <v>44848</v>
      </c>
      <c r="C485" s="1" t="n">
        <v>45565</v>
      </c>
      <c r="D485" t="inlineStr">
        <is>
          <t>JÄMTLANDS LÄN</t>
        </is>
      </c>
      <c r="E485" t="inlineStr">
        <is>
          <t>ÅRE</t>
        </is>
      </c>
      <c r="G485" t="n">
        <v>2</v>
      </c>
      <c r="H485" t="n">
        <v>0</v>
      </c>
      <c r="I485" t="n">
        <v>0</v>
      </c>
      <c r="J485" t="n">
        <v>0</v>
      </c>
      <c r="K485" t="n">
        <v>0</v>
      </c>
      <c r="L485" t="n">
        <v>0</v>
      </c>
      <c r="M485" t="n">
        <v>0</v>
      </c>
      <c r="N485" t="n">
        <v>0</v>
      </c>
      <c r="O485" t="n">
        <v>0</v>
      </c>
      <c r="P485" t="n">
        <v>0</v>
      </c>
      <c r="Q485" t="n">
        <v>0</v>
      </c>
      <c r="R485" s="2" t="inlineStr"/>
    </row>
    <row r="486" ht="15" customHeight="1">
      <c r="A486" t="inlineStr">
        <is>
          <t>A 46494-2022</t>
        </is>
      </c>
      <c r="B486" s="1" t="n">
        <v>44848</v>
      </c>
      <c r="C486" s="1" t="n">
        <v>45565</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46744-2022</t>
        </is>
      </c>
      <c r="B487" s="1" t="n">
        <v>44851</v>
      </c>
      <c r="C487" s="1" t="n">
        <v>45565</v>
      </c>
      <c r="D487" t="inlineStr">
        <is>
          <t>JÄMTLANDS LÄN</t>
        </is>
      </c>
      <c r="E487" t="inlineStr">
        <is>
          <t>ÅRE</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47052-2022</t>
        </is>
      </c>
      <c r="B488" s="1" t="n">
        <v>44851</v>
      </c>
      <c r="C488" s="1" t="n">
        <v>45565</v>
      </c>
      <c r="D488" t="inlineStr">
        <is>
          <t>JÄMTLANDS LÄN</t>
        </is>
      </c>
      <c r="E488" t="inlineStr">
        <is>
          <t>ÅRE</t>
        </is>
      </c>
      <c r="G488" t="n">
        <v>90.8</v>
      </c>
      <c r="H488" t="n">
        <v>0</v>
      </c>
      <c r="I488" t="n">
        <v>0</v>
      </c>
      <c r="J488" t="n">
        <v>0</v>
      </c>
      <c r="K488" t="n">
        <v>0</v>
      </c>
      <c r="L488" t="n">
        <v>0</v>
      </c>
      <c r="M488" t="n">
        <v>0</v>
      </c>
      <c r="N488" t="n">
        <v>0</v>
      </c>
      <c r="O488" t="n">
        <v>0</v>
      </c>
      <c r="P488" t="n">
        <v>0</v>
      </c>
      <c r="Q488" t="n">
        <v>0</v>
      </c>
      <c r="R488" s="2" t="inlineStr"/>
    </row>
    <row r="489" ht="15" customHeight="1">
      <c r="A489" t="inlineStr">
        <is>
          <t>A 47664-2022</t>
        </is>
      </c>
      <c r="B489" s="1" t="n">
        <v>44854</v>
      </c>
      <c r="C489" s="1" t="n">
        <v>45565</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47873-2022</t>
        </is>
      </c>
      <c r="B490" s="1" t="n">
        <v>44855</v>
      </c>
      <c r="C490" s="1" t="n">
        <v>45565</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48898-2022</t>
        </is>
      </c>
      <c r="B491" s="1" t="n">
        <v>44860</v>
      </c>
      <c r="C491" s="1" t="n">
        <v>45565</v>
      </c>
      <c r="D491" t="inlineStr">
        <is>
          <t>JÄMTLANDS LÄN</t>
        </is>
      </c>
      <c r="E491" t="inlineStr">
        <is>
          <t>ÅRE</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49818-2022</t>
        </is>
      </c>
      <c r="B492" s="1" t="n">
        <v>44859</v>
      </c>
      <c r="C492" s="1" t="n">
        <v>45565</v>
      </c>
      <c r="D492" t="inlineStr">
        <is>
          <t>JÄMTLANDS LÄN</t>
        </is>
      </c>
      <c r="E492" t="inlineStr">
        <is>
          <t>ÅRE</t>
        </is>
      </c>
      <c r="G492" t="n">
        <v>63</v>
      </c>
      <c r="H492" t="n">
        <v>0</v>
      </c>
      <c r="I492" t="n">
        <v>0</v>
      </c>
      <c r="J492" t="n">
        <v>0</v>
      </c>
      <c r="K492" t="n">
        <v>0</v>
      </c>
      <c r="L492" t="n">
        <v>0</v>
      </c>
      <c r="M492" t="n">
        <v>0</v>
      </c>
      <c r="N492" t="n">
        <v>0</v>
      </c>
      <c r="O492" t="n">
        <v>0</v>
      </c>
      <c r="P492" t="n">
        <v>0</v>
      </c>
      <c r="Q492" t="n">
        <v>0</v>
      </c>
      <c r="R492" s="2" t="inlineStr"/>
    </row>
    <row r="493" ht="15" customHeight="1">
      <c r="A493" t="inlineStr">
        <is>
          <t>A 49610-2022</t>
        </is>
      </c>
      <c r="B493" s="1" t="n">
        <v>44859</v>
      </c>
      <c r="C493" s="1" t="n">
        <v>45565</v>
      </c>
      <c r="D493" t="inlineStr">
        <is>
          <t>JÄMTLANDS LÄN</t>
        </is>
      </c>
      <c r="E493" t="inlineStr">
        <is>
          <t>ÅRE</t>
        </is>
      </c>
      <c r="G493" t="n">
        <v>26.2</v>
      </c>
      <c r="H493" t="n">
        <v>0</v>
      </c>
      <c r="I493" t="n">
        <v>0</v>
      </c>
      <c r="J493" t="n">
        <v>0</v>
      </c>
      <c r="K493" t="n">
        <v>0</v>
      </c>
      <c r="L493" t="n">
        <v>0</v>
      </c>
      <c r="M493" t="n">
        <v>0</v>
      </c>
      <c r="N493" t="n">
        <v>0</v>
      </c>
      <c r="O493" t="n">
        <v>0</v>
      </c>
      <c r="P493" t="n">
        <v>0</v>
      </c>
      <c r="Q493" t="n">
        <v>0</v>
      </c>
      <c r="R493" s="2" t="inlineStr"/>
    </row>
    <row r="494" ht="15" customHeight="1">
      <c r="A494" t="inlineStr">
        <is>
          <t>A 50307-2022</t>
        </is>
      </c>
      <c r="B494" s="1" t="n">
        <v>44865</v>
      </c>
      <c r="C494" s="1" t="n">
        <v>45565</v>
      </c>
      <c r="D494" t="inlineStr">
        <is>
          <t>JÄMTLANDS LÄN</t>
        </is>
      </c>
      <c r="E494" t="inlineStr">
        <is>
          <t>ÅRE</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52313-2022</t>
        </is>
      </c>
      <c r="B495" s="1" t="n">
        <v>44873</v>
      </c>
      <c r="C495" s="1" t="n">
        <v>45565</v>
      </c>
      <c r="D495" t="inlineStr">
        <is>
          <t>JÄMTLANDS LÄN</t>
        </is>
      </c>
      <c r="E495" t="inlineStr">
        <is>
          <t>ÅRE</t>
        </is>
      </c>
      <c r="G495" t="n">
        <v>3.4</v>
      </c>
      <c r="H495" t="n">
        <v>0</v>
      </c>
      <c r="I495" t="n">
        <v>0</v>
      </c>
      <c r="J495" t="n">
        <v>0</v>
      </c>
      <c r="K495" t="n">
        <v>0</v>
      </c>
      <c r="L495" t="n">
        <v>0</v>
      </c>
      <c r="M495" t="n">
        <v>0</v>
      </c>
      <c r="N495" t="n">
        <v>0</v>
      </c>
      <c r="O495" t="n">
        <v>0</v>
      </c>
      <c r="P495" t="n">
        <v>0</v>
      </c>
      <c r="Q495" t="n">
        <v>0</v>
      </c>
      <c r="R495" s="2" t="inlineStr"/>
    </row>
    <row r="496" ht="15" customHeight="1">
      <c r="A496" t="inlineStr">
        <is>
          <t>A 52470-2022</t>
        </is>
      </c>
      <c r="B496" s="1" t="n">
        <v>44874</v>
      </c>
      <c r="C496" s="1" t="n">
        <v>45565</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52485-2022</t>
        </is>
      </c>
      <c r="B497" s="1" t="n">
        <v>44874</v>
      </c>
      <c r="C497" s="1" t="n">
        <v>45565</v>
      </c>
      <c r="D497" t="inlineStr">
        <is>
          <t>JÄMTLANDS LÄN</t>
        </is>
      </c>
      <c r="E497" t="inlineStr">
        <is>
          <t>ÅRE</t>
        </is>
      </c>
      <c r="G497" t="n">
        <v>3.2</v>
      </c>
      <c r="H497" t="n">
        <v>0</v>
      </c>
      <c r="I497" t="n">
        <v>0</v>
      </c>
      <c r="J497" t="n">
        <v>0</v>
      </c>
      <c r="K497" t="n">
        <v>0</v>
      </c>
      <c r="L497" t="n">
        <v>0</v>
      </c>
      <c r="M497" t="n">
        <v>0</v>
      </c>
      <c r="N497" t="n">
        <v>0</v>
      </c>
      <c r="O497" t="n">
        <v>0</v>
      </c>
      <c r="P497" t="n">
        <v>0</v>
      </c>
      <c r="Q497" t="n">
        <v>0</v>
      </c>
      <c r="R497" s="2" t="inlineStr"/>
    </row>
    <row r="498" ht="15" customHeight="1">
      <c r="A498" t="inlineStr">
        <is>
          <t>A 52707-2022</t>
        </is>
      </c>
      <c r="B498" s="1" t="n">
        <v>44874</v>
      </c>
      <c r="C498" s="1" t="n">
        <v>45565</v>
      </c>
      <c r="D498" t="inlineStr">
        <is>
          <t>JÄMTLANDS LÄN</t>
        </is>
      </c>
      <c r="E498" t="inlineStr">
        <is>
          <t>ÅRE</t>
        </is>
      </c>
      <c r="F498" t="inlineStr">
        <is>
          <t>Övriga Aktiebolag</t>
        </is>
      </c>
      <c r="G498" t="n">
        <v>2.3</v>
      </c>
      <c r="H498" t="n">
        <v>0</v>
      </c>
      <c r="I498" t="n">
        <v>0</v>
      </c>
      <c r="J498" t="n">
        <v>0</v>
      </c>
      <c r="K498" t="n">
        <v>0</v>
      </c>
      <c r="L498" t="n">
        <v>0</v>
      </c>
      <c r="M498" t="n">
        <v>0</v>
      </c>
      <c r="N498" t="n">
        <v>0</v>
      </c>
      <c r="O498" t="n">
        <v>0</v>
      </c>
      <c r="P498" t="n">
        <v>0</v>
      </c>
      <c r="Q498" t="n">
        <v>0</v>
      </c>
      <c r="R498" s="2" t="inlineStr"/>
    </row>
    <row r="499" ht="15" customHeight="1">
      <c r="A499" t="inlineStr">
        <is>
          <t>A 54615-2022</t>
        </is>
      </c>
      <c r="B499" s="1" t="n">
        <v>44883</v>
      </c>
      <c r="C499" s="1" t="n">
        <v>45565</v>
      </c>
      <c r="D499" t="inlineStr">
        <is>
          <t>JÄMTLANDS LÄN</t>
        </is>
      </c>
      <c r="E499" t="inlineStr">
        <is>
          <t>ÅRE</t>
        </is>
      </c>
      <c r="F499" t="inlineStr">
        <is>
          <t>Övriga Aktiebolag</t>
        </is>
      </c>
      <c r="G499" t="n">
        <v>5.1</v>
      </c>
      <c r="H499" t="n">
        <v>0</v>
      </c>
      <c r="I499" t="n">
        <v>0</v>
      </c>
      <c r="J499" t="n">
        <v>0</v>
      </c>
      <c r="K499" t="n">
        <v>0</v>
      </c>
      <c r="L499" t="n">
        <v>0</v>
      </c>
      <c r="M499" t="n">
        <v>0</v>
      </c>
      <c r="N499" t="n">
        <v>0</v>
      </c>
      <c r="O499" t="n">
        <v>0</v>
      </c>
      <c r="P499" t="n">
        <v>0</v>
      </c>
      <c r="Q499" t="n">
        <v>0</v>
      </c>
      <c r="R499" s="2" t="inlineStr"/>
    </row>
    <row r="500" ht="15" customHeight="1">
      <c r="A500" t="inlineStr">
        <is>
          <t>A 54611-2022</t>
        </is>
      </c>
      <c r="B500" s="1" t="n">
        <v>44883</v>
      </c>
      <c r="C500" s="1" t="n">
        <v>45565</v>
      </c>
      <c r="D500" t="inlineStr">
        <is>
          <t>JÄMTLANDS LÄN</t>
        </is>
      </c>
      <c r="E500" t="inlineStr">
        <is>
          <t>ÅRE</t>
        </is>
      </c>
      <c r="F500" t="inlineStr">
        <is>
          <t>Övriga Aktiebolag</t>
        </is>
      </c>
      <c r="G500" t="n">
        <v>11.7</v>
      </c>
      <c r="H500" t="n">
        <v>0</v>
      </c>
      <c r="I500" t="n">
        <v>0</v>
      </c>
      <c r="J500" t="n">
        <v>0</v>
      </c>
      <c r="K500" t="n">
        <v>0</v>
      </c>
      <c r="L500" t="n">
        <v>0</v>
      </c>
      <c r="M500" t="n">
        <v>0</v>
      </c>
      <c r="N500" t="n">
        <v>0</v>
      </c>
      <c r="O500" t="n">
        <v>0</v>
      </c>
      <c r="P500" t="n">
        <v>0</v>
      </c>
      <c r="Q500" t="n">
        <v>0</v>
      </c>
      <c r="R500" s="2" t="inlineStr"/>
    </row>
    <row r="501" ht="15" customHeight="1">
      <c r="A501" t="inlineStr">
        <is>
          <t>A 54904-2022</t>
        </is>
      </c>
      <c r="B501" s="1" t="n">
        <v>44886</v>
      </c>
      <c r="C501" s="1" t="n">
        <v>45565</v>
      </c>
      <c r="D501" t="inlineStr">
        <is>
          <t>JÄMTLANDS LÄN</t>
        </is>
      </c>
      <c r="E501" t="inlineStr">
        <is>
          <t>ÅRE</t>
        </is>
      </c>
      <c r="F501" t="inlineStr">
        <is>
          <t>Övriga Aktiebolag</t>
        </is>
      </c>
      <c r="G501" t="n">
        <v>12.2</v>
      </c>
      <c r="H501" t="n">
        <v>0</v>
      </c>
      <c r="I501" t="n">
        <v>0</v>
      </c>
      <c r="J501" t="n">
        <v>0</v>
      </c>
      <c r="K501" t="n">
        <v>0</v>
      </c>
      <c r="L501" t="n">
        <v>0</v>
      </c>
      <c r="M501" t="n">
        <v>0</v>
      </c>
      <c r="N501" t="n">
        <v>0</v>
      </c>
      <c r="O501" t="n">
        <v>0</v>
      </c>
      <c r="P501" t="n">
        <v>0</v>
      </c>
      <c r="Q501" t="n">
        <v>0</v>
      </c>
      <c r="R501" s="2" t="inlineStr"/>
    </row>
    <row r="502" ht="15" customHeight="1">
      <c r="A502" t="inlineStr">
        <is>
          <t>A 55230-2022</t>
        </is>
      </c>
      <c r="B502" s="1" t="n">
        <v>44887</v>
      </c>
      <c r="C502" s="1" t="n">
        <v>45565</v>
      </c>
      <c r="D502" t="inlineStr">
        <is>
          <t>JÄMTLANDS LÄN</t>
        </is>
      </c>
      <c r="E502" t="inlineStr">
        <is>
          <t>ÅRE</t>
        </is>
      </c>
      <c r="G502" t="n">
        <v>2.7</v>
      </c>
      <c r="H502" t="n">
        <v>0</v>
      </c>
      <c r="I502" t="n">
        <v>0</v>
      </c>
      <c r="J502" t="n">
        <v>0</v>
      </c>
      <c r="K502" t="n">
        <v>0</v>
      </c>
      <c r="L502" t="n">
        <v>0</v>
      </c>
      <c r="M502" t="n">
        <v>0</v>
      </c>
      <c r="N502" t="n">
        <v>0</v>
      </c>
      <c r="O502" t="n">
        <v>0</v>
      </c>
      <c r="P502" t="n">
        <v>0</v>
      </c>
      <c r="Q502" t="n">
        <v>0</v>
      </c>
      <c r="R502" s="2" t="inlineStr"/>
    </row>
    <row r="503" ht="15" customHeight="1">
      <c r="A503" t="inlineStr">
        <is>
          <t>A 55235-2022</t>
        </is>
      </c>
      <c r="B503" s="1" t="n">
        <v>44887</v>
      </c>
      <c r="C503" s="1" t="n">
        <v>45565</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55229-2022</t>
        </is>
      </c>
      <c r="B504" s="1" t="n">
        <v>44887</v>
      </c>
      <c r="C504" s="1" t="n">
        <v>45565</v>
      </c>
      <c r="D504" t="inlineStr">
        <is>
          <t>JÄMTLANDS LÄN</t>
        </is>
      </c>
      <c r="E504" t="inlineStr">
        <is>
          <t>ÅRE</t>
        </is>
      </c>
      <c r="G504" t="n">
        <v>4.6</v>
      </c>
      <c r="H504" t="n">
        <v>0</v>
      </c>
      <c r="I504" t="n">
        <v>0</v>
      </c>
      <c r="J504" t="n">
        <v>0</v>
      </c>
      <c r="K504" t="n">
        <v>0</v>
      </c>
      <c r="L504" t="n">
        <v>0</v>
      </c>
      <c r="M504" t="n">
        <v>0</v>
      </c>
      <c r="N504" t="n">
        <v>0</v>
      </c>
      <c r="O504" t="n">
        <v>0</v>
      </c>
      <c r="P504" t="n">
        <v>0</v>
      </c>
      <c r="Q504" t="n">
        <v>0</v>
      </c>
      <c r="R504" s="2" t="inlineStr"/>
    </row>
    <row r="505" ht="15" customHeight="1">
      <c r="A505" t="inlineStr">
        <is>
          <t>A 55234-2022</t>
        </is>
      </c>
      <c r="B505" s="1" t="n">
        <v>44887</v>
      </c>
      <c r="C505" s="1" t="n">
        <v>45565</v>
      </c>
      <c r="D505" t="inlineStr">
        <is>
          <t>JÄMTLANDS LÄN</t>
        </is>
      </c>
      <c r="E505" t="inlineStr">
        <is>
          <t>ÅRE</t>
        </is>
      </c>
      <c r="G505" t="n">
        <v>1.6</v>
      </c>
      <c r="H505" t="n">
        <v>0</v>
      </c>
      <c r="I505" t="n">
        <v>0</v>
      </c>
      <c r="J505" t="n">
        <v>0</v>
      </c>
      <c r="K505" t="n">
        <v>0</v>
      </c>
      <c r="L505" t="n">
        <v>0</v>
      </c>
      <c r="M505" t="n">
        <v>0</v>
      </c>
      <c r="N505" t="n">
        <v>0</v>
      </c>
      <c r="O505" t="n">
        <v>0</v>
      </c>
      <c r="P505" t="n">
        <v>0</v>
      </c>
      <c r="Q505" t="n">
        <v>0</v>
      </c>
      <c r="R505" s="2" t="inlineStr"/>
    </row>
    <row r="506" ht="15" customHeight="1">
      <c r="A506" t="inlineStr">
        <is>
          <t>A 55233-2022</t>
        </is>
      </c>
      <c r="B506" s="1" t="n">
        <v>44887</v>
      </c>
      <c r="C506" s="1" t="n">
        <v>45565</v>
      </c>
      <c r="D506" t="inlineStr">
        <is>
          <t>JÄMTLANDS LÄN</t>
        </is>
      </c>
      <c r="E506" t="inlineStr">
        <is>
          <t>ÅRE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55237-2022</t>
        </is>
      </c>
      <c r="B507" s="1" t="n">
        <v>44887</v>
      </c>
      <c r="C507" s="1" t="n">
        <v>45565</v>
      </c>
      <c r="D507" t="inlineStr">
        <is>
          <t>JÄMTLANDS LÄN</t>
        </is>
      </c>
      <c r="E507" t="inlineStr">
        <is>
          <t>ÅRE</t>
        </is>
      </c>
      <c r="G507" t="n">
        <v>1.8</v>
      </c>
      <c r="H507" t="n">
        <v>0</v>
      </c>
      <c r="I507" t="n">
        <v>0</v>
      </c>
      <c r="J507" t="n">
        <v>0</v>
      </c>
      <c r="K507" t="n">
        <v>0</v>
      </c>
      <c r="L507" t="n">
        <v>0</v>
      </c>
      <c r="M507" t="n">
        <v>0</v>
      </c>
      <c r="N507" t="n">
        <v>0</v>
      </c>
      <c r="O507" t="n">
        <v>0</v>
      </c>
      <c r="P507" t="n">
        <v>0</v>
      </c>
      <c r="Q507" t="n">
        <v>0</v>
      </c>
      <c r="R507" s="2" t="inlineStr"/>
    </row>
    <row r="508" ht="15" customHeight="1">
      <c r="A508" t="inlineStr">
        <is>
          <t>A 55232-2022</t>
        </is>
      </c>
      <c r="B508" s="1" t="n">
        <v>44887</v>
      </c>
      <c r="C508" s="1" t="n">
        <v>45565</v>
      </c>
      <c r="D508" t="inlineStr">
        <is>
          <t>JÄMTLANDS LÄN</t>
        </is>
      </c>
      <c r="E508" t="inlineStr">
        <is>
          <t>ÅRE</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55236-2022</t>
        </is>
      </c>
      <c r="B509" s="1" t="n">
        <v>44887</v>
      </c>
      <c r="C509" s="1" t="n">
        <v>45565</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56182-2022</t>
        </is>
      </c>
      <c r="B510" s="1" t="n">
        <v>44889</v>
      </c>
      <c r="C510" s="1" t="n">
        <v>45565</v>
      </c>
      <c r="D510" t="inlineStr">
        <is>
          <t>JÄMTLANDS LÄN</t>
        </is>
      </c>
      <c r="E510" t="inlineStr">
        <is>
          <t>ÅRE</t>
        </is>
      </c>
      <c r="G510" t="n">
        <v>42.3</v>
      </c>
      <c r="H510" t="n">
        <v>0</v>
      </c>
      <c r="I510" t="n">
        <v>0</v>
      </c>
      <c r="J510" t="n">
        <v>0</v>
      </c>
      <c r="K510" t="n">
        <v>0</v>
      </c>
      <c r="L510" t="n">
        <v>0</v>
      </c>
      <c r="M510" t="n">
        <v>0</v>
      </c>
      <c r="N510" t="n">
        <v>0</v>
      </c>
      <c r="O510" t="n">
        <v>0</v>
      </c>
      <c r="P510" t="n">
        <v>0</v>
      </c>
      <c r="Q510" t="n">
        <v>0</v>
      </c>
      <c r="R510" s="2" t="inlineStr"/>
    </row>
    <row r="511" ht="15" customHeight="1">
      <c r="A511" t="inlineStr">
        <is>
          <t>A 55944-2022</t>
        </is>
      </c>
      <c r="B511" s="1" t="n">
        <v>44889</v>
      </c>
      <c r="C511" s="1" t="n">
        <v>45565</v>
      </c>
      <c r="D511" t="inlineStr">
        <is>
          <t>JÄMTLANDS LÄN</t>
        </is>
      </c>
      <c r="E511" t="inlineStr">
        <is>
          <t>ÅRE</t>
        </is>
      </c>
      <c r="G511" t="n">
        <v>11.1</v>
      </c>
      <c r="H511" t="n">
        <v>0</v>
      </c>
      <c r="I511" t="n">
        <v>0</v>
      </c>
      <c r="J511" t="n">
        <v>0</v>
      </c>
      <c r="K511" t="n">
        <v>0</v>
      </c>
      <c r="L511" t="n">
        <v>0</v>
      </c>
      <c r="M511" t="n">
        <v>0</v>
      </c>
      <c r="N511" t="n">
        <v>0</v>
      </c>
      <c r="O511" t="n">
        <v>0</v>
      </c>
      <c r="P511" t="n">
        <v>0</v>
      </c>
      <c r="Q511" t="n">
        <v>0</v>
      </c>
      <c r="R511" s="2" t="inlineStr"/>
    </row>
    <row r="512" ht="15" customHeight="1">
      <c r="A512" t="inlineStr">
        <is>
          <t>A 56254-2022</t>
        </is>
      </c>
      <c r="B512" s="1" t="n">
        <v>44890</v>
      </c>
      <c r="C512" s="1" t="n">
        <v>45565</v>
      </c>
      <c r="D512" t="inlineStr">
        <is>
          <t>JÄMTLANDS LÄN</t>
        </is>
      </c>
      <c r="E512" t="inlineStr">
        <is>
          <t>ÅRE</t>
        </is>
      </c>
      <c r="F512" t="inlineStr">
        <is>
          <t>Övriga Aktiebolag</t>
        </is>
      </c>
      <c r="G512" t="n">
        <v>7.7</v>
      </c>
      <c r="H512" t="n">
        <v>0</v>
      </c>
      <c r="I512" t="n">
        <v>0</v>
      </c>
      <c r="J512" t="n">
        <v>0</v>
      </c>
      <c r="K512" t="n">
        <v>0</v>
      </c>
      <c r="L512" t="n">
        <v>0</v>
      </c>
      <c r="M512" t="n">
        <v>0</v>
      </c>
      <c r="N512" t="n">
        <v>0</v>
      </c>
      <c r="O512" t="n">
        <v>0</v>
      </c>
      <c r="P512" t="n">
        <v>0</v>
      </c>
      <c r="Q512" t="n">
        <v>0</v>
      </c>
      <c r="R512" s="2" t="inlineStr"/>
    </row>
    <row r="513" ht="15" customHeight="1">
      <c r="A513" t="inlineStr">
        <is>
          <t>A 56659-2022</t>
        </is>
      </c>
      <c r="B513" s="1" t="n">
        <v>44893</v>
      </c>
      <c r="C513" s="1" t="n">
        <v>45565</v>
      </c>
      <c r="D513" t="inlineStr">
        <is>
          <t>JÄMTLANDS LÄN</t>
        </is>
      </c>
      <c r="E513" t="inlineStr">
        <is>
          <t>ÅRE</t>
        </is>
      </c>
      <c r="F513" t="inlineStr">
        <is>
          <t>Övriga Aktiebolag</t>
        </is>
      </c>
      <c r="G513" t="n">
        <v>6.1</v>
      </c>
      <c r="H513" t="n">
        <v>0</v>
      </c>
      <c r="I513" t="n">
        <v>0</v>
      </c>
      <c r="J513" t="n">
        <v>0</v>
      </c>
      <c r="K513" t="n">
        <v>0</v>
      </c>
      <c r="L513" t="n">
        <v>0</v>
      </c>
      <c r="M513" t="n">
        <v>0</v>
      </c>
      <c r="N513" t="n">
        <v>0</v>
      </c>
      <c r="O513" t="n">
        <v>0</v>
      </c>
      <c r="P513" t="n">
        <v>0</v>
      </c>
      <c r="Q513" t="n">
        <v>0</v>
      </c>
      <c r="R513" s="2" t="inlineStr"/>
    </row>
    <row r="514" ht="15" customHeight="1">
      <c r="A514" t="inlineStr">
        <is>
          <t>A 56508-2022</t>
        </is>
      </c>
      <c r="B514" s="1" t="n">
        <v>44893</v>
      </c>
      <c r="C514" s="1" t="n">
        <v>45565</v>
      </c>
      <c r="D514" t="inlineStr">
        <is>
          <t>JÄMTLANDS LÄN</t>
        </is>
      </c>
      <c r="E514" t="inlineStr">
        <is>
          <t>ÅRE</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56576-2022</t>
        </is>
      </c>
      <c r="B515" s="1" t="n">
        <v>44893</v>
      </c>
      <c r="C515" s="1" t="n">
        <v>45565</v>
      </c>
      <c r="D515" t="inlineStr">
        <is>
          <t>JÄMTLANDS LÄN</t>
        </is>
      </c>
      <c r="E515" t="inlineStr">
        <is>
          <t>ÅRE</t>
        </is>
      </c>
      <c r="F515" t="inlineStr">
        <is>
          <t>Övriga Aktiebolag</t>
        </is>
      </c>
      <c r="G515" t="n">
        <v>1.1</v>
      </c>
      <c r="H515" t="n">
        <v>0</v>
      </c>
      <c r="I515" t="n">
        <v>0</v>
      </c>
      <c r="J515" t="n">
        <v>0</v>
      </c>
      <c r="K515" t="n">
        <v>0</v>
      </c>
      <c r="L515" t="n">
        <v>0</v>
      </c>
      <c r="M515" t="n">
        <v>0</v>
      </c>
      <c r="N515" t="n">
        <v>0</v>
      </c>
      <c r="O515" t="n">
        <v>0</v>
      </c>
      <c r="P515" t="n">
        <v>0</v>
      </c>
      <c r="Q515" t="n">
        <v>0</v>
      </c>
      <c r="R515" s="2" t="inlineStr"/>
    </row>
    <row r="516" ht="15" customHeight="1">
      <c r="A516" t="inlineStr">
        <is>
          <t>A 56556-2022</t>
        </is>
      </c>
      <c r="B516" s="1" t="n">
        <v>44893</v>
      </c>
      <c r="C516" s="1" t="n">
        <v>45565</v>
      </c>
      <c r="D516" t="inlineStr">
        <is>
          <t>JÄMTLANDS LÄN</t>
        </is>
      </c>
      <c r="E516" t="inlineStr">
        <is>
          <t>ÅRE</t>
        </is>
      </c>
      <c r="F516" t="inlineStr">
        <is>
          <t>Övriga Aktiebolag</t>
        </is>
      </c>
      <c r="G516" t="n">
        <v>4.9</v>
      </c>
      <c r="H516" t="n">
        <v>0</v>
      </c>
      <c r="I516" t="n">
        <v>0</v>
      </c>
      <c r="J516" t="n">
        <v>0</v>
      </c>
      <c r="K516" t="n">
        <v>0</v>
      </c>
      <c r="L516" t="n">
        <v>0</v>
      </c>
      <c r="M516" t="n">
        <v>0</v>
      </c>
      <c r="N516" t="n">
        <v>0</v>
      </c>
      <c r="O516" t="n">
        <v>0</v>
      </c>
      <c r="P516" t="n">
        <v>0</v>
      </c>
      <c r="Q516" t="n">
        <v>0</v>
      </c>
      <c r="R516" s="2" t="inlineStr"/>
    </row>
    <row r="517" ht="15" customHeight="1">
      <c r="A517" t="inlineStr">
        <is>
          <t>A 56650-2022</t>
        </is>
      </c>
      <c r="B517" s="1" t="n">
        <v>44893</v>
      </c>
      <c r="C517" s="1" t="n">
        <v>45565</v>
      </c>
      <c r="D517" t="inlineStr">
        <is>
          <t>JÄMTLANDS LÄN</t>
        </is>
      </c>
      <c r="E517" t="inlineStr">
        <is>
          <t>ÅRE</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56581-2022</t>
        </is>
      </c>
      <c r="B518" s="1" t="n">
        <v>44893</v>
      </c>
      <c r="C518" s="1" t="n">
        <v>45565</v>
      </c>
      <c r="D518" t="inlineStr">
        <is>
          <t>JÄMTLANDS LÄN</t>
        </is>
      </c>
      <c r="E518" t="inlineStr">
        <is>
          <t>ÅRE</t>
        </is>
      </c>
      <c r="F518" t="inlineStr">
        <is>
          <t>Övriga Aktiebolag</t>
        </is>
      </c>
      <c r="G518" t="n">
        <v>2.8</v>
      </c>
      <c r="H518" t="n">
        <v>0</v>
      </c>
      <c r="I518" t="n">
        <v>0</v>
      </c>
      <c r="J518" t="n">
        <v>0</v>
      </c>
      <c r="K518" t="n">
        <v>0</v>
      </c>
      <c r="L518" t="n">
        <v>0</v>
      </c>
      <c r="M518" t="n">
        <v>0</v>
      </c>
      <c r="N518" t="n">
        <v>0</v>
      </c>
      <c r="O518" t="n">
        <v>0</v>
      </c>
      <c r="P518" t="n">
        <v>0</v>
      </c>
      <c r="Q518" t="n">
        <v>0</v>
      </c>
      <c r="R518" s="2" t="inlineStr"/>
    </row>
    <row r="519" ht="15" customHeight="1">
      <c r="A519" t="inlineStr">
        <is>
          <t>A 56673-2022</t>
        </is>
      </c>
      <c r="B519" s="1" t="n">
        <v>44893</v>
      </c>
      <c r="C519" s="1" t="n">
        <v>45565</v>
      </c>
      <c r="D519" t="inlineStr">
        <is>
          <t>JÄMTLANDS LÄN</t>
        </is>
      </c>
      <c r="E519" t="inlineStr">
        <is>
          <t>ÅRE</t>
        </is>
      </c>
      <c r="F519" t="inlineStr">
        <is>
          <t>Övriga Aktiebolag</t>
        </is>
      </c>
      <c r="G519" t="n">
        <v>5.6</v>
      </c>
      <c r="H519" t="n">
        <v>0</v>
      </c>
      <c r="I519" t="n">
        <v>0</v>
      </c>
      <c r="J519" t="n">
        <v>0</v>
      </c>
      <c r="K519" t="n">
        <v>0</v>
      </c>
      <c r="L519" t="n">
        <v>0</v>
      </c>
      <c r="M519" t="n">
        <v>0</v>
      </c>
      <c r="N519" t="n">
        <v>0</v>
      </c>
      <c r="O519" t="n">
        <v>0</v>
      </c>
      <c r="P519" t="n">
        <v>0</v>
      </c>
      <c r="Q519" t="n">
        <v>0</v>
      </c>
      <c r="R519" s="2" t="inlineStr"/>
    </row>
    <row r="520" ht="15" customHeight="1">
      <c r="A520" t="inlineStr">
        <is>
          <t>A 58337-2022</t>
        </is>
      </c>
      <c r="B520" s="1" t="n">
        <v>44893</v>
      </c>
      <c r="C520" s="1" t="n">
        <v>45565</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56811-2022</t>
        </is>
      </c>
      <c r="B521" s="1" t="n">
        <v>44894</v>
      </c>
      <c r="C521" s="1" t="n">
        <v>45565</v>
      </c>
      <c r="D521" t="inlineStr">
        <is>
          <t>JÄMTLANDS LÄN</t>
        </is>
      </c>
      <c r="E521" t="inlineStr">
        <is>
          <t>ÅRE</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56910-2022</t>
        </is>
      </c>
      <c r="B522" s="1" t="n">
        <v>44894</v>
      </c>
      <c r="C522" s="1" t="n">
        <v>45565</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56828-2022</t>
        </is>
      </c>
      <c r="B523" s="1" t="n">
        <v>44894</v>
      </c>
      <c r="C523" s="1" t="n">
        <v>45565</v>
      </c>
      <c r="D523" t="inlineStr">
        <is>
          <t>JÄMTLANDS LÄN</t>
        </is>
      </c>
      <c r="E523" t="inlineStr">
        <is>
          <t>ÅRE</t>
        </is>
      </c>
      <c r="F523" t="inlineStr">
        <is>
          <t>Övriga Aktiebolag</t>
        </is>
      </c>
      <c r="G523" t="n">
        <v>9.9</v>
      </c>
      <c r="H523" t="n">
        <v>0</v>
      </c>
      <c r="I523" t="n">
        <v>0</v>
      </c>
      <c r="J523" t="n">
        <v>0</v>
      </c>
      <c r="K523" t="n">
        <v>0</v>
      </c>
      <c r="L523" t="n">
        <v>0</v>
      </c>
      <c r="M523" t="n">
        <v>0</v>
      </c>
      <c r="N523" t="n">
        <v>0</v>
      </c>
      <c r="O523" t="n">
        <v>0</v>
      </c>
      <c r="P523" t="n">
        <v>0</v>
      </c>
      <c r="Q523" t="n">
        <v>0</v>
      </c>
      <c r="R523" s="2" t="inlineStr"/>
    </row>
    <row r="524" ht="15" customHeight="1">
      <c r="A524" t="inlineStr">
        <is>
          <t>A 56842-2022</t>
        </is>
      </c>
      <c r="B524" s="1" t="n">
        <v>44894</v>
      </c>
      <c r="C524" s="1" t="n">
        <v>45565</v>
      </c>
      <c r="D524" t="inlineStr">
        <is>
          <t>JÄMTLANDS LÄN</t>
        </is>
      </c>
      <c r="E524" t="inlineStr">
        <is>
          <t>ÅRE</t>
        </is>
      </c>
      <c r="F524" t="inlineStr">
        <is>
          <t>Övriga Aktiebolag</t>
        </is>
      </c>
      <c r="G524" t="n">
        <v>7.9</v>
      </c>
      <c r="H524" t="n">
        <v>0</v>
      </c>
      <c r="I524" t="n">
        <v>0</v>
      </c>
      <c r="J524" t="n">
        <v>0</v>
      </c>
      <c r="K524" t="n">
        <v>0</v>
      </c>
      <c r="L524" t="n">
        <v>0</v>
      </c>
      <c r="M524" t="n">
        <v>0</v>
      </c>
      <c r="N524" t="n">
        <v>0</v>
      </c>
      <c r="O524" t="n">
        <v>0</v>
      </c>
      <c r="P524" t="n">
        <v>0</v>
      </c>
      <c r="Q524" t="n">
        <v>0</v>
      </c>
      <c r="R524" s="2" t="inlineStr"/>
    </row>
    <row r="525" ht="15" customHeight="1">
      <c r="A525" t="inlineStr">
        <is>
          <t>A 56835-2022</t>
        </is>
      </c>
      <c r="B525" s="1" t="n">
        <v>44894</v>
      </c>
      <c r="C525" s="1" t="n">
        <v>45565</v>
      </c>
      <c r="D525" t="inlineStr">
        <is>
          <t>JÄMTLANDS LÄN</t>
        </is>
      </c>
      <c r="E525" t="inlineStr">
        <is>
          <t>ÅRE</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56837-2022</t>
        </is>
      </c>
      <c r="B526" s="1" t="n">
        <v>44894</v>
      </c>
      <c r="C526" s="1" t="n">
        <v>45565</v>
      </c>
      <c r="D526" t="inlineStr">
        <is>
          <t>JÄMTLANDS LÄN</t>
        </is>
      </c>
      <c r="E526" t="inlineStr">
        <is>
          <t>ÅRE</t>
        </is>
      </c>
      <c r="F526" t="inlineStr">
        <is>
          <t>Övriga Aktiebolag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57394-2022</t>
        </is>
      </c>
      <c r="B527" s="1" t="n">
        <v>44896</v>
      </c>
      <c r="C527" s="1" t="n">
        <v>45565</v>
      </c>
      <c r="D527" t="inlineStr">
        <is>
          <t>JÄMTLANDS LÄN</t>
        </is>
      </c>
      <c r="E527" t="inlineStr">
        <is>
          <t>ÅRE</t>
        </is>
      </c>
      <c r="G527" t="n">
        <v>5.8</v>
      </c>
      <c r="H527" t="n">
        <v>0</v>
      </c>
      <c r="I527" t="n">
        <v>0</v>
      </c>
      <c r="J527" t="n">
        <v>0</v>
      </c>
      <c r="K527" t="n">
        <v>0</v>
      </c>
      <c r="L527" t="n">
        <v>0</v>
      </c>
      <c r="M527" t="n">
        <v>0</v>
      </c>
      <c r="N527" t="n">
        <v>0</v>
      </c>
      <c r="O527" t="n">
        <v>0</v>
      </c>
      <c r="P527" t="n">
        <v>0</v>
      </c>
      <c r="Q527" t="n">
        <v>0</v>
      </c>
      <c r="R527" s="2" t="inlineStr"/>
    </row>
    <row r="528" ht="15" customHeight="1">
      <c r="A528" t="inlineStr">
        <is>
          <t>A 58889-2022</t>
        </is>
      </c>
      <c r="B528" s="1" t="n">
        <v>44896</v>
      </c>
      <c r="C528" s="1" t="n">
        <v>45565</v>
      </c>
      <c r="D528" t="inlineStr">
        <is>
          <t>JÄMTLANDS LÄN</t>
        </is>
      </c>
      <c r="E528" t="inlineStr">
        <is>
          <t>ÅRE</t>
        </is>
      </c>
      <c r="G528" t="n">
        <v>6.9</v>
      </c>
      <c r="H528" t="n">
        <v>0</v>
      </c>
      <c r="I528" t="n">
        <v>0</v>
      </c>
      <c r="J528" t="n">
        <v>0</v>
      </c>
      <c r="K528" t="n">
        <v>0</v>
      </c>
      <c r="L528" t="n">
        <v>0</v>
      </c>
      <c r="M528" t="n">
        <v>0</v>
      </c>
      <c r="N528" t="n">
        <v>0</v>
      </c>
      <c r="O528" t="n">
        <v>0</v>
      </c>
      <c r="P528" t="n">
        <v>0</v>
      </c>
      <c r="Q528" t="n">
        <v>0</v>
      </c>
      <c r="R528" s="2" t="inlineStr"/>
    </row>
    <row r="529" ht="15" customHeight="1">
      <c r="A529" t="inlineStr">
        <is>
          <t>A 58882-2022</t>
        </is>
      </c>
      <c r="B529" s="1" t="n">
        <v>44896</v>
      </c>
      <c r="C529" s="1" t="n">
        <v>45565</v>
      </c>
      <c r="D529" t="inlineStr">
        <is>
          <t>JÄMTLANDS LÄN</t>
        </is>
      </c>
      <c r="E529" t="inlineStr">
        <is>
          <t>ÅRE</t>
        </is>
      </c>
      <c r="G529" t="n">
        <v>19</v>
      </c>
      <c r="H529" t="n">
        <v>0</v>
      </c>
      <c r="I529" t="n">
        <v>0</v>
      </c>
      <c r="J529" t="n">
        <v>0</v>
      </c>
      <c r="K529" t="n">
        <v>0</v>
      </c>
      <c r="L529" t="n">
        <v>0</v>
      </c>
      <c r="M529" t="n">
        <v>0</v>
      </c>
      <c r="N529" t="n">
        <v>0</v>
      </c>
      <c r="O529" t="n">
        <v>0</v>
      </c>
      <c r="P529" t="n">
        <v>0</v>
      </c>
      <c r="Q529" t="n">
        <v>0</v>
      </c>
      <c r="R529" s="2" t="inlineStr"/>
    </row>
    <row r="530" ht="15" customHeight="1">
      <c r="A530" t="inlineStr">
        <is>
          <t>A 58513-2022</t>
        </is>
      </c>
      <c r="B530" s="1" t="n">
        <v>44902</v>
      </c>
      <c r="C530" s="1" t="n">
        <v>45565</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58516-2022</t>
        </is>
      </c>
      <c r="B531" s="1" t="n">
        <v>44902</v>
      </c>
      <c r="C531" s="1" t="n">
        <v>45565</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58758-2022</t>
        </is>
      </c>
      <c r="B532" s="1" t="n">
        <v>44903</v>
      </c>
      <c r="C532" s="1" t="n">
        <v>45565</v>
      </c>
      <c r="D532" t="inlineStr">
        <is>
          <t>JÄMTLANDS LÄN</t>
        </is>
      </c>
      <c r="E532" t="inlineStr">
        <is>
          <t>ÅRE</t>
        </is>
      </c>
      <c r="F532" t="inlineStr">
        <is>
          <t>Övriga Aktiebolag</t>
        </is>
      </c>
      <c r="G532" t="n">
        <v>42.9</v>
      </c>
      <c r="H532" t="n">
        <v>0</v>
      </c>
      <c r="I532" t="n">
        <v>0</v>
      </c>
      <c r="J532" t="n">
        <v>0</v>
      </c>
      <c r="K532" t="n">
        <v>0</v>
      </c>
      <c r="L532" t="n">
        <v>0</v>
      </c>
      <c r="M532" t="n">
        <v>0</v>
      </c>
      <c r="N532" t="n">
        <v>0</v>
      </c>
      <c r="O532" t="n">
        <v>0</v>
      </c>
      <c r="P532" t="n">
        <v>0</v>
      </c>
      <c r="Q532" t="n">
        <v>0</v>
      </c>
      <c r="R532" s="2" t="inlineStr"/>
    </row>
    <row r="533" ht="15" customHeight="1">
      <c r="A533" t="inlineStr">
        <is>
          <t>A 58856-2022</t>
        </is>
      </c>
      <c r="B533" s="1" t="n">
        <v>44903</v>
      </c>
      <c r="C533" s="1" t="n">
        <v>45565</v>
      </c>
      <c r="D533" t="inlineStr">
        <is>
          <t>JÄMTLANDS LÄN</t>
        </is>
      </c>
      <c r="E533" t="inlineStr">
        <is>
          <t>ÅRE</t>
        </is>
      </c>
      <c r="F533" t="inlineStr">
        <is>
          <t>Övriga Aktiebolag</t>
        </is>
      </c>
      <c r="G533" t="n">
        <v>10.2</v>
      </c>
      <c r="H533" t="n">
        <v>0</v>
      </c>
      <c r="I533" t="n">
        <v>0</v>
      </c>
      <c r="J533" t="n">
        <v>0</v>
      </c>
      <c r="K533" t="n">
        <v>0</v>
      </c>
      <c r="L533" t="n">
        <v>0</v>
      </c>
      <c r="M533" t="n">
        <v>0</v>
      </c>
      <c r="N533" t="n">
        <v>0</v>
      </c>
      <c r="O533" t="n">
        <v>0</v>
      </c>
      <c r="P533" t="n">
        <v>0</v>
      </c>
      <c r="Q533" t="n">
        <v>0</v>
      </c>
      <c r="R533" s="2" t="inlineStr"/>
    </row>
    <row r="534" ht="15" customHeight="1">
      <c r="A534" t="inlineStr">
        <is>
          <t>A 58917-2022</t>
        </is>
      </c>
      <c r="B534" s="1" t="n">
        <v>44903</v>
      </c>
      <c r="C534" s="1" t="n">
        <v>45565</v>
      </c>
      <c r="D534" t="inlineStr">
        <is>
          <t>JÄMTLANDS LÄN</t>
        </is>
      </c>
      <c r="E534" t="inlineStr">
        <is>
          <t>ÅRE</t>
        </is>
      </c>
      <c r="F534" t="inlineStr">
        <is>
          <t>Övriga Aktiebolag</t>
        </is>
      </c>
      <c r="G534" t="n">
        <v>3.3</v>
      </c>
      <c r="H534" t="n">
        <v>0</v>
      </c>
      <c r="I534" t="n">
        <v>0</v>
      </c>
      <c r="J534" t="n">
        <v>0</v>
      </c>
      <c r="K534" t="n">
        <v>0</v>
      </c>
      <c r="L534" t="n">
        <v>0</v>
      </c>
      <c r="M534" t="n">
        <v>0</v>
      </c>
      <c r="N534" t="n">
        <v>0</v>
      </c>
      <c r="O534" t="n">
        <v>0</v>
      </c>
      <c r="P534" t="n">
        <v>0</v>
      </c>
      <c r="Q534" t="n">
        <v>0</v>
      </c>
      <c r="R534" s="2" t="inlineStr"/>
    </row>
    <row r="535" ht="15" customHeight="1">
      <c r="A535" t="inlineStr">
        <is>
          <t>A 58845-2022</t>
        </is>
      </c>
      <c r="B535" s="1" t="n">
        <v>44903</v>
      </c>
      <c r="C535" s="1" t="n">
        <v>45565</v>
      </c>
      <c r="D535" t="inlineStr">
        <is>
          <t>JÄMTLANDS LÄN</t>
        </is>
      </c>
      <c r="E535" t="inlineStr">
        <is>
          <t>ÅRE</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59163-2022</t>
        </is>
      </c>
      <c r="B536" s="1" t="n">
        <v>44904</v>
      </c>
      <c r="C536" s="1" t="n">
        <v>45565</v>
      </c>
      <c r="D536" t="inlineStr">
        <is>
          <t>JÄMTLANDS LÄN</t>
        </is>
      </c>
      <c r="E536" t="inlineStr">
        <is>
          <t>ÅRE</t>
        </is>
      </c>
      <c r="G536" t="n">
        <v>3.3</v>
      </c>
      <c r="H536" t="n">
        <v>0</v>
      </c>
      <c r="I536" t="n">
        <v>0</v>
      </c>
      <c r="J536" t="n">
        <v>0</v>
      </c>
      <c r="K536" t="n">
        <v>0</v>
      </c>
      <c r="L536" t="n">
        <v>0</v>
      </c>
      <c r="M536" t="n">
        <v>0</v>
      </c>
      <c r="N536" t="n">
        <v>0</v>
      </c>
      <c r="O536" t="n">
        <v>0</v>
      </c>
      <c r="P536" t="n">
        <v>0</v>
      </c>
      <c r="Q536" t="n">
        <v>0</v>
      </c>
      <c r="R536" s="2" t="inlineStr"/>
    </row>
    <row r="537" ht="15" customHeight="1">
      <c r="A537" t="inlineStr">
        <is>
          <t>A 60540-2022</t>
        </is>
      </c>
      <c r="B537" s="1" t="n">
        <v>44904</v>
      </c>
      <c r="C537" s="1" t="n">
        <v>45565</v>
      </c>
      <c r="D537" t="inlineStr">
        <is>
          <t>JÄMTLANDS LÄN</t>
        </is>
      </c>
      <c r="E537" t="inlineStr">
        <is>
          <t>ÅRE</t>
        </is>
      </c>
      <c r="G537" t="n">
        <v>1</v>
      </c>
      <c r="H537" t="n">
        <v>0</v>
      </c>
      <c r="I537" t="n">
        <v>0</v>
      </c>
      <c r="J537" t="n">
        <v>0</v>
      </c>
      <c r="K537" t="n">
        <v>0</v>
      </c>
      <c r="L537" t="n">
        <v>0</v>
      </c>
      <c r="M537" t="n">
        <v>0</v>
      </c>
      <c r="N537" t="n">
        <v>0</v>
      </c>
      <c r="O537" t="n">
        <v>0</v>
      </c>
      <c r="P537" t="n">
        <v>0</v>
      </c>
      <c r="Q537" t="n">
        <v>0</v>
      </c>
      <c r="R537" s="2" t="inlineStr"/>
    </row>
    <row r="538" ht="15" customHeight="1">
      <c r="A538" t="inlineStr">
        <is>
          <t>A 59387-2022</t>
        </is>
      </c>
      <c r="B538" s="1" t="n">
        <v>44905</v>
      </c>
      <c r="C538" s="1" t="n">
        <v>45565</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60935-2022</t>
        </is>
      </c>
      <c r="B539" s="1" t="n">
        <v>44908</v>
      </c>
      <c r="C539" s="1" t="n">
        <v>45565</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60899-2022</t>
        </is>
      </c>
      <c r="B540" s="1" t="n">
        <v>44908</v>
      </c>
      <c r="C540" s="1" t="n">
        <v>45565</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60944-2022</t>
        </is>
      </c>
      <c r="B541" s="1" t="n">
        <v>44908</v>
      </c>
      <c r="C541" s="1" t="n">
        <v>45565</v>
      </c>
      <c r="D541" t="inlineStr">
        <is>
          <t>JÄMTLANDS LÄN</t>
        </is>
      </c>
      <c r="E541" t="inlineStr">
        <is>
          <t>ÅRE</t>
        </is>
      </c>
      <c r="G541" t="n">
        <v>6</v>
      </c>
      <c r="H541" t="n">
        <v>0</v>
      </c>
      <c r="I541" t="n">
        <v>0</v>
      </c>
      <c r="J541" t="n">
        <v>0</v>
      </c>
      <c r="K541" t="n">
        <v>0</v>
      </c>
      <c r="L541" t="n">
        <v>0</v>
      </c>
      <c r="M541" t="n">
        <v>0</v>
      </c>
      <c r="N541" t="n">
        <v>0</v>
      </c>
      <c r="O541" t="n">
        <v>0</v>
      </c>
      <c r="P541" t="n">
        <v>0</v>
      </c>
      <c r="Q541" t="n">
        <v>0</v>
      </c>
      <c r="R541" s="2" t="inlineStr"/>
    </row>
    <row r="542" ht="15" customHeight="1">
      <c r="A542" t="inlineStr">
        <is>
          <t>A 60921-2022</t>
        </is>
      </c>
      <c r="B542" s="1" t="n">
        <v>44908</v>
      </c>
      <c r="C542" s="1" t="n">
        <v>45565</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60941-2022</t>
        </is>
      </c>
      <c r="B543" s="1" t="n">
        <v>44908</v>
      </c>
      <c r="C543" s="1" t="n">
        <v>45565</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61340-2022</t>
        </is>
      </c>
      <c r="B544" s="1" t="n">
        <v>44909</v>
      </c>
      <c r="C544" s="1" t="n">
        <v>45565</v>
      </c>
      <c r="D544" t="inlineStr">
        <is>
          <t>JÄMTLANDS LÄN</t>
        </is>
      </c>
      <c r="E544" t="inlineStr">
        <is>
          <t>ÅRE</t>
        </is>
      </c>
      <c r="G544" t="n">
        <v>4.4</v>
      </c>
      <c r="H544" t="n">
        <v>0</v>
      </c>
      <c r="I544" t="n">
        <v>0</v>
      </c>
      <c r="J544" t="n">
        <v>0</v>
      </c>
      <c r="K544" t="n">
        <v>0</v>
      </c>
      <c r="L544" t="n">
        <v>0</v>
      </c>
      <c r="M544" t="n">
        <v>0</v>
      </c>
      <c r="N544" t="n">
        <v>0</v>
      </c>
      <c r="O544" t="n">
        <v>0</v>
      </c>
      <c r="P544" t="n">
        <v>0</v>
      </c>
      <c r="Q544" t="n">
        <v>0</v>
      </c>
      <c r="R544" s="2" t="inlineStr"/>
    </row>
    <row r="545" ht="15" customHeight="1">
      <c r="A545" t="inlineStr">
        <is>
          <t>A 61481-2022</t>
        </is>
      </c>
      <c r="B545" s="1" t="n">
        <v>44910</v>
      </c>
      <c r="C545" s="1" t="n">
        <v>45565</v>
      </c>
      <c r="D545" t="inlineStr">
        <is>
          <t>JÄMTLANDS LÄN</t>
        </is>
      </c>
      <c r="E545" t="inlineStr">
        <is>
          <t>ÅRE</t>
        </is>
      </c>
      <c r="G545" t="n">
        <v>0.4</v>
      </c>
      <c r="H545" t="n">
        <v>0</v>
      </c>
      <c r="I545" t="n">
        <v>0</v>
      </c>
      <c r="J545" t="n">
        <v>0</v>
      </c>
      <c r="K545" t="n">
        <v>0</v>
      </c>
      <c r="L545" t="n">
        <v>0</v>
      </c>
      <c r="M545" t="n">
        <v>0</v>
      </c>
      <c r="N545" t="n">
        <v>0</v>
      </c>
      <c r="O545" t="n">
        <v>0</v>
      </c>
      <c r="P545" t="n">
        <v>0</v>
      </c>
      <c r="Q545" t="n">
        <v>0</v>
      </c>
      <c r="R545" s="2" t="inlineStr"/>
    </row>
    <row r="546" ht="15" customHeight="1">
      <c r="A546" t="inlineStr">
        <is>
          <t>A 60426-2022</t>
        </is>
      </c>
      <c r="B546" s="1" t="n">
        <v>44911</v>
      </c>
      <c r="C546" s="1" t="n">
        <v>45565</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60437-2022</t>
        </is>
      </c>
      <c r="B547" s="1" t="n">
        <v>44911</v>
      </c>
      <c r="C547" s="1" t="n">
        <v>45565</v>
      </c>
      <c r="D547" t="inlineStr">
        <is>
          <t>JÄMTLANDS LÄN</t>
        </is>
      </c>
      <c r="E547" t="inlineStr">
        <is>
          <t>ÅRE</t>
        </is>
      </c>
      <c r="F547" t="inlineStr">
        <is>
          <t>Övriga Aktiebolag</t>
        </is>
      </c>
      <c r="G547" t="n">
        <v>9.4</v>
      </c>
      <c r="H547" t="n">
        <v>0</v>
      </c>
      <c r="I547" t="n">
        <v>0</v>
      </c>
      <c r="J547" t="n">
        <v>0</v>
      </c>
      <c r="K547" t="n">
        <v>0</v>
      </c>
      <c r="L547" t="n">
        <v>0</v>
      </c>
      <c r="M547" t="n">
        <v>0</v>
      </c>
      <c r="N547" t="n">
        <v>0</v>
      </c>
      <c r="O547" t="n">
        <v>0</v>
      </c>
      <c r="P547" t="n">
        <v>0</v>
      </c>
      <c r="Q547" t="n">
        <v>0</v>
      </c>
      <c r="R547" s="2" t="inlineStr"/>
    </row>
    <row r="548" ht="15" customHeight="1">
      <c r="A548" t="inlineStr">
        <is>
          <t>A 61789-2022</t>
        </is>
      </c>
      <c r="B548" s="1" t="n">
        <v>44917</v>
      </c>
      <c r="C548" s="1" t="n">
        <v>45565</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61784-2022</t>
        </is>
      </c>
      <c r="B549" s="1" t="n">
        <v>44917</v>
      </c>
      <c r="C549" s="1" t="n">
        <v>45565</v>
      </c>
      <c r="D549" t="inlineStr">
        <is>
          <t>JÄMTLANDS LÄN</t>
        </is>
      </c>
      <c r="E549" t="inlineStr">
        <is>
          <t>ÅRE</t>
        </is>
      </c>
      <c r="G549" t="n">
        <v>5.1</v>
      </c>
      <c r="H549" t="n">
        <v>0</v>
      </c>
      <c r="I549" t="n">
        <v>0</v>
      </c>
      <c r="J549" t="n">
        <v>0</v>
      </c>
      <c r="K549" t="n">
        <v>0</v>
      </c>
      <c r="L549" t="n">
        <v>0</v>
      </c>
      <c r="M549" t="n">
        <v>0</v>
      </c>
      <c r="N549" t="n">
        <v>0</v>
      </c>
      <c r="O549" t="n">
        <v>0</v>
      </c>
      <c r="P549" t="n">
        <v>0</v>
      </c>
      <c r="Q549" t="n">
        <v>0</v>
      </c>
      <c r="R549" s="2" t="inlineStr"/>
    </row>
    <row r="550" ht="15" customHeight="1">
      <c r="A550" t="inlineStr">
        <is>
          <t>A 61925-2022</t>
        </is>
      </c>
      <c r="B550" s="1" t="n">
        <v>44917</v>
      </c>
      <c r="C550" s="1" t="n">
        <v>45565</v>
      </c>
      <c r="D550" t="inlineStr">
        <is>
          <t>JÄMTLANDS LÄN</t>
        </is>
      </c>
      <c r="E550" t="inlineStr">
        <is>
          <t>ÅRE</t>
        </is>
      </c>
      <c r="G550" t="n">
        <v>3.3</v>
      </c>
      <c r="H550" t="n">
        <v>0</v>
      </c>
      <c r="I550" t="n">
        <v>0</v>
      </c>
      <c r="J550" t="n">
        <v>0</v>
      </c>
      <c r="K550" t="n">
        <v>0</v>
      </c>
      <c r="L550" t="n">
        <v>0</v>
      </c>
      <c r="M550" t="n">
        <v>0</v>
      </c>
      <c r="N550" t="n">
        <v>0</v>
      </c>
      <c r="O550" t="n">
        <v>0</v>
      </c>
      <c r="P550" t="n">
        <v>0</v>
      </c>
      <c r="Q550" t="n">
        <v>0</v>
      </c>
      <c r="R550" s="2" t="inlineStr"/>
    </row>
    <row r="551" ht="15" customHeight="1">
      <c r="A551" t="inlineStr">
        <is>
          <t>A 61930-2022</t>
        </is>
      </c>
      <c r="B551" s="1" t="n">
        <v>44917</v>
      </c>
      <c r="C551" s="1" t="n">
        <v>45565</v>
      </c>
      <c r="D551" t="inlineStr">
        <is>
          <t>JÄMTLANDS LÄN</t>
        </is>
      </c>
      <c r="E551" t="inlineStr">
        <is>
          <t>ÅRE</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61924-2022</t>
        </is>
      </c>
      <c r="B552" s="1" t="n">
        <v>44917</v>
      </c>
      <c r="C552" s="1" t="n">
        <v>45565</v>
      </c>
      <c r="D552" t="inlineStr">
        <is>
          <t>JÄMTLANDS LÄN</t>
        </is>
      </c>
      <c r="E552" t="inlineStr">
        <is>
          <t>ÅRE</t>
        </is>
      </c>
      <c r="G552" t="n">
        <v>39.8</v>
      </c>
      <c r="H552" t="n">
        <v>0</v>
      </c>
      <c r="I552" t="n">
        <v>0</v>
      </c>
      <c r="J552" t="n">
        <v>0</v>
      </c>
      <c r="K552" t="n">
        <v>0</v>
      </c>
      <c r="L552" t="n">
        <v>0</v>
      </c>
      <c r="M552" t="n">
        <v>0</v>
      </c>
      <c r="N552" t="n">
        <v>0</v>
      </c>
      <c r="O552" t="n">
        <v>0</v>
      </c>
      <c r="P552" t="n">
        <v>0</v>
      </c>
      <c r="Q552" t="n">
        <v>0</v>
      </c>
      <c r="R552" s="2" t="inlineStr"/>
    </row>
    <row r="553" ht="15" customHeight="1">
      <c r="A553" t="inlineStr">
        <is>
          <t>A 61926-2022</t>
        </is>
      </c>
      <c r="B553" s="1" t="n">
        <v>44917</v>
      </c>
      <c r="C553" s="1" t="n">
        <v>45565</v>
      </c>
      <c r="D553" t="inlineStr">
        <is>
          <t>JÄMTLANDS LÄN</t>
        </is>
      </c>
      <c r="E553" t="inlineStr">
        <is>
          <t>ÅRE</t>
        </is>
      </c>
      <c r="G553" t="n">
        <v>18</v>
      </c>
      <c r="H553" t="n">
        <v>0</v>
      </c>
      <c r="I553" t="n">
        <v>0</v>
      </c>
      <c r="J553" t="n">
        <v>0</v>
      </c>
      <c r="K553" t="n">
        <v>0</v>
      </c>
      <c r="L553" t="n">
        <v>0</v>
      </c>
      <c r="M553" t="n">
        <v>0</v>
      </c>
      <c r="N553" t="n">
        <v>0</v>
      </c>
      <c r="O553" t="n">
        <v>0</v>
      </c>
      <c r="P553" t="n">
        <v>0</v>
      </c>
      <c r="Q553" t="n">
        <v>0</v>
      </c>
      <c r="R553" s="2" t="inlineStr"/>
    </row>
    <row r="554" ht="15" customHeight="1">
      <c r="A554" t="inlineStr">
        <is>
          <t>A 61931-2022</t>
        </is>
      </c>
      <c r="B554" s="1" t="n">
        <v>44917</v>
      </c>
      <c r="C554" s="1" t="n">
        <v>45565</v>
      </c>
      <c r="D554" t="inlineStr">
        <is>
          <t>JÄMTLANDS LÄN</t>
        </is>
      </c>
      <c r="E554" t="inlineStr">
        <is>
          <t>ÅRE</t>
        </is>
      </c>
      <c r="G554" t="n">
        <v>1.9</v>
      </c>
      <c r="H554" t="n">
        <v>0</v>
      </c>
      <c r="I554" t="n">
        <v>0</v>
      </c>
      <c r="J554" t="n">
        <v>0</v>
      </c>
      <c r="K554" t="n">
        <v>0</v>
      </c>
      <c r="L554" t="n">
        <v>0</v>
      </c>
      <c r="M554" t="n">
        <v>0</v>
      </c>
      <c r="N554" t="n">
        <v>0</v>
      </c>
      <c r="O554" t="n">
        <v>0</v>
      </c>
      <c r="P554" t="n">
        <v>0</v>
      </c>
      <c r="Q554" t="n">
        <v>0</v>
      </c>
      <c r="R554" s="2" t="inlineStr"/>
    </row>
    <row r="555" ht="15" customHeight="1">
      <c r="A555" t="inlineStr">
        <is>
          <t>A 62520-2022</t>
        </is>
      </c>
      <c r="B555" s="1" t="n">
        <v>44924</v>
      </c>
      <c r="C555" s="1" t="n">
        <v>45565</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62528-2022</t>
        </is>
      </c>
      <c r="B556" s="1" t="n">
        <v>44924</v>
      </c>
      <c r="C556" s="1" t="n">
        <v>45565</v>
      </c>
      <c r="D556" t="inlineStr">
        <is>
          <t>JÄMTLANDS LÄN</t>
        </is>
      </c>
      <c r="E556" t="inlineStr">
        <is>
          <t>ÅRE</t>
        </is>
      </c>
      <c r="G556" t="n">
        <v>5.3</v>
      </c>
      <c r="H556" t="n">
        <v>0</v>
      </c>
      <c r="I556" t="n">
        <v>0</v>
      </c>
      <c r="J556" t="n">
        <v>0</v>
      </c>
      <c r="K556" t="n">
        <v>0</v>
      </c>
      <c r="L556" t="n">
        <v>0</v>
      </c>
      <c r="M556" t="n">
        <v>0</v>
      </c>
      <c r="N556" t="n">
        <v>0</v>
      </c>
      <c r="O556" t="n">
        <v>0</v>
      </c>
      <c r="P556" t="n">
        <v>0</v>
      </c>
      <c r="Q556" t="n">
        <v>0</v>
      </c>
      <c r="R556" s="2" t="inlineStr"/>
    </row>
    <row r="557" ht="15" customHeight="1">
      <c r="A557" t="inlineStr">
        <is>
          <t>A 62582-2022</t>
        </is>
      </c>
      <c r="B557" s="1" t="n">
        <v>44924</v>
      </c>
      <c r="C557" s="1" t="n">
        <v>45565</v>
      </c>
      <c r="D557" t="inlineStr">
        <is>
          <t>JÄMTLANDS LÄN</t>
        </is>
      </c>
      <c r="E557" t="inlineStr">
        <is>
          <t>ÅRE</t>
        </is>
      </c>
      <c r="F557" t="inlineStr">
        <is>
          <t>Övriga Aktiebolag</t>
        </is>
      </c>
      <c r="G557" t="n">
        <v>6.9</v>
      </c>
      <c r="H557" t="n">
        <v>0</v>
      </c>
      <c r="I557" t="n">
        <v>0</v>
      </c>
      <c r="J557" t="n">
        <v>0</v>
      </c>
      <c r="K557" t="n">
        <v>0</v>
      </c>
      <c r="L557" t="n">
        <v>0</v>
      </c>
      <c r="M557" t="n">
        <v>0</v>
      </c>
      <c r="N557" t="n">
        <v>0</v>
      </c>
      <c r="O557" t="n">
        <v>0</v>
      </c>
      <c r="P557" t="n">
        <v>0</v>
      </c>
      <c r="Q557" t="n">
        <v>0</v>
      </c>
      <c r="R557" s="2" t="inlineStr"/>
    </row>
    <row r="558" ht="15" customHeight="1">
      <c r="A558" t="inlineStr">
        <is>
          <t>A 34-2023</t>
        </is>
      </c>
      <c r="B558" s="1" t="n">
        <v>44928</v>
      </c>
      <c r="C558" s="1" t="n">
        <v>45565</v>
      </c>
      <c r="D558" t="inlineStr">
        <is>
          <t>JÄMTLANDS LÄN</t>
        </is>
      </c>
      <c r="E558" t="inlineStr">
        <is>
          <t>ÅRE</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278-2023</t>
        </is>
      </c>
      <c r="B559" s="1" t="n">
        <v>44928</v>
      </c>
      <c r="C559" s="1" t="n">
        <v>45565</v>
      </c>
      <c r="D559" t="inlineStr">
        <is>
          <t>JÄMTLANDS LÄN</t>
        </is>
      </c>
      <c r="E559" t="inlineStr">
        <is>
          <t>ÅRE</t>
        </is>
      </c>
      <c r="G559" t="n">
        <v>2.4</v>
      </c>
      <c r="H559" t="n">
        <v>0</v>
      </c>
      <c r="I559" t="n">
        <v>0</v>
      </c>
      <c r="J559" t="n">
        <v>0</v>
      </c>
      <c r="K559" t="n">
        <v>0</v>
      </c>
      <c r="L559" t="n">
        <v>0</v>
      </c>
      <c r="M559" t="n">
        <v>0</v>
      </c>
      <c r="N559" t="n">
        <v>0</v>
      </c>
      <c r="O559" t="n">
        <v>0</v>
      </c>
      <c r="P559" t="n">
        <v>0</v>
      </c>
      <c r="Q559" t="n">
        <v>0</v>
      </c>
      <c r="R559" s="2" t="inlineStr"/>
    </row>
    <row r="560" ht="15" customHeight="1">
      <c r="A560" t="inlineStr">
        <is>
          <t>A 556-2023</t>
        </is>
      </c>
      <c r="B560" s="1" t="n">
        <v>44930</v>
      </c>
      <c r="C560" s="1" t="n">
        <v>45565</v>
      </c>
      <c r="D560" t="inlineStr">
        <is>
          <t>JÄMTLANDS LÄN</t>
        </is>
      </c>
      <c r="E560" t="inlineStr">
        <is>
          <t>ÅRE</t>
        </is>
      </c>
      <c r="G560" t="n">
        <v>14.9</v>
      </c>
      <c r="H560" t="n">
        <v>0</v>
      </c>
      <c r="I560" t="n">
        <v>0</v>
      </c>
      <c r="J560" t="n">
        <v>0</v>
      </c>
      <c r="K560" t="n">
        <v>0</v>
      </c>
      <c r="L560" t="n">
        <v>0</v>
      </c>
      <c r="M560" t="n">
        <v>0</v>
      </c>
      <c r="N560" t="n">
        <v>0</v>
      </c>
      <c r="O560" t="n">
        <v>0</v>
      </c>
      <c r="P560" t="n">
        <v>0</v>
      </c>
      <c r="Q560" t="n">
        <v>0</v>
      </c>
      <c r="R560" s="2" t="inlineStr"/>
    </row>
    <row r="561" ht="15" customHeight="1">
      <c r="A561" t="inlineStr">
        <is>
          <t>A 772-2023</t>
        </is>
      </c>
      <c r="B561" s="1" t="n">
        <v>44931</v>
      </c>
      <c r="C561" s="1" t="n">
        <v>45565</v>
      </c>
      <c r="D561" t="inlineStr">
        <is>
          <t>JÄMTLANDS LÄN</t>
        </is>
      </c>
      <c r="E561" t="inlineStr">
        <is>
          <t>ÅRE</t>
        </is>
      </c>
      <c r="F561" t="inlineStr">
        <is>
          <t>Övriga Aktiebolag</t>
        </is>
      </c>
      <c r="G561" t="n">
        <v>3.9</v>
      </c>
      <c r="H561" t="n">
        <v>0</v>
      </c>
      <c r="I561" t="n">
        <v>0</v>
      </c>
      <c r="J561" t="n">
        <v>0</v>
      </c>
      <c r="K561" t="n">
        <v>0</v>
      </c>
      <c r="L561" t="n">
        <v>0</v>
      </c>
      <c r="M561" t="n">
        <v>0</v>
      </c>
      <c r="N561" t="n">
        <v>0</v>
      </c>
      <c r="O561" t="n">
        <v>0</v>
      </c>
      <c r="P561" t="n">
        <v>0</v>
      </c>
      <c r="Q561" t="n">
        <v>0</v>
      </c>
      <c r="R561" s="2" t="inlineStr"/>
    </row>
    <row r="562" ht="15" customHeight="1">
      <c r="A562" t="inlineStr">
        <is>
          <t>A 844-2023</t>
        </is>
      </c>
      <c r="B562" s="1" t="n">
        <v>44931</v>
      </c>
      <c r="C562" s="1" t="n">
        <v>45565</v>
      </c>
      <c r="D562" t="inlineStr">
        <is>
          <t>JÄMTLANDS LÄN</t>
        </is>
      </c>
      <c r="E562" t="inlineStr">
        <is>
          <t>ÅRE</t>
        </is>
      </c>
      <c r="F562" t="inlineStr">
        <is>
          <t>Övriga Aktiebolag</t>
        </is>
      </c>
      <c r="G562" t="n">
        <v>2.5</v>
      </c>
      <c r="H562" t="n">
        <v>0</v>
      </c>
      <c r="I562" t="n">
        <v>0</v>
      </c>
      <c r="J562" t="n">
        <v>0</v>
      </c>
      <c r="K562" t="n">
        <v>0</v>
      </c>
      <c r="L562" t="n">
        <v>0</v>
      </c>
      <c r="M562" t="n">
        <v>0</v>
      </c>
      <c r="N562" t="n">
        <v>0</v>
      </c>
      <c r="O562" t="n">
        <v>0</v>
      </c>
      <c r="P562" t="n">
        <v>0</v>
      </c>
      <c r="Q562" t="n">
        <v>0</v>
      </c>
      <c r="R562" s="2" t="inlineStr"/>
    </row>
    <row r="563" ht="15" customHeight="1">
      <c r="A563" t="inlineStr">
        <is>
          <t>A 848-2023</t>
        </is>
      </c>
      <c r="B563" s="1" t="n">
        <v>44931</v>
      </c>
      <c r="C563" s="1" t="n">
        <v>45565</v>
      </c>
      <c r="D563" t="inlineStr">
        <is>
          <t>JÄMTLANDS LÄN</t>
        </is>
      </c>
      <c r="E563" t="inlineStr">
        <is>
          <t>ÅRE</t>
        </is>
      </c>
      <c r="F563" t="inlineStr">
        <is>
          <t>Övriga Aktiebolag</t>
        </is>
      </c>
      <c r="G563" t="n">
        <v>5.1</v>
      </c>
      <c r="H563" t="n">
        <v>0</v>
      </c>
      <c r="I563" t="n">
        <v>0</v>
      </c>
      <c r="J563" t="n">
        <v>0</v>
      </c>
      <c r="K563" t="n">
        <v>0</v>
      </c>
      <c r="L563" t="n">
        <v>0</v>
      </c>
      <c r="M563" t="n">
        <v>0</v>
      </c>
      <c r="N563" t="n">
        <v>0</v>
      </c>
      <c r="O563" t="n">
        <v>0</v>
      </c>
      <c r="P563" t="n">
        <v>0</v>
      </c>
      <c r="Q563" t="n">
        <v>0</v>
      </c>
      <c r="R563" s="2" t="inlineStr"/>
    </row>
    <row r="564" ht="15" customHeight="1">
      <c r="A564" t="inlineStr">
        <is>
          <t>A 796-2023</t>
        </is>
      </c>
      <c r="B564" s="1" t="n">
        <v>44931</v>
      </c>
      <c r="C564" s="1" t="n">
        <v>45565</v>
      </c>
      <c r="D564" t="inlineStr">
        <is>
          <t>JÄMTLANDS LÄN</t>
        </is>
      </c>
      <c r="E564" t="inlineStr">
        <is>
          <t>ÅRE</t>
        </is>
      </c>
      <c r="F564" t="inlineStr">
        <is>
          <t>Övriga Aktiebolag</t>
        </is>
      </c>
      <c r="G564" t="n">
        <v>13.8</v>
      </c>
      <c r="H564" t="n">
        <v>0</v>
      </c>
      <c r="I564" t="n">
        <v>0</v>
      </c>
      <c r="J564" t="n">
        <v>0</v>
      </c>
      <c r="K564" t="n">
        <v>0</v>
      </c>
      <c r="L564" t="n">
        <v>0</v>
      </c>
      <c r="M564" t="n">
        <v>0</v>
      </c>
      <c r="N564" t="n">
        <v>0</v>
      </c>
      <c r="O564" t="n">
        <v>0</v>
      </c>
      <c r="P564" t="n">
        <v>0</v>
      </c>
      <c r="Q564" t="n">
        <v>0</v>
      </c>
      <c r="R564" s="2" t="inlineStr"/>
    </row>
    <row r="565" ht="15" customHeight="1">
      <c r="A565" t="inlineStr">
        <is>
          <t>A 837-2023</t>
        </is>
      </c>
      <c r="B565" s="1" t="n">
        <v>44931</v>
      </c>
      <c r="C565" s="1" t="n">
        <v>45565</v>
      </c>
      <c r="D565" t="inlineStr">
        <is>
          <t>JÄMTLANDS LÄN</t>
        </is>
      </c>
      <c r="E565" t="inlineStr">
        <is>
          <t>ÅRE</t>
        </is>
      </c>
      <c r="F565" t="inlineStr">
        <is>
          <t>Övriga Aktiebolag</t>
        </is>
      </c>
      <c r="G565" t="n">
        <v>5.2</v>
      </c>
      <c r="H565" t="n">
        <v>0</v>
      </c>
      <c r="I565" t="n">
        <v>0</v>
      </c>
      <c r="J565" t="n">
        <v>0</v>
      </c>
      <c r="K565" t="n">
        <v>0</v>
      </c>
      <c r="L565" t="n">
        <v>0</v>
      </c>
      <c r="M565" t="n">
        <v>0</v>
      </c>
      <c r="N565" t="n">
        <v>0</v>
      </c>
      <c r="O565" t="n">
        <v>0</v>
      </c>
      <c r="P565" t="n">
        <v>0</v>
      </c>
      <c r="Q565" t="n">
        <v>0</v>
      </c>
      <c r="R565" s="2" t="inlineStr"/>
    </row>
    <row r="566" ht="15" customHeight="1">
      <c r="A566" t="inlineStr">
        <is>
          <t>A 1159-2023</t>
        </is>
      </c>
      <c r="B566" s="1" t="n">
        <v>44935</v>
      </c>
      <c r="C566" s="1" t="n">
        <v>45565</v>
      </c>
      <c r="D566" t="inlineStr">
        <is>
          <t>JÄMTLANDS LÄN</t>
        </is>
      </c>
      <c r="E566" t="inlineStr">
        <is>
          <t>ÅRE</t>
        </is>
      </c>
      <c r="G566" t="n">
        <v>6.4</v>
      </c>
      <c r="H566" t="n">
        <v>0</v>
      </c>
      <c r="I566" t="n">
        <v>0</v>
      </c>
      <c r="J566" t="n">
        <v>0</v>
      </c>
      <c r="K566" t="n">
        <v>0</v>
      </c>
      <c r="L566" t="n">
        <v>0</v>
      </c>
      <c r="M566" t="n">
        <v>0</v>
      </c>
      <c r="N566" t="n">
        <v>0</v>
      </c>
      <c r="O566" t="n">
        <v>0</v>
      </c>
      <c r="P566" t="n">
        <v>0</v>
      </c>
      <c r="Q566" t="n">
        <v>0</v>
      </c>
      <c r="R566" s="2" t="inlineStr"/>
    </row>
    <row r="567" ht="15" customHeight="1">
      <c r="A567" t="inlineStr">
        <is>
          <t>A 1414-2023</t>
        </is>
      </c>
      <c r="B567" s="1" t="n">
        <v>44936</v>
      </c>
      <c r="C567" s="1" t="n">
        <v>45565</v>
      </c>
      <c r="D567" t="inlineStr">
        <is>
          <t>JÄMTLANDS LÄN</t>
        </is>
      </c>
      <c r="E567" t="inlineStr">
        <is>
          <t>ÅRE</t>
        </is>
      </c>
      <c r="G567" t="n">
        <v>1.7</v>
      </c>
      <c r="H567" t="n">
        <v>0</v>
      </c>
      <c r="I567" t="n">
        <v>0</v>
      </c>
      <c r="J567" t="n">
        <v>0</v>
      </c>
      <c r="K567" t="n">
        <v>0</v>
      </c>
      <c r="L567" t="n">
        <v>0</v>
      </c>
      <c r="M567" t="n">
        <v>0</v>
      </c>
      <c r="N567" t="n">
        <v>0</v>
      </c>
      <c r="O567" t="n">
        <v>0</v>
      </c>
      <c r="P567" t="n">
        <v>0</v>
      </c>
      <c r="Q567" t="n">
        <v>0</v>
      </c>
      <c r="R567" s="2" t="inlineStr"/>
    </row>
    <row r="568" ht="15" customHeight="1">
      <c r="A568" t="inlineStr">
        <is>
          <t>A 1806-2023</t>
        </is>
      </c>
      <c r="B568" s="1" t="n">
        <v>44938</v>
      </c>
      <c r="C568" s="1" t="n">
        <v>45565</v>
      </c>
      <c r="D568" t="inlineStr">
        <is>
          <t>JÄMTLANDS LÄN</t>
        </is>
      </c>
      <c r="E568" t="inlineStr">
        <is>
          <t>ÅRE</t>
        </is>
      </c>
      <c r="G568" t="n">
        <v>1.3</v>
      </c>
      <c r="H568" t="n">
        <v>0</v>
      </c>
      <c r="I568" t="n">
        <v>0</v>
      </c>
      <c r="J568" t="n">
        <v>0</v>
      </c>
      <c r="K568" t="n">
        <v>0</v>
      </c>
      <c r="L568" t="n">
        <v>0</v>
      </c>
      <c r="M568" t="n">
        <v>0</v>
      </c>
      <c r="N568" t="n">
        <v>0</v>
      </c>
      <c r="O568" t="n">
        <v>0</v>
      </c>
      <c r="P568" t="n">
        <v>0</v>
      </c>
      <c r="Q568" t="n">
        <v>0</v>
      </c>
      <c r="R568" s="2" t="inlineStr"/>
    </row>
    <row r="569" ht="15" customHeight="1">
      <c r="A569" t="inlineStr">
        <is>
          <t>A 2374-2023</t>
        </is>
      </c>
      <c r="B569" s="1" t="n">
        <v>44942</v>
      </c>
      <c r="C569" s="1" t="n">
        <v>45565</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2376-2023</t>
        </is>
      </c>
      <c r="B570" s="1" t="n">
        <v>44942</v>
      </c>
      <c r="C570" s="1" t="n">
        <v>45565</v>
      </c>
      <c r="D570" t="inlineStr">
        <is>
          <t>JÄMTLANDS LÄN</t>
        </is>
      </c>
      <c r="E570" t="inlineStr">
        <is>
          <t>ÅRE</t>
        </is>
      </c>
      <c r="G570" t="n">
        <v>0.1</v>
      </c>
      <c r="H570" t="n">
        <v>0</v>
      </c>
      <c r="I570" t="n">
        <v>0</v>
      </c>
      <c r="J570" t="n">
        <v>0</v>
      </c>
      <c r="K570" t="n">
        <v>0</v>
      </c>
      <c r="L570" t="n">
        <v>0</v>
      </c>
      <c r="M570" t="n">
        <v>0</v>
      </c>
      <c r="N570" t="n">
        <v>0</v>
      </c>
      <c r="O570" t="n">
        <v>0</v>
      </c>
      <c r="P570" t="n">
        <v>0</v>
      </c>
      <c r="Q570" t="n">
        <v>0</v>
      </c>
      <c r="R570" s="2" t="inlineStr"/>
    </row>
    <row r="571" ht="15" customHeight="1">
      <c r="A571" t="inlineStr">
        <is>
          <t>A 3149-2023</t>
        </is>
      </c>
      <c r="B571" s="1" t="n">
        <v>44946</v>
      </c>
      <c r="C571" s="1" t="n">
        <v>45565</v>
      </c>
      <c r="D571" t="inlineStr">
        <is>
          <t>JÄMTLANDS LÄN</t>
        </is>
      </c>
      <c r="E571" t="inlineStr">
        <is>
          <t>ÅRE</t>
        </is>
      </c>
      <c r="G571" t="n">
        <v>1.7</v>
      </c>
      <c r="H571" t="n">
        <v>0</v>
      </c>
      <c r="I571" t="n">
        <v>0</v>
      </c>
      <c r="J571" t="n">
        <v>0</v>
      </c>
      <c r="K571" t="n">
        <v>0</v>
      </c>
      <c r="L571" t="n">
        <v>0</v>
      </c>
      <c r="M571" t="n">
        <v>0</v>
      </c>
      <c r="N571" t="n">
        <v>0</v>
      </c>
      <c r="O571" t="n">
        <v>0</v>
      </c>
      <c r="P571" t="n">
        <v>0</v>
      </c>
      <c r="Q571" t="n">
        <v>0</v>
      </c>
      <c r="R571" s="2" t="inlineStr"/>
    </row>
    <row r="572" ht="15" customHeight="1">
      <c r="A572" t="inlineStr">
        <is>
          <t>A 3066-2023</t>
        </is>
      </c>
      <c r="B572" s="1" t="n">
        <v>44946</v>
      </c>
      <c r="C572" s="1" t="n">
        <v>45565</v>
      </c>
      <c r="D572" t="inlineStr">
        <is>
          <t>JÄMTLANDS LÄN</t>
        </is>
      </c>
      <c r="E572" t="inlineStr">
        <is>
          <t>ÅRE</t>
        </is>
      </c>
      <c r="G572" t="n">
        <v>1.3</v>
      </c>
      <c r="H572" t="n">
        <v>0</v>
      </c>
      <c r="I572" t="n">
        <v>0</v>
      </c>
      <c r="J572" t="n">
        <v>0</v>
      </c>
      <c r="K572" t="n">
        <v>0</v>
      </c>
      <c r="L572" t="n">
        <v>0</v>
      </c>
      <c r="M572" t="n">
        <v>0</v>
      </c>
      <c r="N572" t="n">
        <v>0</v>
      </c>
      <c r="O572" t="n">
        <v>0</v>
      </c>
      <c r="P572" t="n">
        <v>0</v>
      </c>
      <c r="Q572" t="n">
        <v>0</v>
      </c>
      <c r="R572" s="2" t="inlineStr"/>
    </row>
    <row r="573" ht="15" customHeight="1">
      <c r="A573" t="inlineStr">
        <is>
          <t>A 3147-2023</t>
        </is>
      </c>
      <c r="B573" s="1" t="n">
        <v>44946</v>
      </c>
      <c r="C573" s="1" t="n">
        <v>45565</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3154-2023</t>
        </is>
      </c>
      <c r="B574" s="1" t="n">
        <v>44946</v>
      </c>
      <c r="C574" s="1" t="n">
        <v>45565</v>
      </c>
      <c r="D574" t="inlineStr">
        <is>
          <t>JÄMTLANDS LÄN</t>
        </is>
      </c>
      <c r="E574" t="inlineStr">
        <is>
          <t>ÅRE</t>
        </is>
      </c>
      <c r="G574" t="n">
        <v>5.1</v>
      </c>
      <c r="H574" t="n">
        <v>0</v>
      </c>
      <c r="I574" t="n">
        <v>0</v>
      </c>
      <c r="J574" t="n">
        <v>0</v>
      </c>
      <c r="K574" t="n">
        <v>0</v>
      </c>
      <c r="L574" t="n">
        <v>0</v>
      </c>
      <c r="M574" t="n">
        <v>0</v>
      </c>
      <c r="N574" t="n">
        <v>0</v>
      </c>
      <c r="O574" t="n">
        <v>0</v>
      </c>
      <c r="P574" t="n">
        <v>0</v>
      </c>
      <c r="Q574" t="n">
        <v>0</v>
      </c>
      <c r="R574" s="2" t="inlineStr"/>
    </row>
    <row r="575" ht="15" customHeight="1">
      <c r="A575" t="inlineStr">
        <is>
          <t>A 3196-2023</t>
        </is>
      </c>
      <c r="B575" s="1" t="n">
        <v>44946</v>
      </c>
      <c r="C575" s="1" t="n">
        <v>45565</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3204-2023</t>
        </is>
      </c>
      <c r="B576" s="1" t="n">
        <v>44946</v>
      </c>
      <c r="C576" s="1" t="n">
        <v>45565</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3263-2023</t>
        </is>
      </c>
      <c r="B577" s="1" t="n">
        <v>44949</v>
      </c>
      <c r="C577" s="1" t="n">
        <v>45565</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5651-2023</t>
        </is>
      </c>
      <c r="B578" s="1" t="n">
        <v>44958</v>
      </c>
      <c r="C578" s="1" t="n">
        <v>45565</v>
      </c>
      <c r="D578" t="inlineStr">
        <is>
          <t>JÄMTLANDS LÄN</t>
        </is>
      </c>
      <c r="E578" t="inlineStr">
        <is>
          <t>ÅRE</t>
        </is>
      </c>
      <c r="G578" t="n">
        <v>5.7</v>
      </c>
      <c r="H578" t="n">
        <v>0</v>
      </c>
      <c r="I578" t="n">
        <v>0</v>
      </c>
      <c r="J578" t="n">
        <v>0</v>
      </c>
      <c r="K578" t="n">
        <v>0</v>
      </c>
      <c r="L578" t="n">
        <v>0</v>
      </c>
      <c r="M578" t="n">
        <v>0</v>
      </c>
      <c r="N578" t="n">
        <v>0</v>
      </c>
      <c r="O578" t="n">
        <v>0</v>
      </c>
      <c r="P578" t="n">
        <v>0</v>
      </c>
      <c r="Q578" t="n">
        <v>0</v>
      </c>
      <c r="R578" s="2" t="inlineStr"/>
    </row>
    <row r="579" ht="15" customHeight="1">
      <c r="A579" t="inlineStr">
        <is>
          <t>A 5654-2023</t>
        </is>
      </c>
      <c r="B579" s="1" t="n">
        <v>44958</v>
      </c>
      <c r="C579" s="1" t="n">
        <v>45565</v>
      </c>
      <c r="D579" t="inlineStr">
        <is>
          <t>JÄMTLANDS LÄN</t>
        </is>
      </c>
      <c r="E579" t="inlineStr">
        <is>
          <t>ÅRE</t>
        </is>
      </c>
      <c r="G579" t="n">
        <v>14.4</v>
      </c>
      <c r="H579" t="n">
        <v>0</v>
      </c>
      <c r="I579" t="n">
        <v>0</v>
      </c>
      <c r="J579" t="n">
        <v>0</v>
      </c>
      <c r="K579" t="n">
        <v>0</v>
      </c>
      <c r="L579" t="n">
        <v>0</v>
      </c>
      <c r="M579" t="n">
        <v>0</v>
      </c>
      <c r="N579" t="n">
        <v>0</v>
      </c>
      <c r="O579" t="n">
        <v>0</v>
      </c>
      <c r="P579" t="n">
        <v>0</v>
      </c>
      <c r="Q579" t="n">
        <v>0</v>
      </c>
      <c r="R579" s="2" t="inlineStr"/>
    </row>
    <row r="580" ht="15" customHeight="1">
      <c r="A580" t="inlineStr">
        <is>
          <t>A 5460-2023</t>
        </is>
      </c>
      <c r="B580" s="1" t="n">
        <v>44960</v>
      </c>
      <c r="C580" s="1" t="n">
        <v>45565</v>
      </c>
      <c r="D580" t="inlineStr">
        <is>
          <t>JÄMTLANDS LÄN</t>
        </is>
      </c>
      <c r="E580" t="inlineStr">
        <is>
          <t>ÅRE</t>
        </is>
      </c>
      <c r="G580" t="n">
        <v>9.4</v>
      </c>
      <c r="H580" t="n">
        <v>0</v>
      </c>
      <c r="I580" t="n">
        <v>0</v>
      </c>
      <c r="J580" t="n">
        <v>0</v>
      </c>
      <c r="K580" t="n">
        <v>0</v>
      </c>
      <c r="L580" t="n">
        <v>0</v>
      </c>
      <c r="M580" t="n">
        <v>0</v>
      </c>
      <c r="N580" t="n">
        <v>0</v>
      </c>
      <c r="O580" t="n">
        <v>0</v>
      </c>
      <c r="P580" t="n">
        <v>0</v>
      </c>
      <c r="Q580" t="n">
        <v>0</v>
      </c>
      <c r="R580" s="2" t="inlineStr"/>
    </row>
    <row r="581" ht="15" customHeight="1">
      <c r="A581" t="inlineStr">
        <is>
          <t>A 7573-2023</t>
        </is>
      </c>
      <c r="B581" s="1" t="n">
        <v>44967</v>
      </c>
      <c r="C581" s="1" t="n">
        <v>45565</v>
      </c>
      <c r="D581" t="inlineStr">
        <is>
          <t>JÄMTLANDS LÄN</t>
        </is>
      </c>
      <c r="E581" t="inlineStr">
        <is>
          <t>ÅRE</t>
        </is>
      </c>
      <c r="G581" t="n">
        <v>7</v>
      </c>
      <c r="H581" t="n">
        <v>0</v>
      </c>
      <c r="I581" t="n">
        <v>0</v>
      </c>
      <c r="J581" t="n">
        <v>0</v>
      </c>
      <c r="K581" t="n">
        <v>0</v>
      </c>
      <c r="L581" t="n">
        <v>0</v>
      </c>
      <c r="M581" t="n">
        <v>0</v>
      </c>
      <c r="N581" t="n">
        <v>0</v>
      </c>
      <c r="O581" t="n">
        <v>0</v>
      </c>
      <c r="P581" t="n">
        <v>0</v>
      </c>
      <c r="Q581" t="n">
        <v>0</v>
      </c>
      <c r="R581" s="2" t="inlineStr"/>
    </row>
    <row r="582" ht="15" customHeight="1">
      <c r="A582" t="inlineStr">
        <is>
          <t>A 7970-2023</t>
        </is>
      </c>
      <c r="B582" s="1" t="n">
        <v>44970</v>
      </c>
      <c r="C582" s="1" t="n">
        <v>45565</v>
      </c>
      <c r="D582" t="inlineStr">
        <is>
          <t>JÄMTLANDS LÄN</t>
        </is>
      </c>
      <c r="E582" t="inlineStr">
        <is>
          <t>ÅRE</t>
        </is>
      </c>
      <c r="G582" t="n">
        <v>3.5</v>
      </c>
      <c r="H582" t="n">
        <v>0</v>
      </c>
      <c r="I582" t="n">
        <v>0</v>
      </c>
      <c r="J582" t="n">
        <v>0</v>
      </c>
      <c r="K582" t="n">
        <v>0</v>
      </c>
      <c r="L582" t="n">
        <v>0</v>
      </c>
      <c r="M582" t="n">
        <v>0</v>
      </c>
      <c r="N582" t="n">
        <v>0</v>
      </c>
      <c r="O582" t="n">
        <v>0</v>
      </c>
      <c r="P582" t="n">
        <v>0</v>
      </c>
      <c r="Q582" t="n">
        <v>0</v>
      </c>
      <c r="R582" s="2" t="inlineStr"/>
    </row>
    <row r="583" ht="15" customHeight="1">
      <c r="A583" t="inlineStr">
        <is>
          <t>A 7977-2023</t>
        </is>
      </c>
      <c r="B583" s="1" t="n">
        <v>44970</v>
      </c>
      <c r="C583" s="1" t="n">
        <v>45565</v>
      </c>
      <c r="D583" t="inlineStr">
        <is>
          <t>JÄMTLANDS LÄN</t>
        </is>
      </c>
      <c r="E583" t="inlineStr">
        <is>
          <t>ÅRE</t>
        </is>
      </c>
      <c r="G583" t="n">
        <v>2.1</v>
      </c>
      <c r="H583" t="n">
        <v>0</v>
      </c>
      <c r="I583" t="n">
        <v>0</v>
      </c>
      <c r="J583" t="n">
        <v>0</v>
      </c>
      <c r="K583" t="n">
        <v>0</v>
      </c>
      <c r="L583" t="n">
        <v>0</v>
      </c>
      <c r="M583" t="n">
        <v>0</v>
      </c>
      <c r="N583" t="n">
        <v>0</v>
      </c>
      <c r="O583" t="n">
        <v>0</v>
      </c>
      <c r="P583" t="n">
        <v>0</v>
      </c>
      <c r="Q583" t="n">
        <v>0</v>
      </c>
      <c r="R583" s="2" t="inlineStr"/>
    </row>
    <row r="584" ht="15" customHeight="1">
      <c r="A584" t="inlineStr">
        <is>
          <t>A 8443-2023</t>
        </is>
      </c>
      <c r="B584" s="1" t="n">
        <v>44977</v>
      </c>
      <c r="C584" s="1" t="n">
        <v>45565</v>
      </c>
      <c r="D584" t="inlineStr">
        <is>
          <t>JÄMTLANDS LÄN</t>
        </is>
      </c>
      <c r="E584" t="inlineStr">
        <is>
          <t>ÅRE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8630-2023</t>
        </is>
      </c>
      <c r="B585" s="1" t="n">
        <v>44977</v>
      </c>
      <c r="C585" s="1" t="n">
        <v>45565</v>
      </c>
      <c r="D585" t="inlineStr">
        <is>
          <t>JÄMTLANDS LÄN</t>
        </is>
      </c>
      <c r="E585" t="inlineStr">
        <is>
          <t>ÅRE</t>
        </is>
      </c>
      <c r="G585" t="n">
        <v>2.9</v>
      </c>
      <c r="H585" t="n">
        <v>0</v>
      </c>
      <c r="I585" t="n">
        <v>0</v>
      </c>
      <c r="J585" t="n">
        <v>0</v>
      </c>
      <c r="K585" t="n">
        <v>0</v>
      </c>
      <c r="L585" t="n">
        <v>0</v>
      </c>
      <c r="M585" t="n">
        <v>0</v>
      </c>
      <c r="N585" t="n">
        <v>0</v>
      </c>
      <c r="O585" t="n">
        <v>0</v>
      </c>
      <c r="P585" t="n">
        <v>0</v>
      </c>
      <c r="Q585" t="n">
        <v>0</v>
      </c>
      <c r="R585" s="2" t="inlineStr"/>
    </row>
    <row r="586" ht="15" customHeight="1">
      <c r="A586" t="inlineStr">
        <is>
          <t>A 10248-2023</t>
        </is>
      </c>
      <c r="B586" s="1" t="n">
        <v>44980</v>
      </c>
      <c r="C586" s="1" t="n">
        <v>45565</v>
      </c>
      <c r="D586" t="inlineStr">
        <is>
          <t>JÄMTLANDS LÄN</t>
        </is>
      </c>
      <c r="E586" t="inlineStr">
        <is>
          <t>ÅRE</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9775-2023</t>
        </is>
      </c>
      <c r="B587" s="1" t="n">
        <v>44984</v>
      </c>
      <c r="C587" s="1" t="n">
        <v>45565</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11813-2023</t>
        </is>
      </c>
      <c r="B588" s="1" t="n">
        <v>44994</v>
      </c>
      <c r="C588" s="1" t="n">
        <v>45565</v>
      </c>
      <c r="D588" t="inlineStr">
        <is>
          <t>JÄMTLANDS LÄN</t>
        </is>
      </c>
      <c r="E588" t="inlineStr">
        <is>
          <t>ÅRE</t>
        </is>
      </c>
      <c r="F588" t="inlineStr">
        <is>
          <t>Kommuner</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12224-2023</t>
        </is>
      </c>
      <c r="B589" s="1" t="n">
        <v>44998</v>
      </c>
      <c r="C589" s="1" t="n">
        <v>45565</v>
      </c>
      <c r="D589" t="inlineStr">
        <is>
          <t>JÄMTLANDS LÄN</t>
        </is>
      </c>
      <c r="E589" t="inlineStr">
        <is>
          <t>ÅRE</t>
        </is>
      </c>
      <c r="G589" t="n">
        <v>3.2</v>
      </c>
      <c r="H589" t="n">
        <v>0</v>
      </c>
      <c r="I589" t="n">
        <v>0</v>
      </c>
      <c r="J589" t="n">
        <v>0</v>
      </c>
      <c r="K589" t="n">
        <v>0</v>
      </c>
      <c r="L589" t="n">
        <v>0</v>
      </c>
      <c r="M589" t="n">
        <v>0</v>
      </c>
      <c r="N589" t="n">
        <v>0</v>
      </c>
      <c r="O589" t="n">
        <v>0</v>
      </c>
      <c r="P589" t="n">
        <v>0</v>
      </c>
      <c r="Q589" t="n">
        <v>0</v>
      </c>
      <c r="R589" s="2" t="inlineStr"/>
    </row>
    <row r="590" ht="15" customHeight="1">
      <c r="A590" t="inlineStr">
        <is>
          <t>A 12286-2023</t>
        </is>
      </c>
      <c r="B590" s="1" t="n">
        <v>44998</v>
      </c>
      <c r="C590" s="1" t="n">
        <v>45565</v>
      </c>
      <c r="D590" t="inlineStr">
        <is>
          <t>JÄMTLANDS LÄN</t>
        </is>
      </c>
      <c r="E590" t="inlineStr">
        <is>
          <t>ÅRE</t>
        </is>
      </c>
      <c r="G590" t="n">
        <v>7.3</v>
      </c>
      <c r="H590" t="n">
        <v>0</v>
      </c>
      <c r="I590" t="n">
        <v>0</v>
      </c>
      <c r="J590" t="n">
        <v>0</v>
      </c>
      <c r="K590" t="n">
        <v>0</v>
      </c>
      <c r="L590" t="n">
        <v>0</v>
      </c>
      <c r="M590" t="n">
        <v>0</v>
      </c>
      <c r="N590" t="n">
        <v>0</v>
      </c>
      <c r="O590" t="n">
        <v>0</v>
      </c>
      <c r="P590" t="n">
        <v>0</v>
      </c>
      <c r="Q590" t="n">
        <v>0</v>
      </c>
      <c r="R590" s="2" t="inlineStr"/>
    </row>
    <row r="591" ht="15" customHeight="1">
      <c r="A591" t="inlineStr">
        <is>
          <t>A 12290-2023</t>
        </is>
      </c>
      <c r="B591" s="1" t="n">
        <v>44998</v>
      </c>
      <c r="C591" s="1" t="n">
        <v>45565</v>
      </c>
      <c r="D591" t="inlineStr">
        <is>
          <t>JÄMTLANDS LÄN</t>
        </is>
      </c>
      <c r="E591" t="inlineStr">
        <is>
          <t>ÅRE</t>
        </is>
      </c>
      <c r="G591" t="n">
        <v>2.8</v>
      </c>
      <c r="H591" t="n">
        <v>0</v>
      </c>
      <c r="I591" t="n">
        <v>0</v>
      </c>
      <c r="J591" t="n">
        <v>0</v>
      </c>
      <c r="K591" t="n">
        <v>0</v>
      </c>
      <c r="L591" t="n">
        <v>0</v>
      </c>
      <c r="M591" t="n">
        <v>0</v>
      </c>
      <c r="N591" t="n">
        <v>0</v>
      </c>
      <c r="O591" t="n">
        <v>0</v>
      </c>
      <c r="P591" t="n">
        <v>0</v>
      </c>
      <c r="Q591" t="n">
        <v>0</v>
      </c>
      <c r="R591" s="2" t="inlineStr"/>
    </row>
    <row r="592" ht="15" customHeight="1">
      <c r="A592" t="inlineStr">
        <is>
          <t>A 12168-2023</t>
        </is>
      </c>
      <c r="B592" s="1" t="n">
        <v>44998</v>
      </c>
      <c r="C592" s="1" t="n">
        <v>45565</v>
      </c>
      <c r="D592" t="inlineStr">
        <is>
          <t>JÄMTLANDS LÄN</t>
        </is>
      </c>
      <c r="E592" t="inlineStr">
        <is>
          <t>ÅRE</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12173-2023</t>
        </is>
      </c>
      <c r="B593" s="1" t="n">
        <v>44998</v>
      </c>
      <c r="C593" s="1" t="n">
        <v>45565</v>
      </c>
      <c r="D593" t="inlineStr">
        <is>
          <t>JÄMTLANDS LÄN</t>
        </is>
      </c>
      <c r="E593" t="inlineStr">
        <is>
          <t>ÅRE</t>
        </is>
      </c>
      <c r="G593" t="n">
        <v>2.5</v>
      </c>
      <c r="H593" t="n">
        <v>0</v>
      </c>
      <c r="I593" t="n">
        <v>0</v>
      </c>
      <c r="J593" t="n">
        <v>0</v>
      </c>
      <c r="K593" t="n">
        <v>0</v>
      </c>
      <c r="L593" t="n">
        <v>0</v>
      </c>
      <c r="M593" t="n">
        <v>0</v>
      </c>
      <c r="N593" t="n">
        <v>0</v>
      </c>
      <c r="O593" t="n">
        <v>0</v>
      </c>
      <c r="P593" t="n">
        <v>0</v>
      </c>
      <c r="Q593" t="n">
        <v>0</v>
      </c>
      <c r="R593" s="2" t="inlineStr"/>
    </row>
    <row r="594" ht="15" customHeight="1">
      <c r="A594" t="inlineStr">
        <is>
          <t>A 12182-2023</t>
        </is>
      </c>
      <c r="B594" s="1" t="n">
        <v>44998</v>
      </c>
      <c r="C594" s="1" t="n">
        <v>45565</v>
      </c>
      <c r="D594" t="inlineStr">
        <is>
          <t>JÄMTLANDS LÄN</t>
        </is>
      </c>
      <c r="E594" t="inlineStr">
        <is>
          <t>ÅRE</t>
        </is>
      </c>
      <c r="G594" t="n">
        <v>11.7</v>
      </c>
      <c r="H594" t="n">
        <v>0</v>
      </c>
      <c r="I594" t="n">
        <v>0</v>
      </c>
      <c r="J594" t="n">
        <v>0</v>
      </c>
      <c r="K594" t="n">
        <v>0</v>
      </c>
      <c r="L594" t="n">
        <v>0</v>
      </c>
      <c r="M594" t="n">
        <v>0</v>
      </c>
      <c r="N594" t="n">
        <v>0</v>
      </c>
      <c r="O594" t="n">
        <v>0</v>
      </c>
      <c r="P594" t="n">
        <v>0</v>
      </c>
      <c r="Q594" t="n">
        <v>0</v>
      </c>
      <c r="R594" s="2" t="inlineStr"/>
    </row>
    <row r="595" ht="15" customHeight="1">
      <c r="A595" t="inlineStr">
        <is>
          <t>A 12216-2023</t>
        </is>
      </c>
      <c r="B595" s="1" t="n">
        <v>44998</v>
      </c>
      <c r="C595" s="1" t="n">
        <v>45565</v>
      </c>
      <c r="D595" t="inlineStr">
        <is>
          <t>JÄMTLANDS LÄN</t>
        </is>
      </c>
      <c r="E595" t="inlineStr">
        <is>
          <t>ÅRE</t>
        </is>
      </c>
      <c r="G595" t="n">
        <v>11.8</v>
      </c>
      <c r="H595" t="n">
        <v>0</v>
      </c>
      <c r="I595" t="n">
        <v>0</v>
      </c>
      <c r="J595" t="n">
        <v>0</v>
      </c>
      <c r="K595" t="n">
        <v>0</v>
      </c>
      <c r="L595" t="n">
        <v>0</v>
      </c>
      <c r="M595" t="n">
        <v>0</v>
      </c>
      <c r="N595" t="n">
        <v>0</v>
      </c>
      <c r="O595" t="n">
        <v>0</v>
      </c>
      <c r="P595" t="n">
        <v>0</v>
      </c>
      <c r="Q595" t="n">
        <v>0</v>
      </c>
      <c r="R595" s="2" t="inlineStr"/>
    </row>
    <row r="596" ht="15" customHeight="1">
      <c r="A596" t="inlineStr">
        <is>
          <t>A 12227-2023</t>
        </is>
      </c>
      <c r="B596" s="1" t="n">
        <v>44998</v>
      </c>
      <c r="C596" s="1" t="n">
        <v>45565</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12288-2023</t>
        </is>
      </c>
      <c r="B597" s="1" t="n">
        <v>44998</v>
      </c>
      <c r="C597" s="1" t="n">
        <v>45565</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12292-2023</t>
        </is>
      </c>
      <c r="B598" s="1" t="n">
        <v>44998</v>
      </c>
      <c r="C598" s="1" t="n">
        <v>45565</v>
      </c>
      <c r="D598" t="inlineStr">
        <is>
          <t>JÄMTLANDS LÄN</t>
        </is>
      </c>
      <c r="E598" t="inlineStr">
        <is>
          <t>ÅRE</t>
        </is>
      </c>
      <c r="G598" t="n">
        <v>3.5</v>
      </c>
      <c r="H598" t="n">
        <v>0</v>
      </c>
      <c r="I598" t="n">
        <v>0</v>
      </c>
      <c r="J598" t="n">
        <v>0</v>
      </c>
      <c r="K598" t="n">
        <v>0</v>
      </c>
      <c r="L598" t="n">
        <v>0</v>
      </c>
      <c r="M598" t="n">
        <v>0</v>
      </c>
      <c r="N598" t="n">
        <v>0</v>
      </c>
      <c r="O598" t="n">
        <v>0</v>
      </c>
      <c r="P598" t="n">
        <v>0</v>
      </c>
      <c r="Q598" t="n">
        <v>0</v>
      </c>
      <c r="R598" s="2" t="inlineStr"/>
    </row>
    <row r="599" ht="15" customHeight="1">
      <c r="A599" t="inlineStr">
        <is>
          <t>A 12193-2023</t>
        </is>
      </c>
      <c r="B599" s="1" t="n">
        <v>44998</v>
      </c>
      <c r="C599" s="1" t="n">
        <v>45565</v>
      </c>
      <c r="D599" t="inlineStr">
        <is>
          <t>JÄMTLANDS LÄN</t>
        </is>
      </c>
      <c r="E599" t="inlineStr">
        <is>
          <t>ÅRE</t>
        </is>
      </c>
      <c r="G599" t="n">
        <v>14.7</v>
      </c>
      <c r="H599" t="n">
        <v>0</v>
      </c>
      <c r="I599" t="n">
        <v>0</v>
      </c>
      <c r="J599" t="n">
        <v>0</v>
      </c>
      <c r="K599" t="n">
        <v>0</v>
      </c>
      <c r="L599" t="n">
        <v>0</v>
      </c>
      <c r="M599" t="n">
        <v>0</v>
      </c>
      <c r="N599" t="n">
        <v>0</v>
      </c>
      <c r="O599" t="n">
        <v>0</v>
      </c>
      <c r="P599" t="n">
        <v>0</v>
      </c>
      <c r="Q599" t="n">
        <v>0</v>
      </c>
      <c r="R599" s="2" t="inlineStr"/>
    </row>
    <row r="600" ht="15" customHeight="1">
      <c r="A600" t="inlineStr">
        <is>
          <t>A 12287-2023</t>
        </is>
      </c>
      <c r="B600" s="1" t="n">
        <v>44998</v>
      </c>
      <c r="C600" s="1" t="n">
        <v>45565</v>
      </c>
      <c r="D600" t="inlineStr">
        <is>
          <t>JÄMTLANDS LÄN</t>
        </is>
      </c>
      <c r="E600" t="inlineStr">
        <is>
          <t>ÅRE</t>
        </is>
      </c>
      <c r="G600" t="n">
        <v>3.1</v>
      </c>
      <c r="H600" t="n">
        <v>0</v>
      </c>
      <c r="I600" t="n">
        <v>0</v>
      </c>
      <c r="J600" t="n">
        <v>0</v>
      </c>
      <c r="K600" t="n">
        <v>0</v>
      </c>
      <c r="L600" t="n">
        <v>0</v>
      </c>
      <c r="M600" t="n">
        <v>0</v>
      </c>
      <c r="N600" t="n">
        <v>0</v>
      </c>
      <c r="O600" t="n">
        <v>0</v>
      </c>
      <c r="P600" t="n">
        <v>0</v>
      </c>
      <c r="Q600" t="n">
        <v>0</v>
      </c>
      <c r="R600" s="2" t="inlineStr"/>
    </row>
    <row r="601" ht="15" customHeight="1">
      <c r="A601" t="inlineStr">
        <is>
          <t>A 12291-2023</t>
        </is>
      </c>
      <c r="B601" s="1" t="n">
        <v>44998</v>
      </c>
      <c r="C601" s="1" t="n">
        <v>45565</v>
      </c>
      <c r="D601" t="inlineStr">
        <is>
          <t>JÄMTLANDS LÄN</t>
        </is>
      </c>
      <c r="E601" t="inlineStr">
        <is>
          <t>ÅRE</t>
        </is>
      </c>
      <c r="G601" t="n">
        <v>6</v>
      </c>
      <c r="H601" t="n">
        <v>0</v>
      </c>
      <c r="I601" t="n">
        <v>0</v>
      </c>
      <c r="J601" t="n">
        <v>0</v>
      </c>
      <c r="K601" t="n">
        <v>0</v>
      </c>
      <c r="L601" t="n">
        <v>0</v>
      </c>
      <c r="M601" t="n">
        <v>0</v>
      </c>
      <c r="N601" t="n">
        <v>0</v>
      </c>
      <c r="O601" t="n">
        <v>0</v>
      </c>
      <c r="P601" t="n">
        <v>0</v>
      </c>
      <c r="Q601" t="n">
        <v>0</v>
      </c>
      <c r="R601" s="2" t="inlineStr"/>
    </row>
    <row r="602" ht="15" customHeight="1">
      <c r="A602" t="inlineStr">
        <is>
          <t>A 12179-2023</t>
        </is>
      </c>
      <c r="B602" s="1" t="n">
        <v>44998</v>
      </c>
      <c r="C602" s="1" t="n">
        <v>45565</v>
      </c>
      <c r="D602" t="inlineStr">
        <is>
          <t>JÄMTLANDS LÄN</t>
        </is>
      </c>
      <c r="E602" t="inlineStr">
        <is>
          <t>ÅRE</t>
        </is>
      </c>
      <c r="G602" t="n">
        <v>8.5</v>
      </c>
      <c r="H602" t="n">
        <v>0</v>
      </c>
      <c r="I602" t="n">
        <v>0</v>
      </c>
      <c r="J602" t="n">
        <v>0</v>
      </c>
      <c r="K602" t="n">
        <v>0</v>
      </c>
      <c r="L602" t="n">
        <v>0</v>
      </c>
      <c r="M602" t="n">
        <v>0</v>
      </c>
      <c r="N602" t="n">
        <v>0</v>
      </c>
      <c r="O602" t="n">
        <v>0</v>
      </c>
      <c r="P602" t="n">
        <v>0</v>
      </c>
      <c r="Q602" t="n">
        <v>0</v>
      </c>
      <c r="R602" s="2" t="inlineStr"/>
    </row>
    <row r="603" ht="15" customHeight="1">
      <c r="A603" t="inlineStr">
        <is>
          <t>A 12294-2023</t>
        </is>
      </c>
      <c r="B603" s="1" t="n">
        <v>44998</v>
      </c>
      <c r="C603" s="1" t="n">
        <v>45565</v>
      </c>
      <c r="D603" t="inlineStr">
        <is>
          <t>JÄMTLANDS LÄN</t>
        </is>
      </c>
      <c r="E603" t="inlineStr">
        <is>
          <t>ÅRE</t>
        </is>
      </c>
      <c r="G603" t="n">
        <v>1.4</v>
      </c>
      <c r="H603" t="n">
        <v>0</v>
      </c>
      <c r="I603" t="n">
        <v>0</v>
      </c>
      <c r="J603" t="n">
        <v>0</v>
      </c>
      <c r="K603" t="n">
        <v>0</v>
      </c>
      <c r="L603" t="n">
        <v>0</v>
      </c>
      <c r="M603" t="n">
        <v>0</v>
      </c>
      <c r="N603" t="n">
        <v>0</v>
      </c>
      <c r="O603" t="n">
        <v>0</v>
      </c>
      <c r="P603" t="n">
        <v>0</v>
      </c>
      <c r="Q603" t="n">
        <v>0</v>
      </c>
      <c r="R603" s="2" t="inlineStr"/>
    </row>
    <row r="604" ht="15" customHeight="1">
      <c r="A604" t="inlineStr">
        <is>
          <t>A 12663-2023</t>
        </is>
      </c>
      <c r="B604" s="1" t="n">
        <v>45000</v>
      </c>
      <c r="C604" s="1" t="n">
        <v>45565</v>
      </c>
      <c r="D604" t="inlineStr">
        <is>
          <t>JÄMTLANDS LÄN</t>
        </is>
      </c>
      <c r="E604" t="inlineStr">
        <is>
          <t>ÅRE</t>
        </is>
      </c>
      <c r="F604" t="inlineStr">
        <is>
          <t>Övriga Aktiebolag</t>
        </is>
      </c>
      <c r="G604" t="n">
        <v>5.8</v>
      </c>
      <c r="H604" t="n">
        <v>0</v>
      </c>
      <c r="I604" t="n">
        <v>0</v>
      </c>
      <c r="J604" t="n">
        <v>0</v>
      </c>
      <c r="K604" t="n">
        <v>0</v>
      </c>
      <c r="L604" t="n">
        <v>0</v>
      </c>
      <c r="M604" t="n">
        <v>0</v>
      </c>
      <c r="N604" t="n">
        <v>0</v>
      </c>
      <c r="O604" t="n">
        <v>0</v>
      </c>
      <c r="P604" t="n">
        <v>0</v>
      </c>
      <c r="Q604" t="n">
        <v>0</v>
      </c>
      <c r="R604" s="2" t="inlineStr"/>
    </row>
    <row r="605" ht="15" customHeight="1">
      <c r="A605" t="inlineStr">
        <is>
          <t>A 12669-2023</t>
        </is>
      </c>
      <c r="B605" s="1" t="n">
        <v>45000</v>
      </c>
      <c r="C605" s="1" t="n">
        <v>45565</v>
      </c>
      <c r="D605" t="inlineStr">
        <is>
          <t>JÄMTLANDS LÄN</t>
        </is>
      </c>
      <c r="E605" t="inlineStr">
        <is>
          <t>ÅRE</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12816-2023</t>
        </is>
      </c>
      <c r="B606" s="1" t="n">
        <v>45000</v>
      </c>
      <c r="C606" s="1" t="n">
        <v>45565</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13648-2023</t>
        </is>
      </c>
      <c r="B607" s="1" t="n">
        <v>45006</v>
      </c>
      <c r="C607" s="1" t="n">
        <v>45565</v>
      </c>
      <c r="D607" t="inlineStr">
        <is>
          <t>JÄMTLANDS LÄN</t>
        </is>
      </c>
      <c r="E607" t="inlineStr">
        <is>
          <t>ÅRE</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13631-2023</t>
        </is>
      </c>
      <c r="B608" s="1" t="n">
        <v>45006</v>
      </c>
      <c r="C608" s="1" t="n">
        <v>45565</v>
      </c>
      <c r="D608" t="inlineStr">
        <is>
          <t>JÄMTLANDS LÄN</t>
        </is>
      </c>
      <c r="E608" t="inlineStr">
        <is>
          <t>ÅRE</t>
        </is>
      </c>
      <c r="G608" t="n">
        <v>2</v>
      </c>
      <c r="H608" t="n">
        <v>0</v>
      </c>
      <c r="I608" t="n">
        <v>0</v>
      </c>
      <c r="J608" t="n">
        <v>0</v>
      </c>
      <c r="K608" t="n">
        <v>0</v>
      </c>
      <c r="L608" t="n">
        <v>0</v>
      </c>
      <c r="M608" t="n">
        <v>0</v>
      </c>
      <c r="N608" t="n">
        <v>0</v>
      </c>
      <c r="O608" t="n">
        <v>0</v>
      </c>
      <c r="P608" t="n">
        <v>0</v>
      </c>
      <c r="Q608" t="n">
        <v>0</v>
      </c>
      <c r="R608" s="2" t="inlineStr"/>
    </row>
    <row r="609" ht="15" customHeight="1">
      <c r="A609" t="inlineStr">
        <is>
          <t>A 13645-2023</t>
        </is>
      </c>
      <c r="B609" s="1" t="n">
        <v>45006</v>
      </c>
      <c r="C609" s="1" t="n">
        <v>45565</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15884-2023</t>
        </is>
      </c>
      <c r="B610" s="1" t="n">
        <v>45022</v>
      </c>
      <c r="C610" s="1" t="n">
        <v>45565</v>
      </c>
      <c r="D610" t="inlineStr">
        <is>
          <t>JÄMTLANDS LÄN</t>
        </is>
      </c>
      <c r="E610" t="inlineStr">
        <is>
          <t>ÅRE</t>
        </is>
      </c>
      <c r="G610" t="n">
        <v>1.5</v>
      </c>
      <c r="H610" t="n">
        <v>0</v>
      </c>
      <c r="I610" t="n">
        <v>0</v>
      </c>
      <c r="J610" t="n">
        <v>0</v>
      </c>
      <c r="K610" t="n">
        <v>0</v>
      </c>
      <c r="L610" t="n">
        <v>0</v>
      </c>
      <c r="M610" t="n">
        <v>0</v>
      </c>
      <c r="N610" t="n">
        <v>0</v>
      </c>
      <c r="O610" t="n">
        <v>0</v>
      </c>
      <c r="P610" t="n">
        <v>0</v>
      </c>
      <c r="Q610" t="n">
        <v>0</v>
      </c>
      <c r="R610" s="2" t="inlineStr"/>
    </row>
    <row r="611" ht="15" customHeight="1">
      <c r="A611" t="inlineStr">
        <is>
          <t>A 15892-2023</t>
        </is>
      </c>
      <c r="B611" s="1" t="n">
        <v>45022</v>
      </c>
      <c r="C611" s="1" t="n">
        <v>45565</v>
      </c>
      <c r="D611" t="inlineStr">
        <is>
          <t>JÄMTLANDS LÄN</t>
        </is>
      </c>
      <c r="E611" t="inlineStr">
        <is>
          <t>ÅRE</t>
        </is>
      </c>
      <c r="G611" t="n">
        <v>16.1</v>
      </c>
      <c r="H611" t="n">
        <v>0</v>
      </c>
      <c r="I611" t="n">
        <v>0</v>
      </c>
      <c r="J611" t="n">
        <v>0</v>
      </c>
      <c r="K611" t="n">
        <v>0</v>
      </c>
      <c r="L611" t="n">
        <v>0</v>
      </c>
      <c r="M611" t="n">
        <v>0</v>
      </c>
      <c r="N611" t="n">
        <v>0</v>
      </c>
      <c r="O611" t="n">
        <v>0</v>
      </c>
      <c r="P611" t="n">
        <v>0</v>
      </c>
      <c r="Q611" t="n">
        <v>0</v>
      </c>
      <c r="R611" s="2" t="inlineStr"/>
    </row>
    <row r="612" ht="15" customHeight="1">
      <c r="A612" t="inlineStr">
        <is>
          <t>A 17566-2023</t>
        </is>
      </c>
      <c r="B612" s="1" t="n">
        <v>45034</v>
      </c>
      <c r="C612" s="1" t="n">
        <v>45565</v>
      </c>
      <c r="D612" t="inlineStr">
        <is>
          <t>JÄMTLANDS LÄN</t>
        </is>
      </c>
      <c r="E612" t="inlineStr">
        <is>
          <t>ÅRE</t>
        </is>
      </c>
      <c r="G612" t="n">
        <v>4.8</v>
      </c>
      <c r="H612" t="n">
        <v>0</v>
      </c>
      <c r="I612" t="n">
        <v>0</v>
      </c>
      <c r="J612" t="n">
        <v>0</v>
      </c>
      <c r="K612" t="n">
        <v>0</v>
      </c>
      <c r="L612" t="n">
        <v>0</v>
      </c>
      <c r="M612" t="n">
        <v>0</v>
      </c>
      <c r="N612" t="n">
        <v>0</v>
      </c>
      <c r="O612" t="n">
        <v>0</v>
      </c>
      <c r="P612" t="n">
        <v>0</v>
      </c>
      <c r="Q612" t="n">
        <v>0</v>
      </c>
      <c r="R612" s="2" t="inlineStr"/>
    </row>
    <row r="613" ht="15" customHeight="1">
      <c r="A613" t="inlineStr">
        <is>
          <t>A 17636-2023</t>
        </is>
      </c>
      <c r="B613" s="1" t="n">
        <v>45036</v>
      </c>
      <c r="C613" s="1" t="n">
        <v>45565</v>
      </c>
      <c r="D613" t="inlineStr">
        <is>
          <t>JÄMTLANDS LÄN</t>
        </is>
      </c>
      <c r="E613" t="inlineStr">
        <is>
          <t>ÅRE</t>
        </is>
      </c>
      <c r="G613" t="n">
        <v>2.5</v>
      </c>
      <c r="H613" t="n">
        <v>0</v>
      </c>
      <c r="I613" t="n">
        <v>0</v>
      </c>
      <c r="J613" t="n">
        <v>0</v>
      </c>
      <c r="K613" t="n">
        <v>0</v>
      </c>
      <c r="L613" t="n">
        <v>0</v>
      </c>
      <c r="M613" t="n">
        <v>0</v>
      </c>
      <c r="N613" t="n">
        <v>0</v>
      </c>
      <c r="O613" t="n">
        <v>0</v>
      </c>
      <c r="P613" t="n">
        <v>0</v>
      </c>
      <c r="Q613" t="n">
        <v>0</v>
      </c>
      <c r="R613" s="2" t="inlineStr"/>
    </row>
    <row r="614" ht="15" customHeight="1">
      <c r="A614" t="inlineStr">
        <is>
          <t>A 17703-2023</t>
        </is>
      </c>
      <c r="B614" s="1" t="n">
        <v>45037</v>
      </c>
      <c r="C614" s="1" t="n">
        <v>45565</v>
      </c>
      <c r="D614" t="inlineStr">
        <is>
          <t>JÄMTLANDS LÄN</t>
        </is>
      </c>
      <c r="E614" t="inlineStr">
        <is>
          <t>ÅRE</t>
        </is>
      </c>
      <c r="F614" t="inlineStr">
        <is>
          <t>Övriga Aktiebolag</t>
        </is>
      </c>
      <c r="G614" t="n">
        <v>4</v>
      </c>
      <c r="H614" t="n">
        <v>0</v>
      </c>
      <c r="I614" t="n">
        <v>0</v>
      </c>
      <c r="J614" t="n">
        <v>0</v>
      </c>
      <c r="K614" t="n">
        <v>0</v>
      </c>
      <c r="L614" t="n">
        <v>0</v>
      </c>
      <c r="M614" t="n">
        <v>0</v>
      </c>
      <c r="N614" t="n">
        <v>0</v>
      </c>
      <c r="O614" t="n">
        <v>0</v>
      </c>
      <c r="P614" t="n">
        <v>0</v>
      </c>
      <c r="Q614" t="n">
        <v>0</v>
      </c>
      <c r="R614" s="2" t="inlineStr"/>
    </row>
    <row r="615" ht="15" customHeight="1">
      <c r="A615" t="inlineStr">
        <is>
          <t>A 17847-2023</t>
        </is>
      </c>
      <c r="B615" s="1" t="n">
        <v>45037</v>
      </c>
      <c r="C615" s="1" t="n">
        <v>45565</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18204-2023</t>
        </is>
      </c>
      <c r="B616" s="1" t="n">
        <v>45040</v>
      </c>
      <c r="C616" s="1" t="n">
        <v>45565</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18253-2023</t>
        </is>
      </c>
      <c r="B617" s="1" t="n">
        <v>45041</v>
      </c>
      <c r="C617" s="1" t="n">
        <v>45565</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18264-2023</t>
        </is>
      </c>
      <c r="B618" s="1" t="n">
        <v>45041</v>
      </c>
      <c r="C618" s="1" t="n">
        <v>45565</v>
      </c>
      <c r="D618" t="inlineStr">
        <is>
          <t>JÄMTLANDS LÄN</t>
        </is>
      </c>
      <c r="E618" t="inlineStr">
        <is>
          <t>ÅRE</t>
        </is>
      </c>
      <c r="G618" t="n">
        <v>0.2</v>
      </c>
      <c r="H618" t="n">
        <v>0</v>
      </c>
      <c r="I618" t="n">
        <v>0</v>
      </c>
      <c r="J618" t="n">
        <v>0</v>
      </c>
      <c r="K618" t="n">
        <v>0</v>
      </c>
      <c r="L618" t="n">
        <v>0</v>
      </c>
      <c r="M618" t="n">
        <v>0</v>
      </c>
      <c r="N618" t="n">
        <v>0</v>
      </c>
      <c r="O618" t="n">
        <v>0</v>
      </c>
      <c r="P618" t="n">
        <v>0</v>
      </c>
      <c r="Q618" t="n">
        <v>0</v>
      </c>
      <c r="R618" s="2" t="inlineStr"/>
    </row>
    <row r="619" ht="15" customHeight="1">
      <c r="A619" t="inlineStr">
        <is>
          <t>A 19694-2023</t>
        </is>
      </c>
      <c r="B619" s="1" t="n">
        <v>45051</v>
      </c>
      <c r="C619" s="1" t="n">
        <v>45565</v>
      </c>
      <c r="D619" t="inlineStr">
        <is>
          <t>JÄMTLANDS LÄN</t>
        </is>
      </c>
      <c r="E619" t="inlineStr">
        <is>
          <t>ÅRE</t>
        </is>
      </c>
      <c r="G619" t="n">
        <v>5.7</v>
      </c>
      <c r="H619" t="n">
        <v>0</v>
      </c>
      <c r="I619" t="n">
        <v>0</v>
      </c>
      <c r="J619" t="n">
        <v>0</v>
      </c>
      <c r="K619" t="n">
        <v>0</v>
      </c>
      <c r="L619" t="n">
        <v>0</v>
      </c>
      <c r="M619" t="n">
        <v>0</v>
      </c>
      <c r="N619" t="n">
        <v>0</v>
      </c>
      <c r="O619" t="n">
        <v>0</v>
      </c>
      <c r="P619" t="n">
        <v>0</v>
      </c>
      <c r="Q619" t="n">
        <v>0</v>
      </c>
      <c r="R619" s="2" t="inlineStr"/>
    </row>
    <row r="620" ht="15" customHeight="1">
      <c r="A620" t="inlineStr">
        <is>
          <t>A 19698-2023</t>
        </is>
      </c>
      <c r="B620" s="1" t="n">
        <v>45051</v>
      </c>
      <c r="C620" s="1" t="n">
        <v>45565</v>
      </c>
      <c r="D620" t="inlineStr">
        <is>
          <t>JÄMTLANDS LÄN</t>
        </is>
      </c>
      <c r="E620" t="inlineStr">
        <is>
          <t>ÅRE</t>
        </is>
      </c>
      <c r="G620" t="n">
        <v>1.4</v>
      </c>
      <c r="H620" t="n">
        <v>0</v>
      </c>
      <c r="I620" t="n">
        <v>0</v>
      </c>
      <c r="J620" t="n">
        <v>0</v>
      </c>
      <c r="K620" t="n">
        <v>0</v>
      </c>
      <c r="L620" t="n">
        <v>0</v>
      </c>
      <c r="M620" t="n">
        <v>0</v>
      </c>
      <c r="N620" t="n">
        <v>0</v>
      </c>
      <c r="O620" t="n">
        <v>0</v>
      </c>
      <c r="P620" t="n">
        <v>0</v>
      </c>
      <c r="Q620" t="n">
        <v>0</v>
      </c>
      <c r="R620" s="2" t="inlineStr"/>
    </row>
    <row r="621" ht="15" customHeight="1">
      <c r="A621" t="inlineStr">
        <is>
          <t>A 19705-2023</t>
        </is>
      </c>
      <c r="B621" s="1" t="n">
        <v>45051</v>
      </c>
      <c r="C621" s="1" t="n">
        <v>45565</v>
      </c>
      <c r="D621" t="inlineStr">
        <is>
          <t>JÄMTLANDS LÄN</t>
        </is>
      </c>
      <c r="E621" t="inlineStr">
        <is>
          <t>ÅRE</t>
        </is>
      </c>
      <c r="G621" t="n">
        <v>4.7</v>
      </c>
      <c r="H621" t="n">
        <v>0</v>
      </c>
      <c r="I621" t="n">
        <v>0</v>
      </c>
      <c r="J621" t="n">
        <v>0</v>
      </c>
      <c r="K621" t="n">
        <v>0</v>
      </c>
      <c r="L621" t="n">
        <v>0</v>
      </c>
      <c r="M621" t="n">
        <v>0</v>
      </c>
      <c r="N621" t="n">
        <v>0</v>
      </c>
      <c r="O621" t="n">
        <v>0</v>
      </c>
      <c r="P621" t="n">
        <v>0</v>
      </c>
      <c r="Q621" t="n">
        <v>0</v>
      </c>
      <c r="R621" s="2" t="inlineStr"/>
    </row>
    <row r="622" ht="15" customHeight="1">
      <c r="A622" t="inlineStr">
        <is>
          <t>A 19877-2023</t>
        </is>
      </c>
      <c r="B622" s="1" t="n">
        <v>45054</v>
      </c>
      <c r="C622" s="1" t="n">
        <v>45565</v>
      </c>
      <c r="D622" t="inlineStr">
        <is>
          <t>JÄMTLANDS LÄN</t>
        </is>
      </c>
      <c r="E622" t="inlineStr">
        <is>
          <t>ÅRE</t>
        </is>
      </c>
      <c r="G622" t="n">
        <v>6.1</v>
      </c>
      <c r="H622" t="n">
        <v>0</v>
      </c>
      <c r="I622" t="n">
        <v>0</v>
      </c>
      <c r="J622" t="n">
        <v>0</v>
      </c>
      <c r="K622" t="n">
        <v>0</v>
      </c>
      <c r="L622" t="n">
        <v>0</v>
      </c>
      <c r="M622" t="n">
        <v>0</v>
      </c>
      <c r="N622" t="n">
        <v>0</v>
      </c>
      <c r="O622" t="n">
        <v>0</v>
      </c>
      <c r="P622" t="n">
        <v>0</v>
      </c>
      <c r="Q622" t="n">
        <v>0</v>
      </c>
      <c r="R622" s="2" t="inlineStr"/>
    </row>
    <row r="623" ht="15" customHeight="1">
      <c r="A623" t="inlineStr">
        <is>
          <t>A 20278-2023</t>
        </is>
      </c>
      <c r="B623" s="1" t="n">
        <v>45056</v>
      </c>
      <c r="C623" s="1" t="n">
        <v>45565</v>
      </c>
      <c r="D623" t="inlineStr">
        <is>
          <t>JÄMTLANDS LÄN</t>
        </is>
      </c>
      <c r="E623" t="inlineStr">
        <is>
          <t>ÅRE</t>
        </is>
      </c>
      <c r="G623" t="n">
        <v>0.7</v>
      </c>
      <c r="H623" t="n">
        <v>0</v>
      </c>
      <c r="I623" t="n">
        <v>0</v>
      </c>
      <c r="J623" t="n">
        <v>0</v>
      </c>
      <c r="K623" t="n">
        <v>0</v>
      </c>
      <c r="L623" t="n">
        <v>0</v>
      </c>
      <c r="M623" t="n">
        <v>0</v>
      </c>
      <c r="N623" t="n">
        <v>0</v>
      </c>
      <c r="O623" t="n">
        <v>0</v>
      </c>
      <c r="P623" t="n">
        <v>0</v>
      </c>
      <c r="Q623" t="n">
        <v>0</v>
      </c>
      <c r="R623" s="2" t="inlineStr"/>
    </row>
    <row r="624" ht="15" customHeight="1">
      <c r="A624" t="inlineStr">
        <is>
          <t>A 23805-2023</t>
        </is>
      </c>
      <c r="B624" s="1" t="n">
        <v>45075</v>
      </c>
      <c r="C624" s="1" t="n">
        <v>45565</v>
      </c>
      <c r="D624" t="inlineStr">
        <is>
          <t>JÄMTLANDS LÄN</t>
        </is>
      </c>
      <c r="E624" t="inlineStr">
        <is>
          <t>ÅRE</t>
        </is>
      </c>
      <c r="G624" t="n">
        <v>0.9</v>
      </c>
      <c r="H624" t="n">
        <v>0</v>
      </c>
      <c r="I624" t="n">
        <v>0</v>
      </c>
      <c r="J624" t="n">
        <v>0</v>
      </c>
      <c r="K624" t="n">
        <v>0</v>
      </c>
      <c r="L624" t="n">
        <v>0</v>
      </c>
      <c r="M624" t="n">
        <v>0</v>
      </c>
      <c r="N624" t="n">
        <v>0</v>
      </c>
      <c r="O624" t="n">
        <v>0</v>
      </c>
      <c r="P624" t="n">
        <v>0</v>
      </c>
      <c r="Q624" t="n">
        <v>0</v>
      </c>
      <c r="R624" s="2" t="inlineStr"/>
    </row>
    <row r="625" ht="15" customHeight="1">
      <c r="A625" t="inlineStr">
        <is>
          <t>A 24655-2023</t>
        </is>
      </c>
      <c r="B625" s="1" t="n">
        <v>45084</v>
      </c>
      <c r="C625" s="1" t="n">
        <v>45565</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25040-2023</t>
        </is>
      </c>
      <c r="B626" s="1" t="n">
        <v>45086</v>
      </c>
      <c r="C626" s="1" t="n">
        <v>45565</v>
      </c>
      <c r="D626" t="inlineStr">
        <is>
          <t>JÄMTLANDS LÄN</t>
        </is>
      </c>
      <c r="E626" t="inlineStr">
        <is>
          <t>ÅRE</t>
        </is>
      </c>
      <c r="G626" t="n">
        <v>0.8</v>
      </c>
      <c r="H626" t="n">
        <v>0</v>
      </c>
      <c r="I626" t="n">
        <v>0</v>
      </c>
      <c r="J626" t="n">
        <v>0</v>
      </c>
      <c r="K626" t="n">
        <v>0</v>
      </c>
      <c r="L626" t="n">
        <v>0</v>
      </c>
      <c r="M626" t="n">
        <v>0</v>
      </c>
      <c r="N626" t="n">
        <v>0</v>
      </c>
      <c r="O626" t="n">
        <v>0</v>
      </c>
      <c r="P626" t="n">
        <v>0</v>
      </c>
      <c r="Q626" t="n">
        <v>0</v>
      </c>
      <c r="R626" s="2" t="inlineStr"/>
    </row>
    <row r="627" ht="15" customHeight="1">
      <c r="A627" t="inlineStr">
        <is>
          <t>A 25926-2023</t>
        </is>
      </c>
      <c r="B627" s="1" t="n">
        <v>45085</v>
      </c>
      <c r="C627" s="1" t="n">
        <v>45565</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25302-2023</t>
        </is>
      </c>
      <c r="B628" s="1" t="n">
        <v>45086</v>
      </c>
      <c r="C628" s="1" t="n">
        <v>45565</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25303-2023</t>
        </is>
      </c>
      <c r="B629" s="1" t="n">
        <v>45086</v>
      </c>
      <c r="C629" s="1" t="n">
        <v>45565</v>
      </c>
      <c r="D629" t="inlineStr">
        <is>
          <t>JÄMTLANDS LÄN</t>
        </is>
      </c>
      <c r="E629" t="inlineStr">
        <is>
          <t>ÅRE</t>
        </is>
      </c>
      <c r="G629" t="n">
        <v>0.4</v>
      </c>
      <c r="H629" t="n">
        <v>0</v>
      </c>
      <c r="I629" t="n">
        <v>0</v>
      </c>
      <c r="J629" t="n">
        <v>0</v>
      </c>
      <c r="K629" t="n">
        <v>0</v>
      </c>
      <c r="L629" t="n">
        <v>0</v>
      </c>
      <c r="M629" t="n">
        <v>0</v>
      </c>
      <c r="N629" t="n">
        <v>0</v>
      </c>
      <c r="O629" t="n">
        <v>0</v>
      </c>
      <c r="P629" t="n">
        <v>0</v>
      </c>
      <c r="Q629" t="n">
        <v>0</v>
      </c>
      <c r="R629" s="2" t="inlineStr"/>
    </row>
    <row r="630" ht="15" customHeight="1">
      <c r="A630" t="inlineStr">
        <is>
          <t>A 26032-2023</t>
        </is>
      </c>
      <c r="B630" s="1" t="n">
        <v>45091</v>
      </c>
      <c r="C630" s="1" t="n">
        <v>45565</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26033-2023</t>
        </is>
      </c>
      <c r="B631" s="1" t="n">
        <v>45091</v>
      </c>
      <c r="C631" s="1" t="n">
        <v>45565</v>
      </c>
      <c r="D631" t="inlineStr">
        <is>
          <t>JÄMTLANDS LÄN</t>
        </is>
      </c>
      <c r="E631" t="inlineStr">
        <is>
          <t>ÅRE</t>
        </is>
      </c>
      <c r="G631" t="n">
        <v>0.7</v>
      </c>
      <c r="H631" t="n">
        <v>0</v>
      </c>
      <c r="I631" t="n">
        <v>0</v>
      </c>
      <c r="J631" t="n">
        <v>0</v>
      </c>
      <c r="K631" t="n">
        <v>0</v>
      </c>
      <c r="L631" t="n">
        <v>0</v>
      </c>
      <c r="M631" t="n">
        <v>0</v>
      </c>
      <c r="N631" t="n">
        <v>0</v>
      </c>
      <c r="O631" t="n">
        <v>0</v>
      </c>
      <c r="P631" t="n">
        <v>0</v>
      </c>
      <c r="Q631" t="n">
        <v>0</v>
      </c>
      <c r="R631" s="2" t="inlineStr"/>
    </row>
    <row r="632" ht="15" customHeight="1">
      <c r="A632" t="inlineStr">
        <is>
          <t>A 26960-2023</t>
        </is>
      </c>
      <c r="B632" s="1" t="n">
        <v>45091</v>
      </c>
      <c r="C632" s="1" t="n">
        <v>45565</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29293-2023</t>
        </is>
      </c>
      <c r="B633" s="1" t="n">
        <v>45098</v>
      </c>
      <c r="C633" s="1" t="n">
        <v>45565</v>
      </c>
      <c r="D633" t="inlineStr">
        <is>
          <t>JÄMTLANDS LÄN</t>
        </is>
      </c>
      <c r="E633" t="inlineStr">
        <is>
          <t>ÅRE</t>
        </is>
      </c>
      <c r="G633" t="n">
        <v>1</v>
      </c>
      <c r="H633" t="n">
        <v>0</v>
      </c>
      <c r="I633" t="n">
        <v>0</v>
      </c>
      <c r="J633" t="n">
        <v>0</v>
      </c>
      <c r="K633" t="n">
        <v>0</v>
      </c>
      <c r="L633" t="n">
        <v>0</v>
      </c>
      <c r="M633" t="n">
        <v>0</v>
      </c>
      <c r="N633" t="n">
        <v>0</v>
      </c>
      <c r="O633" t="n">
        <v>0</v>
      </c>
      <c r="P633" t="n">
        <v>0</v>
      </c>
      <c r="Q633" t="n">
        <v>0</v>
      </c>
      <c r="R633" s="2" t="inlineStr"/>
    </row>
    <row r="634" ht="15" customHeight="1">
      <c r="A634" t="inlineStr">
        <is>
          <t>A 29295-2023</t>
        </is>
      </c>
      <c r="B634" s="1" t="n">
        <v>45098</v>
      </c>
      <c r="C634" s="1" t="n">
        <v>45565</v>
      </c>
      <c r="D634" t="inlineStr">
        <is>
          <t>JÄMTLANDS LÄN</t>
        </is>
      </c>
      <c r="E634" t="inlineStr">
        <is>
          <t>ÅRE</t>
        </is>
      </c>
      <c r="G634" t="n">
        <v>3.9</v>
      </c>
      <c r="H634" t="n">
        <v>0</v>
      </c>
      <c r="I634" t="n">
        <v>0</v>
      </c>
      <c r="J634" t="n">
        <v>0</v>
      </c>
      <c r="K634" t="n">
        <v>0</v>
      </c>
      <c r="L634" t="n">
        <v>0</v>
      </c>
      <c r="M634" t="n">
        <v>0</v>
      </c>
      <c r="N634" t="n">
        <v>0</v>
      </c>
      <c r="O634" t="n">
        <v>0</v>
      </c>
      <c r="P634" t="n">
        <v>0</v>
      </c>
      <c r="Q634" t="n">
        <v>0</v>
      </c>
      <c r="R634" s="2" t="inlineStr"/>
    </row>
    <row r="635" ht="15" customHeight="1">
      <c r="A635" t="inlineStr">
        <is>
          <t>A 29469-2023</t>
        </is>
      </c>
      <c r="B635" s="1" t="n">
        <v>45098</v>
      </c>
      <c r="C635" s="1" t="n">
        <v>45565</v>
      </c>
      <c r="D635" t="inlineStr">
        <is>
          <t>JÄMTLANDS LÄN</t>
        </is>
      </c>
      <c r="E635" t="inlineStr">
        <is>
          <t>ÅRE</t>
        </is>
      </c>
      <c r="G635" t="n">
        <v>0.6</v>
      </c>
      <c r="H635" t="n">
        <v>0</v>
      </c>
      <c r="I635" t="n">
        <v>0</v>
      </c>
      <c r="J635" t="n">
        <v>0</v>
      </c>
      <c r="K635" t="n">
        <v>0</v>
      </c>
      <c r="L635" t="n">
        <v>0</v>
      </c>
      <c r="M635" t="n">
        <v>0</v>
      </c>
      <c r="N635" t="n">
        <v>0</v>
      </c>
      <c r="O635" t="n">
        <v>0</v>
      </c>
      <c r="P635" t="n">
        <v>0</v>
      </c>
      <c r="Q635" t="n">
        <v>0</v>
      </c>
      <c r="R635" s="2" t="inlineStr"/>
    </row>
    <row r="636" ht="15" customHeight="1">
      <c r="A636" t="inlineStr">
        <is>
          <t>A 29294-2023</t>
        </is>
      </c>
      <c r="B636" s="1" t="n">
        <v>45098</v>
      </c>
      <c r="C636" s="1" t="n">
        <v>45565</v>
      </c>
      <c r="D636" t="inlineStr">
        <is>
          <t>JÄMTLANDS LÄN</t>
        </is>
      </c>
      <c r="E636" t="inlineStr">
        <is>
          <t>ÅRE</t>
        </is>
      </c>
      <c r="G636" t="n">
        <v>0.7</v>
      </c>
      <c r="H636" t="n">
        <v>0</v>
      </c>
      <c r="I636" t="n">
        <v>0</v>
      </c>
      <c r="J636" t="n">
        <v>0</v>
      </c>
      <c r="K636" t="n">
        <v>0</v>
      </c>
      <c r="L636" t="n">
        <v>0</v>
      </c>
      <c r="M636" t="n">
        <v>0</v>
      </c>
      <c r="N636" t="n">
        <v>0</v>
      </c>
      <c r="O636" t="n">
        <v>0</v>
      </c>
      <c r="P636" t="n">
        <v>0</v>
      </c>
      <c r="Q636" t="n">
        <v>0</v>
      </c>
      <c r="R636" s="2" t="inlineStr"/>
    </row>
    <row r="637" ht="15" customHeight="1">
      <c r="A637" t="inlineStr">
        <is>
          <t>A 29531-2023</t>
        </is>
      </c>
      <c r="B637" s="1" t="n">
        <v>45098</v>
      </c>
      <c r="C637" s="1" t="n">
        <v>45565</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30660-2023</t>
        </is>
      </c>
      <c r="B638" s="1" t="n">
        <v>45098</v>
      </c>
      <c r="C638" s="1" t="n">
        <v>45565</v>
      </c>
      <c r="D638" t="inlineStr">
        <is>
          <t>JÄMTLANDS LÄN</t>
        </is>
      </c>
      <c r="E638" t="inlineStr">
        <is>
          <t>ÅRE</t>
        </is>
      </c>
      <c r="G638" t="n">
        <v>1</v>
      </c>
      <c r="H638" t="n">
        <v>0</v>
      </c>
      <c r="I638" t="n">
        <v>0</v>
      </c>
      <c r="J638" t="n">
        <v>0</v>
      </c>
      <c r="K638" t="n">
        <v>0</v>
      </c>
      <c r="L638" t="n">
        <v>0</v>
      </c>
      <c r="M638" t="n">
        <v>0</v>
      </c>
      <c r="N638" t="n">
        <v>0</v>
      </c>
      <c r="O638" t="n">
        <v>0</v>
      </c>
      <c r="P638" t="n">
        <v>0</v>
      </c>
      <c r="Q638" t="n">
        <v>0</v>
      </c>
      <c r="R638" s="2" t="inlineStr"/>
    </row>
    <row r="639" ht="15" customHeight="1">
      <c r="A639" t="inlineStr">
        <is>
          <t>A 30263-2023</t>
        </is>
      </c>
      <c r="B639" s="1" t="n">
        <v>45099</v>
      </c>
      <c r="C639" s="1" t="n">
        <v>45565</v>
      </c>
      <c r="D639" t="inlineStr">
        <is>
          <t>JÄMTLANDS LÄN</t>
        </is>
      </c>
      <c r="E639" t="inlineStr">
        <is>
          <t>ÅRE</t>
        </is>
      </c>
      <c r="G639" t="n">
        <v>15.9</v>
      </c>
      <c r="H639" t="n">
        <v>0</v>
      </c>
      <c r="I639" t="n">
        <v>0</v>
      </c>
      <c r="J639" t="n">
        <v>0</v>
      </c>
      <c r="K639" t="n">
        <v>0</v>
      </c>
      <c r="L639" t="n">
        <v>0</v>
      </c>
      <c r="M639" t="n">
        <v>0</v>
      </c>
      <c r="N639" t="n">
        <v>0</v>
      </c>
      <c r="O639" t="n">
        <v>0</v>
      </c>
      <c r="P639" t="n">
        <v>0</v>
      </c>
      <c r="Q639" t="n">
        <v>0</v>
      </c>
      <c r="R639" s="2" t="inlineStr"/>
    </row>
    <row r="640" ht="15" customHeight="1">
      <c r="A640" t="inlineStr">
        <is>
          <t>A 33774-2023</t>
        </is>
      </c>
      <c r="B640" s="1" t="n">
        <v>45120</v>
      </c>
      <c r="C640" s="1" t="n">
        <v>45565</v>
      </c>
      <c r="D640" t="inlineStr">
        <is>
          <t>JÄMTLANDS LÄN</t>
        </is>
      </c>
      <c r="E640" t="inlineStr">
        <is>
          <t>ÅRE</t>
        </is>
      </c>
      <c r="G640" t="n">
        <v>2.1</v>
      </c>
      <c r="H640" t="n">
        <v>0</v>
      </c>
      <c r="I640" t="n">
        <v>0</v>
      </c>
      <c r="J640" t="n">
        <v>0</v>
      </c>
      <c r="K640" t="n">
        <v>0</v>
      </c>
      <c r="L640" t="n">
        <v>0</v>
      </c>
      <c r="M640" t="n">
        <v>0</v>
      </c>
      <c r="N640" t="n">
        <v>0</v>
      </c>
      <c r="O640" t="n">
        <v>0</v>
      </c>
      <c r="P640" t="n">
        <v>0</v>
      </c>
      <c r="Q640" t="n">
        <v>0</v>
      </c>
      <c r="R640" s="2" t="inlineStr"/>
    </row>
    <row r="641" ht="15" customHeight="1">
      <c r="A641" t="inlineStr">
        <is>
          <t>A 33117-2023</t>
        </is>
      </c>
      <c r="B641" s="1" t="n">
        <v>45126</v>
      </c>
      <c r="C641" s="1" t="n">
        <v>45565</v>
      </c>
      <c r="D641" t="inlineStr">
        <is>
          <t>JÄMTLANDS LÄN</t>
        </is>
      </c>
      <c r="E641" t="inlineStr">
        <is>
          <t>ÅRE</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33123-2023</t>
        </is>
      </c>
      <c r="B642" s="1" t="n">
        <v>45126</v>
      </c>
      <c r="C642" s="1" t="n">
        <v>45565</v>
      </c>
      <c r="D642" t="inlineStr">
        <is>
          <t>JÄMTLANDS LÄN</t>
        </is>
      </c>
      <c r="E642" t="inlineStr">
        <is>
          <t>ÅRE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33121-2023</t>
        </is>
      </c>
      <c r="B643" s="1" t="n">
        <v>45126</v>
      </c>
      <c r="C643" s="1" t="n">
        <v>45565</v>
      </c>
      <c r="D643" t="inlineStr">
        <is>
          <t>JÄMTLANDS LÄN</t>
        </is>
      </c>
      <c r="E643" t="inlineStr">
        <is>
          <t>ÅRE</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34231-2023</t>
        </is>
      </c>
      <c r="B644" s="1" t="n">
        <v>45127</v>
      </c>
      <c r="C644" s="1" t="n">
        <v>45565</v>
      </c>
      <c r="D644" t="inlineStr">
        <is>
          <t>JÄMTLANDS LÄN</t>
        </is>
      </c>
      <c r="E644" t="inlineStr">
        <is>
          <t>ÅRE</t>
        </is>
      </c>
      <c r="G644" t="n">
        <v>18.3</v>
      </c>
      <c r="H644" t="n">
        <v>0</v>
      </c>
      <c r="I644" t="n">
        <v>0</v>
      </c>
      <c r="J644" t="n">
        <v>0</v>
      </c>
      <c r="K644" t="n">
        <v>0</v>
      </c>
      <c r="L644" t="n">
        <v>0</v>
      </c>
      <c r="M644" t="n">
        <v>0</v>
      </c>
      <c r="N644" t="n">
        <v>0</v>
      </c>
      <c r="O644" t="n">
        <v>0</v>
      </c>
      <c r="P644" t="n">
        <v>0</v>
      </c>
      <c r="Q644" t="n">
        <v>0</v>
      </c>
      <c r="R644" s="2" t="inlineStr"/>
    </row>
    <row r="645" ht="15" customHeight="1">
      <c r="A645" t="inlineStr">
        <is>
          <t>A 34538-2023</t>
        </is>
      </c>
      <c r="B645" s="1" t="n">
        <v>45134</v>
      </c>
      <c r="C645" s="1" t="n">
        <v>45565</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36048-2023</t>
        </is>
      </c>
      <c r="B646" s="1" t="n">
        <v>45149</v>
      </c>
      <c r="C646" s="1" t="n">
        <v>45565</v>
      </c>
      <c r="D646" t="inlineStr">
        <is>
          <t>JÄMTLANDS LÄN</t>
        </is>
      </c>
      <c r="E646" t="inlineStr">
        <is>
          <t>ÅRE</t>
        </is>
      </c>
      <c r="G646" t="n">
        <v>11.4</v>
      </c>
      <c r="H646" t="n">
        <v>0</v>
      </c>
      <c r="I646" t="n">
        <v>0</v>
      </c>
      <c r="J646" t="n">
        <v>0</v>
      </c>
      <c r="K646" t="n">
        <v>0</v>
      </c>
      <c r="L646" t="n">
        <v>0</v>
      </c>
      <c r="M646" t="n">
        <v>0</v>
      </c>
      <c r="N646" t="n">
        <v>0</v>
      </c>
      <c r="O646" t="n">
        <v>0</v>
      </c>
      <c r="P646" t="n">
        <v>0</v>
      </c>
      <c r="Q646" t="n">
        <v>0</v>
      </c>
      <c r="R646" s="2" t="inlineStr"/>
    </row>
    <row r="647" ht="15" customHeight="1">
      <c r="A647" t="inlineStr">
        <is>
          <t>A 36234-2023</t>
        </is>
      </c>
      <c r="B647" s="1" t="n">
        <v>45150</v>
      </c>
      <c r="C647" s="1" t="n">
        <v>45565</v>
      </c>
      <c r="D647" t="inlineStr">
        <is>
          <t>JÄMTLANDS LÄN</t>
        </is>
      </c>
      <c r="E647" t="inlineStr">
        <is>
          <t>ÅRE</t>
        </is>
      </c>
      <c r="G647" t="n">
        <v>0.9</v>
      </c>
      <c r="H647" t="n">
        <v>0</v>
      </c>
      <c r="I647" t="n">
        <v>0</v>
      </c>
      <c r="J647" t="n">
        <v>0</v>
      </c>
      <c r="K647" t="n">
        <v>0</v>
      </c>
      <c r="L647" t="n">
        <v>0</v>
      </c>
      <c r="M647" t="n">
        <v>0</v>
      </c>
      <c r="N647" t="n">
        <v>0</v>
      </c>
      <c r="O647" t="n">
        <v>0</v>
      </c>
      <c r="P647" t="n">
        <v>0</v>
      </c>
      <c r="Q647" t="n">
        <v>0</v>
      </c>
      <c r="R647" s="2" t="inlineStr"/>
    </row>
    <row r="648" ht="15" customHeight="1">
      <c r="A648" t="inlineStr">
        <is>
          <t>A 36235-2023</t>
        </is>
      </c>
      <c r="B648" s="1" t="n">
        <v>45150</v>
      </c>
      <c r="C648" s="1" t="n">
        <v>45565</v>
      </c>
      <c r="D648" t="inlineStr">
        <is>
          <t>JÄMTLANDS LÄN</t>
        </is>
      </c>
      <c r="E648" t="inlineStr">
        <is>
          <t>ÅRE</t>
        </is>
      </c>
      <c r="G648" t="n">
        <v>4.4</v>
      </c>
      <c r="H648" t="n">
        <v>0</v>
      </c>
      <c r="I648" t="n">
        <v>0</v>
      </c>
      <c r="J648" t="n">
        <v>0</v>
      </c>
      <c r="K648" t="n">
        <v>0</v>
      </c>
      <c r="L648" t="n">
        <v>0</v>
      </c>
      <c r="M648" t="n">
        <v>0</v>
      </c>
      <c r="N648" t="n">
        <v>0</v>
      </c>
      <c r="O648" t="n">
        <v>0</v>
      </c>
      <c r="P648" t="n">
        <v>0</v>
      </c>
      <c r="Q648" t="n">
        <v>0</v>
      </c>
      <c r="R648" s="2" t="inlineStr"/>
    </row>
    <row r="649" ht="15" customHeight="1">
      <c r="A649" t="inlineStr">
        <is>
          <t>A 37729-2023</t>
        </is>
      </c>
      <c r="B649" s="1" t="n">
        <v>45159</v>
      </c>
      <c r="C649" s="1" t="n">
        <v>45565</v>
      </c>
      <c r="D649" t="inlineStr">
        <is>
          <t>JÄMTLANDS LÄN</t>
        </is>
      </c>
      <c r="E649" t="inlineStr">
        <is>
          <t>ÅRE</t>
        </is>
      </c>
      <c r="G649" t="n">
        <v>2.4</v>
      </c>
      <c r="H649" t="n">
        <v>0</v>
      </c>
      <c r="I649" t="n">
        <v>0</v>
      </c>
      <c r="J649" t="n">
        <v>0</v>
      </c>
      <c r="K649" t="n">
        <v>0</v>
      </c>
      <c r="L649" t="n">
        <v>0</v>
      </c>
      <c r="M649" t="n">
        <v>0</v>
      </c>
      <c r="N649" t="n">
        <v>0</v>
      </c>
      <c r="O649" t="n">
        <v>0</v>
      </c>
      <c r="P649" t="n">
        <v>0</v>
      </c>
      <c r="Q649" t="n">
        <v>0</v>
      </c>
      <c r="R649" s="2" t="inlineStr"/>
    </row>
    <row r="650" ht="15" customHeight="1">
      <c r="A650" t="inlineStr">
        <is>
          <t>A 37734-2023</t>
        </is>
      </c>
      <c r="B650" s="1" t="n">
        <v>45159</v>
      </c>
      <c r="C650" s="1" t="n">
        <v>45565</v>
      </c>
      <c r="D650" t="inlineStr">
        <is>
          <t>JÄMTLANDS LÄN</t>
        </is>
      </c>
      <c r="E650" t="inlineStr">
        <is>
          <t>ÅRE</t>
        </is>
      </c>
      <c r="G650" t="n">
        <v>3.4</v>
      </c>
      <c r="H650" t="n">
        <v>0</v>
      </c>
      <c r="I650" t="n">
        <v>0</v>
      </c>
      <c r="J650" t="n">
        <v>0</v>
      </c>
      <c r="K650" t="n">
        <v>0</v>
      </c>
      <c r="L650" t="n">
        <v>0</v>
      </c>
      <c r="M650" t="n">
        <v>0</v>
      </c>
      <c r="N650" t="n">
        <v>0</v>
      </c>
      <c r="O650" t="n">
        <v>0</v>
      </c>
      <c r="P650" t="n">
        <v>0</v>
      </c>
      <c r="Q650" t="n">
        <v>0</v>
      </c>
      <c r="R650" s="2" t="inlineStr"/>
    </row>
    <row r="651" ht="15" customHeight="1">
      <c r="A651" t="inlineStr">
        <is>
          <t>A 37739-2023</t>
        </is>
      </c>
      <c r="B651" s="1" t="n">
        <v>45159</v>
      </c>
      <c r="C651" s="1" t="n">
        <v>45565</v>
      </c>
      <c r="D651" t="inlineStr">
        <is>
          <t>JÄMTLANDS LÄN</t>
        </is>
      </c>
      <c r="E651" t="inlineStr">
        <is>
          <t>ÅRE</t>
        </is>
      </c>
      <c r="G651" t="n">
        <v>1.1</v>
      </c>
      <c r="H651" t="n">
        <v>0</v>
      </c>
      <c r="I651" t="n">
        <v>0</v>
      </c>
      <c r="J651" t="n">
        <v>0</v>
      </c>
      <c r="K651" t="n">
        <v>0</v>
      </c>
      <c r="L651" t="n">
        <v>0</v>
      </c>
      <c r="M651" t="n">
        <v>0</v>
      </c>
      <c r="N651" t="n">
        <v>0</v>
      </c>
      <c r="O651" t="n">
        <v>0</v>
      </c>
      <c r="P651" t="n">
        <v>0</v>
      </c>
      <c r="Q651" t="n">
        <v>0</v>
      </c>
      <c r="R651" s="2" t="inlineStr"/>
    </row>
    <row r="652" ht="15" customHeight="1">
      <c r="A652" t="inlineStr">
        <is>
          <t>A 37758-2023</t>
        </is>
      </c>
      <c r="B652" s="1" t="n">
        <v>45159</v>
      </c>
      <c r="C652" s="1" t="n">
        <v>45565</v>
      </c>
      <c r="D652" t="inlineStr">
        <is>
          <t>JÄMTLANDS LÄN</t>
        </is>
      </c>
      <c r="E652" t="inlineStr">
        <is>
          <t>ÅRE</t>
        </is>
      </c>
      <c r="G652" t="n">
        <v>20.1</v>
      </c>
      <c r="H652" t="n">
        <v>0</v>
      </c>
      <c r="I652" t="n">
        <v>0</v>
      </c>
      <c r="J652" t="n">
        <v>0</v>
      </c>
      <c r="K652" t="n">
        <v>0</v>
      </c>
      <c r="L652" t="n">
        <v>0</v>
      </c>
      <c r="M652" t="n">
        <v>0</v>
      </c>
      <c r="N652" t="n">
        <v>0</v>
      </c>
      <c r="O652" t="n">
        <v>0</v>
      </c>
      <c r="P652" t="n">
        <v>0</v>
      </c>
      <c r="Q652" t="n">
        <v>0</v>
      </c>
      <c r="R652" s="2" t="inlineStr"/>
    </row>
    <row r="653" ht="15" customHeight="1">
      <c r="A653" t="inlineStr">
        <is>
          <t>A 40143-2023</t>
        </is>
      </c>
      <c r="B653" s="1" t="n">
        <v>45169</v>
      </c>
      <c r="C653" s="1" t="n">
        <v>45565</v>
      </c>
      <c r="D653" t="inlineStr">
        <is>
          <t>JÄMTLANDS LÄN</t>
        </is>
      </c>
      <c r="E653" t="inlineStr">
        <is>
          <t>ÅRE</t>
        </is>
      </c>
      <c r="G653" t="n">
        <v>8</v>
      </c>
      <c r="H653" t="n">
        <v>0</v>
      </c>
      <c r="I653" t="n">
        <v>0</v>
      </c>
      <c r="J653" t="n">
        <v>0</v>
      </c>
      <c r="K653" t="n">
        <v>0</v>
      </c>
      <c r="L653" t="n">
        <v>0</v>
      </c>
      <c r="M653" t="n">
        <v>0</v>
      </c>
      <c r="N653" t="n">
        <v>0</v>
      </c>
      <c r="O653" t="n">
        <v>0</v>
      </c>
      <c r="P653" t="n">
        <v>0</v>
      </c>
      <c r="Q653" t="n">
        <v>0</v>
      </c>
      <c r="R653" s="2" t="inlineStr"/>
    </row>
    <row r="654" ht="15" customHeight="1">
      <c r="A654" t="inlineStr">
        <is>
          <t>A 40323-2023</t>
        </is>
      </c>
      <c r="B654" s="1" t="n">
        <v>45169</v>
      </c>
      <c r="C654" s="1" t="n">
        <v>45565</v>
      </c>
      <c r="D654" t="inlineStr">
        <is>
          <t>JÄMTLANDS LÄN</t>
        </is>
      </c>
      <c r="E654" t="inlineStr">
        <is>
          <t>ÅRE</t>
        </is>
      </c>
      <c r="G654" t="n">
        <v>5.1</v>
      </c>
      <c r="H654" t="n">
        <v>0</v>
      </c>
      <c r="I654" t="n">
        <v>0</v>
      </c>
      <c r="J654" t="n">
        <v>0</v>
      </c>
      <c r="K654" t="n">
        <v>0</v>
      </c>
      <c r="L654" t="n">
        <v>0</v>
      </c>
      <c r="M654" t="n">
        <v>0</v>
      </c>
      <c r="N654" t="n">
        <v>0</v>
      </c>
      <c r="O654" t="n">
        <v>0</v>
      </c>
      <c r="P654" t="n">
        <v>0</v>
      </c>
      <c r="Q654" t="n">
        <v>0</v>
      </c>
      <c r="R654" s="2" t="inlineStr"/>
    </row>
    <row r="655" ht="15" customHeight="1">
      <c r="A655" t="inlineStr">
        <is>
          <t>A 42626-2023</t>
        </is>
      </c>
      <c r="B655" s="1" t="n">
        <v>45181</v>
      </c>
      <c r="C655" s="1" t="n">
        <v>45565</v>
      </c>
      <c r="D655" t="inlineStr">
        <is>
          <t>JÄMTLANDS LÄN</t>
        </is>
      </c>
      <c r="E655" t="inlineStr">
        <is>
          <t>ÅRE</t>
        </is>
      </c>
      <c r="G655" t="n">
        <v>2.4</v>
      </c>
      <c r="H655" t="n">
        <v>0</v>
      </c>
      <c r="I655" t="n">
        <v>0</v>
      </c>
      <c r="J655" t="n">
        <v>0</v>
      </c>
      <c r="K655" t="n">
        <v>0</v>
      </c>
      <c r="L655" t="n">
        <v>0</v>
      </c>
      <c r="M655" t="n">
        <v>0</v>
      </c>
      <c r="N655" t="n">
        <v>0</v>
      </c>
      <c r="O655" t="n">
        <v>0</v>
      </c>
      <c r="P655" t="n">
        <v>0</v>
      </c>
      <c r="Q655" t="n">
        <v>0</v>
      </c>
      <c r="R655" s="2" t="inlineStr"/>
    </row>
    <row r="656" ht="15" customHeight="1">
      <c r="A656" t="inlineStr">
        <is>
          <t>A 43103-2023</t>
        </is>
      </c>
      <c r="B656" s="1" t="n">
        <v>45183</v>
      </c>
      <c r="C656" s="1" t="n">
        <v>45565</v>
      </c>
      <c r="D656" t="inlineStr">
        <is>
          <t>JÄMTLANDS LÄN</t>
        </is>
      </c>
      <c r="E656" t="inlineStr">
        <is>
          <t>ÅRE</t>
        </is>
      </c>
      <c r="G656" t="n">
        <v>7.2</v>
      </c>
      <c r="H656" t="n">
        <v>0</v>
      </c>
      <c r="I656" t="n">
        <v>0</v>
      </c>
      <c r="J656" t="n">
        <v>0</v>
      </c>
      <c r="K656" t="n">
        <v>0</v>
      </c>
      <c r="L656" t="n">
        <v>0</v>
      </c>
      <c r="M656" t="n">
        <v>0</v>
      </c>
      <c r="N656" t="n">
        <v>0</v>
      </c>
      <c r="O656" t="n">
        <v>0</v>
      </c>
      <c r="P656" t="n">
        <v>0</v>
      </c>
      <c r="Q656" t="n">
        <v>0</v>
      </c>
      <c r="R656" s="2" t="inlineStr"/>
    </row>
    <row r="657" ht="15" customHeight="1">
      <c r="A657" t="inlineStr">
        <is>
          <t>A 43446-2023</t>
        </is>
      </c>
      <c r="B657" s="1" t="n">
        <v>45184</v>
      </c>
      <c r="C657" s="1" t="n">
        <v>45565</v>
      </c>
      <c r="D657" t="inlineStr">
        <is>
          <t>JÄMTLANDS LÄN</t>
        </is>
      </c>
      <c r="E657" t="inlineStr">
        <is>
          <t>ÅRE</t>
        </is>
      </c>
      <c r="F657" t="inlineStr">
        <is>
          <t>Övriga Aktiebolag</t>
        </is>
      </c>
      <c r="G657" t="n">
        <v>6.4</v>
      </c>
      <c r="H657" t="n">
        <v>0</v>
      </c>
      <c r="I657" t="n">
        <v>0</v>
      </c>
      <c r="J657" t="n">
        <v>0</v>
      </c>
      <c r="K657" t="n">
        <v>0</v>
      </c>
      <c r="L657" t="n">
        <v>0</v>
      </c>
      <c r="M657" t="n">
        <v>0</v>
      </c>
      <c r="N657" t="n">
        <v>0</v>
      </c>
      <c r="O657" t="n">
        <v>0</v>
      </c>
      <c r="P657" t="n">
        <v>0</v>
      </c>
      <c r="Q657" t="n">
        <v>0</v>
      </c>
      <c r="R657" s="2" t="inlineStr"/>
    </row>
    <row r="658" ht="15" customHeight="1">
      <c r="A658" t="inlineStr">
        <is>
          <t>A 43449-2023</t>
        </is>
      </c>
      <c r="B658" s="1" t="n">
        <v>45184</v>
      </c>
      <c r="C658" s="1" t="n">
        <v>45565</v>
      </c>
      <c r="D658" t="inlineStr">
        <is>
          <t>JÄMTLANDS LÄN</t>
        </is>
      </c>
      <c r="E658" t="inlineStr">
        <is>
          <t>ÅRE</t>
        </is>
      </c>
      <c r="F658" t="inlineStr">
        <is>
          <t>Övriga Aktiebolag</t>
        </is>
      </c>
      <c r="G658" t="n">
        <v>3.1</v>
      </c>
      <c r="H658" t="n">
        <v>0</v>
      </c>
      <c r="I658" t="n">
        <v>0</v>
      </c>
      <c r="J658" t="n">
        <v>0</v>
      </c>
      <c r="K658" t="n">
        <v>0</v>
      </c>
      <c r="L658" t="n">
        <v>0</v>
      </c>
      <c r="M658" t="n">
        <v>0</v>
      </c>
      <c r="N658" t="n">
        <v>0</v>
      </c>
      <c r="O658" t="n">
        <v>0</v>
      </c>
      <c r="P658" t="n">
        <v>0</v>
      </c>
      <c r="Q658" t="n">
        <v>0</v>
      </c>
      <c r="R658" s="2" t="inlineStr"/>
    </row>
    <row r="659" ht="15" customHeight="1">
      <c r="A659" t="inlineStr">
        <is>
          <t>A 43456-2023</t>
        </is>
      </c>
      <c r="B659" s="1" t="n">
        <v>45184</v>
      </c>
      <c r="C659" s="1" t="n">
        <v>45565</v>
      </c>
      <c r="D659" t="inlineStr">
        <is>
          <t>JÄMTLANDS LÄN</t>
        </is>
      </c>
      <c r="E659" t="inlineStr">
        <is>
          <t>ÅRE</t>
        </is>
      </c>
      <c r="F659" t="inlineStr">
        <is>
          <t>Övriga Aktiebolag</t>
        </is>
      </c>
      <c r="G659" t="n">
        <v>8.9</v>
      </c>
      <c r="H659" t="n">
        <v>0</v>
      </c>
      <c r="I659" t="n">
        <v>0</v>
      </c>
      <c r="J659" t="n">
        <v>0</v>
      </c>
      <c r="K659" t="n">
        <v>0</v>
      </c>
      <c r="L659" t="n">
        <v>0</v>
      </c>
      <c r="M659" t="n">
        <v>0</v>
      </c>
      <c r="N659" t="n">
        <v>0</v>
      </c>
      <c r="O659" t="n">
        <v>0</v>
      </c>
      <c r="P659" t="n">
        <v>0</v>
      </c>
      <c r="Q659" t="n">
        <v>0</v>
      </c>
      <c r="R659" s="2" t="inlineStr"/>
    </row>
    <row r="660" ht="15" customHeight="1">
      <c r="A660" t="inlineStr">
        <is>
          <t>A 44512-2023</t>
        </is>
      </c>
      <c r="B660" s="1" t="n">
        <v>45184</v>
      </c>
      <c r="C660" s="1" t="n">
        <v>45565</v>
      </c>
      <c r="D660" t="inlineStr">
        <is>
          <t>JÄMTLANDS LÄN</t>
        </is>
      </c>
      <c r="E660" t="inlineStr">
        <is>
          <t>ÅRE</t>
        </is>
      </c>
      <c r="G660" t="n">
        <v>12.5</v>
      </c>
      <c r="H660" t="n">
        <v>0</v>
      </c>
      <c r="I660" t="n">
        <v>0</v>
      </c>
      <c r="J660" t="n">
        <v>0</v>
      </c>
      <c r="K660" t="n">
        <v>0</v>
      </c>
      <c r="L660" t="n">
        <v>0</v>
      </c>
      <c r="M660" t="n">
        <v>0</v>
      </c>
      <c r="N660" t="n">
        <v>0</v>
      </c>
      <c r="O660" t="n">
        <v>0</v>
      </c>
      <c r="P660" t="n">
        <v>0</v>
      </c>
      <c r="Q660" t="n">
        <v>0</v>
      </c>
      <c r="R660" s="2" t="inlineStr"/>
    </row>
    <row r="661" ht="15" customHeight="1">
      <c r="A661" t="inlineStr">
        <is>
          <t>A 45242-2023</t>
        </is>
      </c>
      <c r="B661" s="1" t="n">
        <v>45187</v>
      </c>
      <c r="C661" s="1" t="n">
        <v>45565</v>
      </c>
      <c r="D661" t="inlineStr">
        <is>
          <t>JÄMTLANDS LÄN</t>
        </is>
      </c>
      <c r="E661" t="inlineStr">
        <is>
          <t>ÅRE</t>
        </is>
      </c>
      <c r="G661" t="n">
        <v>2.9</v>
      </c>
      <c r="H661" t="n">
        <v>0</v>
      </c>
      <c r="I661" t="n">
        <v>0</v>
      </c>
      <c r="J661" t="n">
        <v>0</v>
      </c>
      <c r="K661" t="n">
        <v>0</v>
      </c>
      <c r="L661" t="n">
        <v>0</v>
      </c>
      <c r="M661" t="n">
        <v>0</v>
      </c>
      <c r="N661" t="n">
        <v>0</v>
      </c>
      <c r="O661" t="n">
        <v>0</v>
      </c>
      <c r="P661" t="n">
        <v>0</v>
      </c>
      <c r="Q661" t="n">
        <v>0</v>
      </c>
      <c r="R661" s="2" t="inlineStr"/>
    </row>
    <row r="662" ht="15" customHeight="1">
      <c r="A662" t="inlineStr">
        <is>
          <t>A 44889-2023</t>
        </is>
      </c>
      <c r="B662" s="1" t="n">
        <v>45190</v>
      </c>
      <c r="C662" s="1" t="n">
        <v>45565</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44898-2023</t>
        </is>
      </c>
      <c r="B663" s="1" t="n">
        <v>45190</v>
      </c>
      <c r="C663" s="1" t="n">
        <v>45565</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46510-2023</t>
        </is>
      </c>
      <c r="B664" s="1" t="n">
        <v>45197</v>
      </c>
      <c r="C664" s="1" t="n">
        <v>45565</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47698-2023</t>
        </is>
      </c>
      <c r="B665" s="1" t="n">
        <v>45203</v>
      </c>
      <c r="C665" s="1" t="n">
        <v>45565</v>
      </c>
      <c r="D665" t="inlineStr">
        <is>
          <t>JÄMTLANDS LÄN</t>
        </is>
      </c>
      <c r="E665" t="inlineStr">
        <is>
          <t>ÅRE</t>
        </is>
      </c>
      <c r="G665" t="n">
        <v>12</v>
      </c>
      <c r="H665" t="n">
        <v>0</v>
      </c>
      <c r="I665" t="n">
        <v>0</v>
      </c>
      <c r="J665" t="n">
        <v>0</v>
      </c>
      <c r="K665" t="n">
        <v>0</v>
      </c>
      <c r="L665" t="n">
        <v>0</v>
      </c>
      <c r="M665" t="n">
        <v>0</v>
      </c>
      <c r="N665" t="n">
        <v>0</v>
      </c>
      <c r="O665" t="n">
        <v>0</v>
      </c>
      <c r="P665" t="n">
        <v>0</v>
      </c>
      <c r="Q665" t="n">
        <v>0</v>
      </c>
      <c r="R665" s="2" t="inlineStr"/>
    </row>
    <row r="666" ht="15" customHeight="1">
      <c r="A666" t="inlineStr">
        <is>
          <t>A 48599-2023</t>
        </is>
      </c>
      <c r="B666" s="1" t="n">
        <v>45208</v>
      </c>
      <c r="C666" s="1" t="n">
        <v>45565</v>
      </c>
      <c r="D666" t="inlineStr">
        <is>
          <t>JÄMTLANDS LÄN</t>
        </is>
      </c>
      <c r="E666" t="inlineStr">
        <is>
          <t>ÅRE</t>
        </is>
      </c>
      <c r="G666" t="n">
        <v>1.1</v>
      </c>
      <c r="H666" t="n">
        <v>0</v>
      </c>
      <c r="I666" t="n">
        <v>0</v>
      </c>
      <c r="J666" t="n">
        <v>0</v>
      </c>
      <c r="K666" t="n">
        <v>0</v>
      </c>
      <c r="L666" t="n">
        <v>0</v>
      </c>
      <c r="M666" t="n">
        <v>0</v>
      </c>
      <c r="N666" t="n">
        <v>0</v>
      </c>
      <c r="O666" t="n">
        <v>0</v>
      </c>
      <c r="P666" t="n">
        <v>0</v>
      </c>
      <c r="Q666" t="n">
        <v>0</v>
      </c>
      <c r="R666" s="2" t="inlineStr"/>
    </row>
    <row r="667" ht="15" customHeight="1">
      <c r="A667" t="inlineStr">
        <is>
          <t>A 52169-2023</t>
        </is>
      </c>
      <c r="B667" s="1" t="n">
        <v>45212</v>
      </c>
      <c r="C667" s="1" t="n">
        <v>45565</v>
      </c>
      <c r="D667" t="inlineStr">
        <is>
          <t>JÄMTLANDS LÄN</t>
        </is>
      </c>
      <c r="E667" t="inlineStr">
        <is>
          <t>ÅRE</t>
        </is>
      </c>
      <c r="F667" t="inlineStr">
        <is>
          <t>Övriga statliga verk och myndigheter</t>
        </is>
      </c>
      <c r="G667" t="n">
        <v>28.1</v>
      </c>
      <c r="H667" t="n">
        <v>0</v>
      </c>
      <c r="I667" t="n">
        <v>0</v>
      </c>
      <c r="J667" t="n">
        <v>0</v>
      </c>
      <c r="K667" t="n">
        <v>0</v>
      </c>
      <c r="L667" t="n">
        <v>0</v>
      </c>
      <c r="M667" t="n">
        <v>0</v>
      </c>
      <c r="N667" t="n">
        <v>0</v>
      </c>
      <c r="O667" t="n">
        <v>0</v>
      </c>
      <c r="P667" t="n">
        <v>0</v>
      </c>
      <c r="Q667" t="n">
        <v>0</v>
      </c>
      <c r="R667" s="2" t="inlineStr"/>
    </row>
    <row r="668" ht="15" customHeight="1">
      <c r="A668" t="inlineStr">
        <is>
          <t>A 50843-2023</t>
        </is>
      </c>
      <c r="B668" s="1" t="n">
        <v>45218</v>
      </c>
      <c r="C668" s="1" t="n">
        <v>45565</v>
      </c>
      <c r="D668" t="inlineStr">
        <is>
          <t>JÄMTLANDS LÄN</t>
        </is>
      </c>
      <c r="E668" t="inlineStr">
        <is>
          <t>ÅRE</t>
        </is>
      </c>
      <c r="G668" t="n">
        <v>3.7</v>
      </c>
      <c r="H668" t="n">
        <v>0</v>
      </c>
      <c r="I668" t="n">
        <v>0</v>
      </c>
      <c r="J668" t="n">
        <v>0</v>
      </c>
      <c r="K668" t="n">
        <v>0</v>
      </c>
      <c r="L668" t="n">
        <v>0</v>
      </c>
      <c r="M668" t="n">
        <v>0</v>
      </c>
      <c r="N668" t="n">
        <v>0</v>
      </c>
      <c r="O668" t="n">
        <v>0</v>
      </c>
      <c r="P668" t="n">
        <v>0</v>
      </c>
      <c r="Q668" t="n">
        <v>0</v>
      </c>
      <c r="R668" s="2" t="inlineStr"/>
    </row>
    <row r="669" ht="15" customHeight="1">
      <c r="A669" t="inlineStr">
        <is>
          <t>A 50951-2023</t>
        </is>
      </c>
      <c r="B669" s="1" t="n">
        <v>45218</v>
      </c>
      <c r="C669" s="1" t="n">
        <v>45565</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51317-2023</t>
        </is>
      </c>
      <c r="B670" s="1" t="n">
        <v>45219</v>
      </c>
      <c r="C670" s="1" t="n">
        <v>45565</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51271-2023</t>
        </is>
      </c>
      <c r="B671" s="1" t="n">
        <v>45219</v>
      </c>
      <c r="C671" s="1" t="n">
        <v>45565</v>
      </c>
      <c r="D671" t="inlineStr">
        <is>
          <t>JÄMTLANDS LÄN</t>
        </is>
      </c>
      <c r="E671" t="inlineStr">
        <is>
          <t>ÅRE</t>
        </is>
      </c>
      <c r="G671" t="n">
        <v>4.8</v>
      </c>
      <c r="H671" t="n">
        <v>0</v>
      </c>
      <c r="I671" t="n">
        <v>0</v>
      </c>
      <c r="J671" t="n">
        <v>0</v>
      </c>
      <c r="K671" t="n">
        <v>0</v>
      </c>
      <c r="L671" t="n">
        <v>0</v>
      </c>
      <c r="M671" t="n">
        <v>0</v>
      </c>
      <c r="N671" t="n">
        <v>0</v>
      </c>
      <c r="O671" t="n">
        <v>0</v>
      </c>
      <c r="P671" t="n">
        <v>0</v>
      </c>
      <c r="Q671" t="n">
        <v>0</v>
      </c>
      <c r="R671" s="2" t="inlineStr"/>
    </row>
    <row r="672" ht="15" customHeight="1">
      <c r="A672" t="inlineStr">
        <is>
          <t>A 51311-2023</t>
        </is>
      </c>
      <c r="B672" s="1" t="n">
        <v>45219</v>
      </c>
      <c r="C672" s="1" t="n">
        <v>45565</v>
      </c>
      <c r="D672" t="inlineStr">
        <is>
          <t>JÄMTLANDS LÄN</t>
        </is>
      </c>
      <c r="E672" t="inlineStr">
        <is>
          <t>ÅRE</t>
        </is>
      </c>
      <c r="G672" t="n">
        <v>14.2</v>
      </c>
      <c r="H672" t="n">
        <v>0</v>
      </c>
      <c r="I672" t="n">
        <v>0</v>
      </c>
      <c r="J672" t="n">
        <v>0</v>
      </c>
      <c r="K672" t="n">
        <v>0</v>
      </c>
      <c r="L672" t="n">
        <v>0</v>
      </c>
      <c r="M672" t="n">
        <v>0</v>
      </c>
      <c r="N672" t="n">
        <v>0</v>
      </c>
      <c r="O672" t="n">
        <v>0</v>
      </c>
      <c r="P672" t="n">
        <v>0</v>
      </c>
      <c r="Q672" t="n">
        <v>0</v>
      </c>
      <c r="R672" s="2" t="inlineStr"/>
    </row>
    <row r="673" ht="15" customHeight="1">
      <c r="A673" t="inlineStr">
        <is>
          <t>A 51282-2023</t>
        </is>
      </c>
      <c r="B673" s="1" t="n">
        <v>45219</v>
      </c>
      <c r="C673" s="1" t="n">
        <v>45565</v>
      </c>
      <c r="D673" t="inlineStr">
        <is>
          <t>JÄMTLANDS LÄN</t>
        </is>
      </c>
      <c r="E673" t="inlineStr">
        <is>
          <t>ÅRE</t>
        </is>
      </c>
      <c r="G673" t="n">
        <v>2.3</v>
      </c>
      <c r="H673" t="n">
        <v>0</v>
      </c>
      <c r="I673" t="n">
        <v>0</v>
      </c>
      <c r="J673" t="n">
        <v>0</v>
      </c>
      <c r="K673" t="n">
        <v>0</v>
      </c>
      <c r="L673" t="n">
        <v>0</v>
      </c>
      <c r="M673" t="n">
        <v>0</v>
      </c>
      <c r="N673" t="n">
        <v>0</v>
      </c>
      <c r="O673" t="n">
        <v>0</v>
      </c>
      <c r="P673" t="n">
        <v>0</v>
      </c>
      <c r="Q673" t="n">
        <v>0</v>
      </c>
      <c r="R673" s="2" t="inlineStr"/>
    </row>
    <row r="674" ht="15" customHeight="1">
      <c r="A674" t="inlineStr">
        <is>
          <t>A 51277-2023</t>
        </is>
      </c>
      <c r="B674" s="1" t="n">
        <v>45219</v>
      </c>
      <c r="C674" s="1" t="n">
        <v>45565</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51831-2023</t>
        </is>
      </c>
      <c r="B675" s="1" t="n">
        <v>45222</v>
      </c>
      <c r="C675" s="1" t="n">
        <v>45565</v>
      </c>
      <c r="D675" t="inlineStr">
        <is>
          <t>JÄMTLANDS LÄN</t>
        </is>
      </c>
      <c r="E675" t="inlineStr">
        <is>
          <t>ÅRE</t>
        </is>
      </c>
      <c r="G675" t="n">
        <v>2</v>
      </c>
      <c r="H675" t="n">
        <v>0</v>
      </c>
      <c r="I675" t="n">
        <v>0</v>
      </c>
      <c r="J675" t="n">
        <v>0</v>
      </c>
      <c r="K675" t="n">
        <v>0</v>
      </c>
      <c r="L675" t="n">
        <v>0</v>
      </c>
      <c r="M675" t="n">
        <v>0</v>
      </c>
      <c r="N675" t="n">
        <v>0</v>
      </c>
      <c r="O675" t="n">
        <v>0</v>
      </c>
      <c r="P675" t="n">
        <v>0</v>
      </c>
      <c r="Q675" t="n">
        <v>0</v>
      </c>
      <c r="R675" s="2" t="inlineStr"/>
    </row>
    <row r="676" ht="15" customHeight="1">
      <c r="A676" t="inlineStr">
        <is>
          <t>A 52676-2023</t>
        </is>
      </c>
      <c r="B676" s="1" t="n">
        <v>45225</v>
      </c>
      <c r="C676" s="1" t="n">
        <v>45565</v>
      </c>
      <c r="D676" t="inlineStr">
        <is>
          <t>JÄMTLANDS LÄN</t>
        </is>
      </c>
      <c r="E676" t="inlineStr">
        <is>
          <t>ÅRE</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54303-2023</t>
        </is>
      </c>
      <c r="B677" s="1" t="n">
        <v>45225</v>
      </c>
      <c r="C677" s="1" t="n">
        <v>45565</v>
      </c>
      <c r="D677" t="inlineStr">
        <is>
          <t>JÄMTLANDS LÄN</t>
        </is>
      </c>
      <c r="E677" t="inlineStr">
        <is>
          <t>ÅRE</t>
        </is>
      </c>
      <c r="G677" t="n">
        <v>8.9</v>
      </c>
      <c r="H677" t="n">
        <v>0</v>
      </c>
      <c r="I677" t="n">
        <v>0</v>
      </c>
      <c r="J677" t="n">
        <v>0</v>
      </c>
      <c r="K677" t="n">
        <v>0</v>
      </c>
      <c r="L677" t="n">
        <v>0</v>
      </c>
      <c r="M677" t="n">
        <v>0</v>
      </c>
      <c r="N677" t="n">
        <v>0</v>
      </c>
      <c r="O677" t="n">
        <v>0</v>
      </c>
      <c r="P677" t="n">
        <v>0</v>
      </c>
      <c r="Q677" t="n">
        <v>0</v>
      </c>
      <c r="R677" s="2" t="inlineStr"/>
    </row>
    <row r="678" ht="15" customHeight="1">
      <c r="A678" t="inlineStr">
        <is>
          <t>A 54324-2023</t>
        </is>
      </c>
      <c r="B678" s="1" t="n">
        <v>45225</v>
      </c>
      <c r="C678" s="1" t="n">
        <v>45565</v>
      </c>
      <c r="D678" t="inlineStr">
        <is>
          <t>JÄMTLANDS LÄN</t>
        </is>
      </c>
      <c r="E678" t="inlineStr">
        <is>
          <t>ÅRE</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54847-2023</t>
        </is>
      </c>
      <c r="B679" s="1" t="n">
        <v>45229</v>
      </c>
      <c r="C679" s="1" t="n">
        <v>45565</v>
      </c>
      <c r="D679" t="inlineStr">
        <is>
          <t>JÄMTLANDS LÄN</t>
        </is>
      </c>
      <c r="E679" t="inlineStr">
        <is>
          <t>ÅRE</t>
        </is>
      </c>
      <c r="G679" t="n">
        <v>16.6</v>
      </c>
      <c r="H679" t="n">
        <v>0</v>
      </c>
      <c r="I679" t="n">
        <v>0</v>
      </c>
      <c r="J679" t="n">
        <v>0</v>
      </c>
      <c r="K679" t="n">
        <v>0</v>
      </c>
      <c r="L679" t="n">
        <v>0</v>
      </c>
      <c r="M679" t="n">
        <v>0</v>
      </c>
      <c r="N679" t="n">
        <v>0</v>
      </c>
      <c r="O679" t="n">
        <v>0</v>
      </c>
      <c r="P679" t="n">
        <v>0</v>
      </c>
      <c r="Q679" t="n">
        <v>0</v>
      </c>
      <c r="R679" s="2" t="inlineStr"/>
    </row>
    <row r="680" ht="15" customHeight="1">
      <c r="A680" t="inlineStr">
        <is>
          <t>A 55109-2023</t>
        </is>
      </c>
      <c r="B680" s="1" t="n">
        <v>45230</v>
      </c>
      <c r="C680" s="1" t="n">
        <v>45565</v>
      </c>
      <c r="D680" t="inlineStr">
        <is>
          <t>JÄMTLANDS LÄN</t>
        </is>
      </c>
      <c r="E680" t="inlineStr">
        <is>
          <t>ÅRE</t>
        </is>
      </c>
      <c r="G680" t="n">
        <v>1.7</v>
      </c>
      <c r="H680" t="n">
        <v>0</v>
      </c>
      <c r="I680" t="n">
        <v>0</v>
      </c>
      <c r="J680" t="n">
        <v>0</v>
      </c>
      <c r="K680" t="n">
        <v>0</v>
      </c>
      <c r="L680" t="n">
        <v>0</v>
      </c>
      <c r="M680" t="n">
        <v>0</v>
      </c>
      <c r="N680" t="n">
        <v>0</v>
      </c>
      <c r="O680" t="n">
        <v>0</v>
      </c>
      <c r="P680" t="n">
        <v>0</v>
      </c>
      <c r="Q680" t="n">
        <v>0</v>
      </c>
      <c r="R680" s="2" t="inlineStr"/>
    </row>
    <row r="681" ht="15" customHeight="1">
      <c r="A681" t="inlineStr">
        <is>
          <t>A 53899-2023</t>
        </is>
      </c>
      <c r="B681" s="1" t="n">
        <v>45231</v>
      </c>
      <c r="C681" s="1" t="n">
        <v>45565</v>
      </c>
      <c r="D681" t="inlineStr">
        <is>
          <t>JÄMTLANDS LÄN</t>
        </is>
      </c>
      <c r="E681" t="inlineStr">
        <is>
          <t>ÅRE</t>
        </is>
      </c>
      <c r="G681" t="n">
        <v>20.4</v>
      </c>
      <c r="H681" t="n">
        <v>0</v>
      </c>
      <c r="I681" t="n">
        <v>0</v>
      </c>
      <c r="J681" t="n">
        <v>0</v>
      </c>
      <c r="K681" t="n">
        <v>0</v>
      </c>
      <c r="L681" t="n">
        <v>0</v>
      </c>
      <c r="M681" t="n">
        <v>0</v>
      </c>
      <c r="N681" t="n">
        <v>0</v>
      </c>
      <c r="O681" t="n">
        <v>0</v>
      </c>
      <c r="P681" t="n">
        <v>0</v>
      </c>
      <c r="Q681" t="n">
        <v>0</v>
      </c>
      <c r="R681" s="2" t="inlineStr"/>
    </row>
    <row r="682" ht="15" customHeight="1">
      <c r="A682" t="inlineStr">
        <is>
          <t>A 54164-2023</t>
        </is>
      </c>
      <c r="B682" s="1" t="n">
        <v>45232</v>
      </c>
      <c r="C682" s="1" t="n">
        <v>45565</v>
      </c>
      <c r="D682" t="inlineStr">
        <is>
          <t>JÄMTLANDS LÄN</t>
        </is>
      </c>
      <c r="E682" t="inlineStr">
        <is>
          <t>ÅRE</t>
        </is>
      </c>
      <c r="G682" t="n">
        <v>2.6</v>
      </c>
      <c r="H682" t="n">
        <v>0</v>
      </c>
      <c r="I682" t="n">
        <v>0</v>
      </c>
      <c r="J682" t="n">
        <v>0</v>
      </c>
      <c r="K682" t="n">
        <v>0</v>
      </c>
      <c r="L682" t="n">
        <v>0</v>
      </c>
      <c r="M682" t="n">
        <v>0</v>
      </c>
      <c r="N682" t="n">
        <v>0</v>
      </c>
      <c r="O682" t="n">
        <v>0</v>
      </c>
      <c r="P682" t="n">
        <v>0</v>
      </c>
      <c r="Q682" t="n">
        <v>0</v>
      </c>
      <c r="R682" s="2" t="inlineStr"/>
    </row>
    <row r="683" ht="15" customHeight="1">
      <c r="A683" t="inlineStr">
        <is>
          <t>A 54116-2023</t>
        </is>
      </c>
      <c r="B683" s="1" t="n">
        <v>45232</v>
      </c>
      <c r="C683" s="1" t="n">
        <v>45565</v>
      </c>
      <c r="D683" t="inlineStr">
        <is>
          <t>JÄMTLANDS LÄN</t>
        </is>
      </c>
      <c r="E683" t="inlineStr">
        <is>
          <t>ÅRE</t>
        </is>
      </c>
      <c r="G683" t="n">
        <v>3.8</v>
      </c>
      <c r="H683" t="n">
        <v>0</v>
      </c>
      <c r="I683" t="n">
        <v>0</v>
      </c>
      <c r="J683" t="n">
        <v>0</v>
      </c>
      <c r="K683" t="n">
        <v>0</v>
      </c>
      <c r="L683" t="n">
        <v>0</v>
      </c>
      <c r="M683" t="n">
        <v>0</v>
      </c>
      <c r="N683" t="n">
        <v>0</v>
      </c>
      <c r="O683" t="n">
        <v>0</v>
      </c>
      <c r="P683" t="n">
        <v>0</v>
      </c>
      <c r="Q683" t="n">
        <v>0</v>
      </c>
      <c r="R683" s="2" t="inlineStr"/>
    </row>
    <row r="684" ht="15" customHeight="1">
      <c r="A684" t="inlineStr">
        <is>
          <t>A 54175-2023</t>
        </is>
      </c>
      <c r="B684" s="1" t="n">
        <v>45232</v>
      </c>
      <c r="C684" s="1" t="n">
        <v>45565</v>
      </c>
      <c r="D684" t="inlineStr">
        <is>
          <t>JÄMTLANDS LÄN</t>
        </is>
      </c>
      <c r="E684" t="inlineStr">
        <is>
          <t>ÅRE</t>
        </is>
      </c>
      <c r="G684" t="n">
        <v>0.1</v>
      </c>
      <c r="H684" t="n">
        <v>0</v>
      </c>
      <c r="I684" t="n">
        <v>0</v>
      </c>
      <c r="J684" t="n">
        <v>0</v>
      </c>
      <c r="K684" t="n">
        <v>0</v>
      </c>
      <c r="L684" t="n">
        <v>0</v>
      </c>
      <c r="M684" t="n">
        <v>0</v>
      </c>
      <c r="N684" t="n">
        <v>0</v>
      </c>
      <c r="O684" t="n">
        <v>0</v>
      </c>
      <c r="P684" t="n">
        <v>0</v>
      </c>
      <c r="Q684" t="n">
        <v>0</v>
      </c>
      <c r="R684" s="2" t="inlineStr"/>
    </row>
    <row r="685" ht="15" customHeight="1">
      <c r="A685" t="inlineStr">
        <is>
          <t>A 56044-2023</t>
        </is>
      </c>
      <c r="B685" s="1" t="n">
        <v>45233</v>
      </c>
      <c r="C685" s="1" t="n">
        <v>45565</v>
      </c>
      <c r="D685" t="inlineStr">
        <is>
          <t>JÄMTLANDS LÄN</t>
        </is>
      </c>
      <c r="E685" t="inlineStr">
        <is>
          <t>ÅRE</t>
        </is>
      </c>
      <c r="G685" t="n">
        <v>5.3</v>
      </c>
      <c r="H685" t="n">
        <v>0</v>
      </c>
      <c r="I685" t="n">
        <v>0</v>
      </c>
      <c r="J685" t="n">
        <v>0</v>
      </c>
      <c r="K685" t="n">
        <v>0</v>
      </c>
      <c r="L685" t="n">
        <v>0</v>
      </c>
      <c r="M685" t="n">
        <v>0</v>
      </c>
      <c r="N685" t="n">
        <v>0</v>
      </c>
      <c r="O685" t="n">
        <v>0</v>
      </c>
      <c r="P685" t="n">
        <v>0</v>
      </c>
      <c r="Q685" t="n">
        <v>0</v>
      </c>
      <c r="R685" s="2" t="inlineStr"/>
    </row>
    <row r="686" ht="15" customHeight="1">
      <c r="A686" t="inlineStr">
        <is>
          <t>A 54385-2023</t>
        </is>
      </c>
      <c r="B686" s="1" t="n">
        <v>45233</v>
      </c>
      <c r="C686" s="1" t="n">
        <v>45565</v>
      </c>
      <c r="D686" t="inlineStr">
        <is>
          <t>JÄMTLANDS LÄN</t>
        </is>
      </c>
      <c r="E686" t="inlineStr">
        <is>
          <t>ÅRE</t>
        </is>
      </c>
      <c r="G686" t="n">
        <v>3.7</v>
      </c>
      <c r="H686" t="n">
        <v>0</v>
      </c>
      <c r="I686" t="n">
        <v>0</v>
      </c>
      <c r="J686" t="n">
        <v>0</v>
      </c>
      <c r="K686" t="n">
        <v>0</v>
      </c>
      <c r="L686" t="n">
        <v>0</v>
      </c>
      <c r="M686" t="n">
        <v>0</v>
      </c>
      <c r="N686" t="n">
        <v>0</v>
      </c>
      <c r="O686" t="n">
        <v>0</v>
      </c>
      <c r="P686" t="n">
        <v>0</v>
      </c>
      <c r="Q686" t="n">
        <v>0</v>
      </c>
      <c r="R686" s="2" t="inlineStr"/>
    </row>
    <row r="687" ht="15" customHeight="1">
      <c r="A687" t="inlineStr">
        <is>
          <t>A 54377-2023</t>
        </is>
      </c>
      <c r="B687" s="1" t="n">
        <v>45233</v>
      </c>
      <c r="C687" s="1" t="n">
        <v>45565</v>
      </c>
      <c r="D687" t="inlineStr">
        <is>
          <t>JÄMTLANDS LÄN</t>
        </is>
      </c>
      <c r="E687" t="inlineStr">
        <is>
          <t>ÅRE</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54373-2023</t>
        </is>
      </c>
      <c r="B688" s="1" t="n">
        <v>45233</v>
      </c>
      <c r="C688" s="1" t="n">
        <v>45565</v>
      </c>
      <c r="D688" t="inlineStr">
        <is>
          <t>JÄMTLANDS LÄN</t>
        </is>
      </c>
      <c r="E688" t="inlineStr">
        <is>
          <t>ÅRE</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54781-2023</t>
        </is>
      </c>
      <c r="B689" s="1" t="n">
        <v>45236</v>
      </c>
      <c r="C689" s="1" t="n">
        <v>45565</v>
      </c>
      <c r="D689" t="inlineStr">
        <is>
          <t>JÄMTLANDS LÄN</t>
        </is>
      </c>
      <c r="E689" t="inlineStr">
        <is>
          <t>ÅRE</t>
        </is>
      </c>
      <c r="G689" t="n">
        <v>3.5</v>
      </c>
      <c r="H689" t="n">
        <v>0</v>
      </c>
      <c r="I689" t="n">
        <v>0</v>
      </c>
      <c r="J689" t="n">
        <v>0</v>
      </c>
      <c r="K689" t="n">
        <v>0</v>
      </c>
      <c r="L689" t="n">
        <v>0</v>
      </c>
      <c r="M689" t="n">
        <v>0</v>
      </c>
      <c r="N689" t="n">
        <v>0</v>
      </c>
      <c r="O689" t="n">
        <v>0</v>
      </c>
      <c r="P689" t="n">
        <v>0</v>
      </c>
      <c r="Q689" t="n">
        <v>0</v>
      </c>
      <c r="R689" s="2" t="inlineStr"/>
    </row>
    <row r="690" ht="15" customHeight="1">
      <c r="A690" t="inlineStr">
        <is>
          <t>A 54796-2023</t>
        </is>
      </c>
      <c r="B690" s="1" t="n">
        <v>45236</v>
      </c>
      <c r="C690" s="1" t="n">
        <v>45565</v>
      </c>
      <c r="D690" t="inlineStr">
        <is>
          <t>JÄMTLANDS LÄN</t>
        </is>
      </c>
      <c r="E690" t="inlineStr">
        <is>
          <t>ÅRE</t>
        </is>
      </c>
      <c r="G690" t="n">
        <v>9.1</v>
      </c>
      <c r="H690" t="n">
        <v>0</v>
      </c>
      <c r="I690" t="n">
        <v>0</v>
      </c>
      <c r="J690" t="n">
        <v>0</v>
      </c>
      <c r="K690" t="n">
        <v>0</v>
      </c>
      <c r="L690" t="n">
        <v>0</v>
      </c>
      <c r="M690" t="n">
        <v>0</v>
      </c>
      <c r="N690" t="n">
        <v>0</v>
      </c>
      <c r="O690" t="n">
        <v>0</v>
      </c>
      <c r="P690" t="n">
        <v>0</v>
      </c>
      <c r="Q690" t="n">
        <v>0</v>
      </c>
      <c r="R690" s="2" t="inlineStr"/>
    </row>
    <row r="691" ht="15" customHeight="1">
      <c r="A691" t="inlineStr">
        <is>
          <t>A 54898-2023</t>
        </is>
      </c>
      <c r="B691" s="1" t="n">
        <v>45236</v>
      </c>
      <c r="C691" s="1" t="n">
        <v>45565</v>
      </c>
      <c r="D691" t="inlineStr">
        <is>
          <t>JÄMTLANDS LÄN</t>
        </is>
      </c>
      <c r="E691" t="inlineStr">
        <is>
          <t>ÅRE</t>
        </is>
      </c>
      <c r="G691" t="n">
        <v>2.7</v>
      </c>
      <c r="H691" t="n">
        <v>0</v>
      </c>
      <c r="I691" t="n">
        <v>0</v>
      </c>
      <c r="J691" t="n">
        <v>0</v>
      </c>
      <c r="K691" t="n">
        <v>0</v>
      </c>
      <c r="L691" t="n">
        <v>0</v>
      </c>
      <c r="M691" t="n">
        <v>0</v>
      </c>
      <c r="N691" t="n">
        <v>0</v>
      </c>
      <c r="O691" t="n">
        <v>0</v>
      </c>
      <c r="P691" t="n">
        <v>0</v>
      </c>
      <c r="Q691" t="n">
        <v>0</v>
      </c>
      <c r="R691" s="2" t="inlineStr"/>
    </row>
    <row r="692" ht="15" customHeight="1">
      <c r="A692" t="inlineStr">
        <is>
          <t>A 54907-2023</t>
        </is>
      </c>
      <c r="B692" s="1" t="n">
        <v>45236</v>
      </c>
      <c r="C692" s="1" t="n">
        <v>45565</v>
      </c>
      <c r="D692" t="inlineStr">
        <is>
          <t>JÄMTLANDS LÄN</t>
        </is>
      </c>
      <c r="E692" t="inlineStr">
        <is>
          <t>ÅRE</t>
        </is>
      </c>
      <c r="F692" t="inlineStr">
        <is>
          <t>Övriga Aktiebolag</t>
        </is>
      </c>
      <c r="G692" t="n">
        <v>2.6</v>
      </c>
      <c r="H692" t="n">
        <v>0</v>
      </c>
      <c r="I692" t="n">
        <v>0</v>
      </c>
      <c r="J692" t="n">
        <v>0</v>
      </c>
      <c r="K692" t="n">
        <v>0</v>
      </c>
      <c r="L692" t="n">
        <v>0</v>
      </c>
      <c r="M692" t="n">
        <v>0</v>
      </c>
      <c r="N692" t="n">
        <v>0</v>
      </c>
      <c r="O692" t="n">
        <v>0</v>
      </c>
      <c r="P692" t="n">
        <v>0</v>
      </c>
      <c r="Q692" t="n">
        <v>0</v>
      </c>
      <c r="R692" s="2" t="inlineStr"/>
    </row>
    <row r="693" ht="15" customHeight="1">
      <c r="A693" t="inlineStr">
        <is>
          <t>A 55860-2023</t>
        </is>
      </c>
      <c r="B693" s="1" t="n">
        <v>45239</v>
      </c>
      <c r="C693" s="1" t="n">
        <v>45565</v>
      </c>
      <c r="D693" t="inlineStr">
        <is>
          <t>JÄMTLANDS LÄN</t>
        </is>
      </c>
      <c r="E693" t="inlineStr">
        <is>
          <t>ÅRE</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56609-2023</t>
        </is>
      </c>
      <c r="B694" s="1" t="n">
        <v>45243</v>
      </c>
      <c r="C694" s="1" t="n">
        <v>45565</v>
      </c>
      <c r="D694" t="inlineStr">
        <is>
          <t>JÄMTLANDS LÄN</t>
        </is>
      </c>
      <c r="E694" t="inlineStr">
        <is>
          <t>ÅRE</t>
        </is>
      </c>
      <c r="G694" t="n">
        <v>17.9</v>
      </c>
      <c r="H694" t="n">
        <v>0</v>
      </c>
      <c r="I694" t="n">
        <v>0</v>
      </c>
      <c r="J694" t="n">
        <v>0</v>
      </c>
      <c r="K694" t="n">
        <v>0</v>
      </c>
      <c r="L694" t="n">
        <v>0</v>
      </c>
      <c r="M694" t="n">
        <v>0</v>
      </c>
      <c r="N694" t="n">
        <v>0</v>
      </c>
      <c r="O694" t="n">
        <v>0</v>
      </c>
      <c r="P694" t="n">
        <v>0</v>
      </c>
      <c r="Q694" t="n">
        <v>0</v>
      </c>
      <c r="R694" s="2" t="inlineStr"/>
    </row>
    <row r="695" ht="15" customHeight="1">
      <c r="A695" t="inlineStr">
        <is>
          <t>A 56679-2023</t>
        </is>
      </c>
      <c r="B695" s="1" t="n">
        <v>45243</v>
      </c>
      <c r="C695" s="1" t="n">
        <v>45565</v>
      </c>
      <c r="D695" t="inlineStr">
        <is>
          <t>JÄMTLANDS LÄN</t>
        </is>
      </c>
      <c r="E695" t="inlineStr">
        <is>
          <t>ÅRE</t>
        </is>
      </c>
      <c r="G695" t="n">
        <v>4.3</v>
      </c>
      <c r="H695" t="n">
        <v>0</v>
      </c>
      <c r="I695" t="n">
        <v>0</v>
      </c>
      <c r="J695" t="n">
        <v>0</v>
      </c>
      <c r="K695" t="n">
        <v>0</v>
      </c>
      <c r="L695" t="n">
        <v>0</v>
      </c>
      <c r="M695" t="n">
        <v>0</v>
      </c>
      <c r="N695" t="n">
        <v>0</v>
      </c>
      <c r="O695" t="n">
        <v>0</v>
      </c>
      <c r="P695" t="n">
        <v>0</v>
      </c>
      <c r="Q695" t="n">
        <v>0</v>
      </c>
      <c r="R695" s="2" t="inlineStr"/>
    </row>
    <row r="696" ht="15" customHeight="1">
      <c r="A696" t="inlineStr">
        <is>
          <t>A 56736-2023</t>
        </is>
      </c>
      <c r="B696" s="1" t="n">
        <v>45244</v>
      </c>
      <c r="C696" s="1" t="n">
        <v>45565</v>
      </c>
      <c r="D696" t="inlineStr">
        <is>
          <t>JÄMTLANDS LÄN</t>
        </is>
      </c>
      <c r="E696" t="inlineStr">
        <is>
          <t>ÅRE</t>
        </is>
      </c>
      <c r="F696" t="inlineStr">
        <is>
          <t>Övriga Aktiebolag</t>
        </is>
      </c>
      <c r="G696" t="n">
        <v>10.7</v>
      </c>
      <c r="H696" t="n">
        <v>0</v>
      </c>
      <c r="I696" t="n">
        <v>0</v>
      </c>
      <c r="J696" t="n">
        <v>0</v>
      </c>
      <c r="K696" t="n">
        <v>0</v>
      </c>
      <c r="L696" t="n">
        <v>0</v>
      </c>
      <c r="M696" t="n">
        <v>0</v>
      </c>
      <c r="N696" t="n">
        <v>0</v>
      </c>
      <c r="O696" t="n">
        <v>0</v>
      </c>
      <c r="P696" t="n">
        <v>0</v>
      </c>
      <c r="Q696" t="n">
        <v>0</v>
      </c>
      <c r="R696" s="2" t="inlineStr"/>
    </row>
    <row r="697" ht="15" customHeight="1">
      <c r="A697" t="inlineStr">
        <is>
          <t>A 56976-2023</t>
        </is>
      </c>
      <c r="B697" s="1" t="n">
        <v>45244</v>
      </c>
      <c r="C697" s="1" t="n">
        <v>45565</v>
      </c>
      <c r="D697" t="inlineStr">
        <is>
          <t>JÄMTLANDS LÄN</t>
        </is>
      </c>
      <c r="E697" t="inlineStr">
        <is>
          <t>ÅRE</t>
        </is>
      </c>
      <c r="F697" t="inlineStr">
        <is>
          <t>Övriga Aktiebolag</t>
        </is>
      </c>
      <c r="G697" t="n">
        <v>4.9</v>
      </c>
      <c r="H697" t="n">
        <v>0</v>
      </c>
      <c r="I697" t="n">
        <v>0</v>
      </c>
      <c r="J697" t="n">
        <v>0</v>
      </c>
      <c r="K697" t="n">
        <v>0</v>
      </c>
      <c r="L697" t="n">
        <v>0</v>
      </c>
      <c r="M697" t="n">
        <v>0</v>
      </c>
      <c r="N697" t="n">
        <v>0</v>
      </c>
      <c r="O697" t="n">
        <v>0</v>
      </c>
      <c r="P697" t="n">
        <v>0</v>
      </c>
      <c r="Q697" t="n">
        <v>0</v>
      </c>
      <c r="R697" s="2" t="inlineStr"/>
    </row>
    <row r="698" ht="15" customHeight="1">
      <c r="A698" t="inlineStr">
        <is>
          <t>A 57448-2023</t>
        </is>
      </c>
      <c r="B698" s="1" t="n">
        <v>45246</v>
      </c>
      <c r="C698" s="1" t="n">
        <v>45565</v>
      </c>
      <c r="D698" t="inlineStr">
        <is>
          <t>JÄMTLANDS LÄN</t>
        </is>
      </c>
      <c r="E698" t="inlineStr">
        <is>
          <t>ÅRE</t>
        </is>
      </c>
      <c r="G698" t="n">
        <v>11.9</v>
      </c>
      <c r="H698" t="n">
        <v>0</v>
      </c>
      <c r="I698" t="n">
        <v>0</v>
      </c>
      <c r="J698" t="n">
        <v>0</v>
      </c>
      <c r="K698" t="n">
        <v>0</v>
      </c>
      <c r="L698" t="n">
        <v>0</v>
      </c>
      <c r="M698" t="n">
        <v>0</v>
      </c>
      <c r="N698" t="n">
        <v>0</v>
      </c>
      <c r="O698" t="n">
        <v>0</v>
      </c>
      <c r="P698" t="n">
        <v>0</v>
      </c>
      <c r="Q698" t="n">
        <v>0</v>
      </c>
      <c r="R698" s="2" t="inlineStr"/>
    </row>
    <row r="699" ht="15" customHeight="1">
      <c r="A699" t="inlineStr">
        <is>
          <t>A 57772-2023</t>
        </is>
      </c>
      <c r="B699" s="1" t="n">
        <v>45246</v>
      </c>
      <c r="C699" s="1" t="n">
        <v>45565</v>
      </c>
      <c r="D699" t="inlineStr">
        <is>
          <t>JÄMTLANDS LÄN</t>
        </is>
      </c>
      <c r="E699" t="inlineStr">
        <is>
          <t>ÅRE</t>
        </is>
      </c>
      <c r="G699" t="n">
        <v>0.6</v>
      </c>
      <c r="H699" t="n">
        <v>0</v>
      </c>
      <c r="I699" t="n">
        <v>0</v>
      </c>
      <c r="J699" t="n">
        <v>0</v>
      </c>
      <c r="K699" t="n">
        <v>0</v>
      </c>
      <c r="L699" t="n">
        <v>0</v>
      </c>
      <c r="M699" t="n">
        <v>0</v>
      </c>
      <c r="N699" t="n">
        <v>0</v>
      </c>
      <c r="O699" t="n">
        <v>0</v>
      </c>
      <c r="P699" t="n">
        <v>0</v>
      </c>
      <c r="Q699" t="n">
        <v>0</v>
      </c>
      <c r="R699" s="2" t="inlineStr"/>
    </row>
    <row r="700" ht="15" customHeight="1">
      <c r="A700" t="inlineStr">
        <is>
          <t>A 57770-2023</t>
        </is>
      </c>
      <c r="B700" s="1" t="n">
        <v>45246</v>
      </c>
      <c r="C700" s="1" t="n">
        <v>45565</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58508-2023</t>
        </is>
      </c>
      <c r="B701" s="1" t="n">
        <v>45246</v>
      </c>
      <c r="C701" s="1" t="n">
        <v>45565</v>
      </c>
      <c r="D701" t="inlineStr">
        <is>
          <t>JÄMTLANDS LÄN</t>
        </is>
      </c>
      <c r="E701" t="inlineStr">
        <is>
          <t>ÅRE</t>
        </is>
      </c>
      <c r="G701" t="n">
        <v>21.8</v>
      </c>
      <c r="H701" t="n">
        <v>0</v>
      </c>
      <c r="I701" t="n">
        <v>0</v>
      </c>
      <c r="J701" t="n">
        <v>0</v>
      </c>
      <c r="K701" t="n">
        <v>0</v>
      </c>
      <c r="L701" t="n">
        <v>0</v>
      </c>
      <c r="M701" t="n">
        <v>0</v>
      </c>
      <c r="N701" t="n">
        <v>0</v>
      </c>
      <c r="O701" t="n">
        <v>0</v>
      </c>
      <c r="P701" t="n">
        <v>0</v>
      </c>
      <c r="Q701" t="n">
        <v>0</v>
      </c>
      <c r="R701" s="2" t="inlineStr"/>
    </row>
    <row r="702" ht="15" customHeight="1">
      <c r="A702" t="inlineStr">
        <is>
          <t>A 58178-2023</t>
        </is>
      </c>
      <c r="B702" s="1" t="n">
        <v>45250</v>
      </c>
      <c r="C702" s="1" t="n">
        <v>45565</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58196-2023</t>
        </is>
      </c>
      <c r="B703" s="1" t="n">
        <v>45250</v>
      </c>
      <c r="C703" s="1" t="n">
        <v>45565</v>
      </c>
      <c r="D703" t="inlineStr">
        <is>
          <t>JÄMTLANDS LÄN</t>
        </is>
      </c>
      <c r="E703" t="inlineStr">
        <is>
          <t>ÅRE</t>
        </is>
      </c>
      <c r="G703" t="n">
        <v>0.6</v>
      </c>
      <c r="H703" t="n">
        <v>0</v>
      </c>
      <c r="I703" t="n">
        <v>0</v>
      </c>
      <c r="J703" t="n">
        <v>0</v>
      </c>
      <c r="K703" t="n">
        <v>0</v>
      </c>
      <c r="L703" t="n">
        <v>0</v>
      </c>
      <c r="M703" t="n">
        <v>0</v>
      </c>
      <c r="N703" t="n">
        <v>0</v>
      </c>
      <c r="O703" t="n">
        <v>0</v>
      </c>
      <c r="P703" t="n">
        <v>0</v>
      </c>
      <c r="Q703" t="n">
        <v>0</v>
      </c>
      <c r="R703" s="2" t="inlineStr"/>
    </row>
    <row r="704" ht="15" customHeight="1">
      <c r="A704" t="inlineStr">
        <is>
          <t>A 58302-2023</t>
        </is>
      </c>
      <c r="B704" s="1" t="n">
        <v>45250</v>
      </c>
      <c r="C704" s="1" t="n">
        <v>45565</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58296-2023</t>
        </is>
      </c>
      <c r="B705" s="1" t="n">
        <v>45250</v>
      </c>
      <c r="C705" s="1" t="n">
        <v>45565</v>
      </c>
      <c r="D705" t="inlineStr">
        <is>
          <t>JÄMTLANDS LÄN</t>
        </is>
      </c>
      <c r="E705" t="inlineStr">
        <is>
          <t>ÅRE</t>
        </is>
      </c>
      <c r="G705" t="n">
        <v>6.3</v>
      </c>
      <c r="H705" t="n">
        <v>0</v>
      </c>
      <c r="I705" t="n">
        <v>0</v>
      </c>
      <c r="J705" t="n">
        <v>0</v>
      </c>
      <c r="K705" t="n">
        <v>0</v>
      </c>
      <c r="L705" t="n">
        <v>0</v>
      </c>
      <c r="M705" t="n">
        <v>0</v>
      </c>
      <c r="N705" t="n">
        <v>0</v>
      </c>
      <c r="O705" t="n">
        <v>0</v>
      </c>
      <c r="P705" t="n">
        <v>0</v>
      </c>
      <c r="Q705" t="n">
        <v>0</v>
      </c>
      <c r="R705" s="2" t="inlineStr"/>
    </row>
    <row r="706" ht="15" customHeight="1">
      <c r="A706" t="inlineStr">
        <is>
          <t>A 58299-2023</t>
        </is>
      </c>
      <c r="B706" s="1" t="n">
        <v>45250</v>
      </c>
      <c r="C706" s="1" t="n">
        <v>45565</v>
      </c>
      <c r="D706" t="inlineStr">
        <is>
          <t>JÄMTLANDS LÄN</t>
        </is>
      </c>
      <c r="E706" t="inlineStr">
        <is>
          <t>ÅRE</t>
        </is>
      </c>
      <c r="G706" t="n">
        <v>0.7</v>
      </c>
      <c r="H706" t="n">
        <v>0</v>
      </c>
      <c r="I706" t="n">
        <v>0</v>
      </c>
      <c r="J706" t="n">
        <v>0</v>
      </c>
      <c r="K706" t="n">
        <v>0</v>
      </c>
      <c r="L706" t="n">
        <v>0</v>
      </c>
      <c r="M706" t="n">
        <v>0</v>
      </c>
      <c r="N706" t="n">
        <v>0</v>
      </c>
      <c r="O706" t="n">
        <v>0</v>
      </c>
      <c r="P706" t="n">
        <v>0</v>
      </c>
      <c r="Q706" t="n">
        <v>0</v>
      </c>
      <c r="R706" s="2" t="inlineStr"/>
    </row>
    <row r="707" ht="15" customHeight="1">
      <c r="A707" t="inlineStr">
        <is>
          <t>A 58907-2023</t>
        </is>
      </c>
      <c r="B707" s="1" t="n">
        <v>45252</v>
      </c>
      <c r="C707" s="1" t="n">
        <v>45565</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59267-2023</t>
        </is>
      </c>
      <c r="B708" s="1" t="n">
        <v>45253</v>
      </c>
      <c r="C708" s="1" t="n">
        <v>45565</v>
      </c>
      <c r="D708" t="inlineStr">
        <is>
          <t>JÄMTLANDS LÄN</t>
        </is>
      </c>
      <c r="E708" t="inlineStr">
        <is>
          <t>ÅRE</t>
        </is>
      </c>
      <c r="G708" t="n">
        <v>2.7</v>
      </c>
      <c r="H708" t="n">
        <v>0</v>
      </c>
      <c r="I708" t="n">
        <v>0</v>
      </c>
      <c r="J708" t="n">
        <v>0</v>
      </c>
      <c r="K708" t="n">
        <v>0</v>
      </c>
      <c r="L708" t="n">
        <v>0</v>
      </c>
      <c r="M708" t="n">
        <v>0</v>
      </c>
      <c r="N708" t="n">
        <v>0</v>
      </c>
      <c r="O708" t="n">
        <v>0</v>
      </c>
      <c r="P708" t="n">
        <v>0</v>
      </c>
      <c r="Q708" t="n">
        <v>0</v>
      </c>
      <c r="R708" s="2" t="inlineStr"/>
    </row>
    <row r="709" ht="15" customHeight="1">
      <c r="A709" t="inlineStr">
        <is>
          <t>A 59274-2023</t>
        </is>
      </c>
      <c r="B709" s="1" t="n">
        <v>45253</v>
      </c>
      <c r="C709" s="1" t="n">
        <v>45565</v>
      </c>
      <c r="D709" t="inlineStr">
        <is>
          <t>JÄMTLANDS LÄN</t>
        </is>
      </c>
      <c r="E709" t="inlineStr">
        <is>
          <t>ÅRE</t>
        </is>
      </c>
      <c r="G709" t="n">
        <v>1.5</v>
      </c>
      <c r="H709" t="n">
        <v>0</v>
      </c>
      <c r="I709" t="n">
        <v>0</v>
      </c>
      <c r="J709" t="n">
        <v>0</v>
      </c>
      <c r="K709" t="n">
        <v>0</v>
      </c>
      <c r="L709" t="n">
        <v>0</v>
      </c>
      <c r="M709" t="n">
        <v>0</v>
      </c>
      <c r="N709" t="n">
        <v>0</v>
      </c>
      <c r="O709" t="n">
        <v>0</v>
      </c>
      <c r="P709" t="n">
        <v>0</v>
      </c>
      <c r="Q709" t="n">
        <v>0</v>
      </c>
      <c r="R709" s="2" t="inlineStr"/>
    </row>
    <row r="710" ht="15" customHeight="1">
      <c r="A710" t="inlineStr">
        <is>
          <t>A 59400-2023</t>
        </is>
      </c>
      <c r="B710" s="1" t="n">
        <v>45253</v>
      </c>
      <c r="C710" s="1" t="n">
        <v>45565</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59398-2023</t>
        </is>
      </c>
      <c r="B711" s="1" t="n">
        <v>45253</v>
      </c>
      <c r="C711" s="1" t="n">
        <v>45565</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59414-2023</t>
        </is>
      </c>
      <c r="B712" s="1" t="n">
        <v>45254</v>
      </c>
      <c r="C712" s="1" t="n">
        <v>45565</v>
      </c>
      <c r="D712" t="inlineStr">
        <is>
          <t>JÄMTLANDS LÄN</t>
        </is>
      </c>
      <c r="E712" t="inlineStr">
        <is>
          <t>ÅRE</t>
        </is>
      </c>
      <c r="G712" t="n">
        <v>3.6</v>
      </c>
      <c r="H712" t="n">
        <v>0</v>
      </c>
      <c r="I712" t="n">
        <v>0</v>
      </c>
      <c r="J712" t="n">
        <v>0</v>
      </c>
      <c r="K712" t="n">
        <v>0</v>
      </c>
      <c r="L712" t="n">
        <v>0</v>
      </c>
      <c r="M712" t="n">
        <v>0</v>
      </c>
      <c r="N712" t="n">
        <v>0</v>
      </c>
      <c r="O712" t="n">
        <v>0</v>
      </c>
      <c r="P712" t="n">
        <v>0</v>
      </c>
      <c r="Q712" t="n">
        <v>0</v>
      </c>
      <c r="R712" s="2" t="inlineStr"/>
    </row>
    <row r="713" ht="15" customHeight="1">
      <c r="A713" t="inlineStr">
        <is>
          <t>A 59413-2023</t>
        </is>
      </c>
      <c r="B713" s="1" t="n">
        <v>45254</v>
      </c>
      <c r="C713" s="1" t="n">
        <v>45565</v>
      </c>
      <c r="D713" t="inlineStr">
        <is>
          <t>JÄMTLANDS LÄN</t>
        </is>
      </c>
      <c r="E713" t="inlineStr">
        <is>
          <t>ÅRE</t>
        </is>
      </c>
      <c r="G713" t="n">
        <v>4</v>
      </c>
      <c r="H713" t="n">
        <v>0</v>
      </c>
      <c r="I713" t="n">
        <v>0</v>
      </c>
      <c r="J713" t="n">
        <v>0</v>
      </c>
      <c r="K713" t="n">
        <v>0</v>
      </c>
      <c r="L713" t="n">
        <v>0</v>
      </c>
      <c r="M713" t="n">
        <v>0</v>
      </c>
      <c r="N713" t="n">
        <v>0</v>
      </c>
      <c r="O713" t="n">
        <v>0</v>
      </c>
      <c r="P713" t="n">
        <v>0</v>
      </c>
      <c r="Q713" t="n">
        <v>0</v>
      </c>
      <c r="R713" s="2" t="inlineStr"/>
    </row>
    <row r="714" ht="15" customHeight="1">
      <c r="A714" t="inlineStr">
        <is>
          <t>A 59666-2023</t>
        </is>
      </c>
      <c r="B714" s="1" t="n">
        <v>45255</v>
      </c>
      <c r="C714" s="1" t="n">
        <v>45565</v>
      </c>
      <c r="D714" t="inlineStr">
        <is>
          <t>JÄMTLANDS LÄN</t>
        </is>
      </c>
      <c r="E714" t="inlineStr">
        <is>
          <t>ÅRE</t>
        </is>
      </c>
      <c r="G714" t="n">
        <v>6.6</v>
      </c>
      <c r="H714" t="n">
        <v>0</v>
      </c>
      <c r="I714" t="n">
        <v>0</v>
      </c>
      <c r="J714" t="n">
        <v>0</v>
      </c>
      <c r="K714" t="n">
        <v>0</v>
      </c>
      <c r="L714" t="n">
        <v>0</v>
      </c>
      <c r="M714" t="n">
        <v>0</v>
      </c>
      <c r="N714" t="n">
        <v>0</v>
      </c>
      <c r="O714" t="n">
        <v>0</v>
      </c>
      <c r="P714" t="n">
        <v>0</v>
      </c>
      <c r="Q714" t="n">
        <v>0</v>
      </c>
      <c r="R714" s="2" t="inlineStr"/>
    </row>
    <row r="715" ht="15" customHeight="1">
      <c r="A715" t="inlineStr">
        <is>
          <t>A 59753-2023</t>
        </is>
      </c>
      <c r="B715" s="1" t="n">
        <v>45254</v>
      </c>
      <c r="C715" s="1" t="n">
        <v>45565</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59968-2023</t>
        </is>
      </c>
      <c r="B716" s="1" t="n">
        <v>45254</v>
      </c>
      <c r="C716" s="1" t="n">
        <v>45565</v>
      </c>
      <c r="D716" t="inlineStr">
        <is>
          <t>JÄMTLANDS LÄN</t>
        </is>
      </c>
      <c r="E716" t="inlineStr">
        <is>
          <t>ÅRE</t>
        </is>
      </c>
      <c r="G716" t="n">
        <v>1.7</v>
      </c>
      <c r="H716" t="n">
        <v>0</v>
      </c>
      <c r="I716" t="n">
        <v>0</v>
      </c>
      <c r="J716" t="n">
        <v>0</v>
      </c>
      <c r="K716" t="n">
        <v>0</v>
      </c>
      <c r="L716" t="n">
        <v>0</v>
      </c>
      <c r="M716" t="n">
        <v>0</v>
      </c>
      <c r="N716" t="n">
        <v>0</v>
      </c>
      <c r="O716" t="n">
        <v>0</v>
      </c>
      <c r="P716" t="n">
        <v>0</v>
      </c>
      <c r="Q716" t="n">
        <v>0</v>
      </c>
      <c r="R716" s="2" t="inlineStr"/>
    </row>
    <row r="717" ht="15" customHeight="1">
      <c r="A717" t="inlineStr">
        <is>
          <t>A 59916-2023</t>
        </is>
      </c>
      <c r="B717" s="1" t="n">
        <v>45257</v>
      </c>
      <c r="C717" s="1" t="n">
        <v>45565</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59864-2023</t>
        </is>
      </c>
      <c r="B718" s="1" t="n">
        <v>45257</v>
      </c>
      <c r="C718" s="1" t="n">
        <v>45565</v>
      </c>
      <c r="D718" t="inlineStr">
        <is>
          <t>JÄMTLANDS LÄN</t>
        </is>
      </c>
      <c r="E718" t="inlineStr">
        <is>
          <t>ÅRE</t>
        </is>
      </c>
      <c r="G718" t="n">
        <v>1</v>
      </c>
      <c r="H718" t="n">
        <v>0</v>
      </c>
      <c r="I718" t="n">
        <v>0</v>
      </c>
      <c r="J718" t="n">
        <v>0</v>
      </c>
      <c r="K718" t="n">
        <v>0</v>
      </c>
      <c r="L718" t="n">
        <v>0</v>
      </c>
      <c r="M718" t="n">
        <v>0</v>
      </c>
      <c r="N718" t="n">
        <v>0</v>
      </c>
      <c r="O718" t="n">
        <v>0</v>
      </c>
      <c r="P718" t="n">
        <v>0</v>
      </c>
      <c r="Q718" t="n">
        <v>0</v>
      </c>
      <c r="R718" s="2" t="inlineStr"/>
    </row>
    <row r="719" ht="15" customHeight="1">
      <c r="A719" t="inlineStr">
        <is>
          <t>A 59878-2023</t>
        </is>
      </c>
      <c r="B719" s="1" t="n">
        <v>45257</v>
      </c>
      <c r="C719" s="1" t="n">
        <v>45565</v>
      </c>
      <c r="D719" t="inlineStr">
        <is>
          <t>JÄMTLANDS LÄN</t>
        </is>
      </c>
      <c r="E719" t="inlineStr">
        <is>
          <t>ÅRE</t>
        </is>
      </c>
      <c r="G719" t="n">
        <v>0.6</v>
      </c>
      <c r="H719" t="n">
        <v>0</v>
      </c>
      <c r="I719" t="n">
        <v>0</v>
      </c>
      <c r="J719" t="n">
        <v>0</v>
      </c>
      <c r="K719" t="n">
        <v>0</v>
      </c>
      <c r="L719" t="n">
        <v>0</v>
      </c>
      <c r="M719" t="n">
        <v>0</v>
      </c>
      <c r="N719" t="n">
        <v>0</v>
      </c>
      <c r="O719" t="n">
        <v>0</v>
      </c>
      <c r="P719" t="n">
        <v>0</v>
      </c>
      <c r="Q719" t="n">
        <v>0</v>
      </c>
      <c r="R719" s="2" t="inlineStr"/>
    </row>
    <row r="720" ht="15" customHeight="1">
      <c r="A720" t="inlineStr">
        <is>
          <t>A 59892-2023</t>
        </is>
      </c>
      <c r="B720" s="1" t="n">
        <v>45257</v>
      </c>
      <c r="C720" s="1" t="n">
        <v>45565</v>
      </c>
      <c r="D720" t="inlineStr">
        <is>
          <t>JÄMTLANDS LÄN</t>
        </is>
      </c>
      <c r="E720" t="inlineStr">
        <is>
          <t>ÅRE</t>
        </is>
      </c>
      <c r="G720" t="n">
        <v>1.8</v>
      </c>
      <c r="H720" t="n">
        <v>0</v>
      </c>
      <c r="I720" t="n">
        <v>0</v>
      </c>
      <c r="J720" t="n">
        <v>0</v>
      </c>
      <c r="K720" t="n">
        <v>0</v>
      </c>
      <c r="L720" t="n">
        <v>0</v>
      </c>
      <c r="M720" t="n">
        <v>0</v>
      </c>
      <c r="N720" t="n">
        <v>0</v>
      </c>
      <c r="O720" t="n">
        <v>0</v>
      </c>
      <c r="P720" t="n">
        <v>0</v>
      </c>
      <c r="Q720" t="n">
        <v>0</v>
      </c>
      <c r="R720" s="2" t="inlineStr"/>
    </row>
    <row r="721" ht="15" customHeight="1">
      <c r="A721" t="inlineStr">
        <is>
          <t>A 60332-2023</t>
        </is>
      </c>
      <c r="B721" s="1" t="n">
        <v>45258</v>
      </c>
      <c r="C721" s="1" t="n">
        <v>45565</v>
      </c>
      <c r="D721" t="inlineStr">
        <is>
          <t>JÄMTLANDS LÄN</t>
        </is>
      </c>
      <c r="E721" t="inlineStr">
        <is>
          <t>ÅRE</t>
        </is>
      </c>
      <c r="G721" t="n">
        <v>12.5</v>
      </c>
      <c r="H721" t="n">
        <v>0</v>
      </c>
      <c r="I721" t="n">
        <v>0</v>
      </c>
      <c r="J721" t="n">
        <v>0</v>
      </c>
      <c r="K721" t="n">
        <v>0</v>
      </c>
      <c r="L721" t="n">
        <v>0</v>
      </c>
      <c r="M721" t="n">
        <v>0</v>
      </c>
      <c r="N721" t="n">
        <v>0</v>
      </c>
      <c r="O721" t="n">
        <v>0</v>
      </c>
      <c r="P721" t="n">
        <v>0</v>
      </c>
      <c r="Q721" t="n">
        <v>0</v>
      </c>
      <c r="R721" s="2" t="inlineStr"/>
    </row>
    <row r="722" ht="15" customHeight="1">
      <c r="A722" t="inlineStr">
        <is>
          <t>A 60808-2023</t>
        </is>
      </c>
      <c r="B722" s="1" t="n">
        <v>45260</v>
      </c>
      <c r="C722" s="1" t="n">
        <v>45565</v>
      </c>
      <c r="D722" t="inlineStr">
        <is>
          <t>JÄMTLANDS LÄN</t>
        </is>
      </c>
      <c r="E722" t="inlineStr">
        <is>
          <t>ÅRE</t>
        </is>
      </c>
      <c r="G722" t="n">
        <v>10.4</v>
      </c>
      <c r="H722" t="n">
        <v>0</v>
      </c>
      <c r="I722" t="n">
        <v>0</v>
      </c>
      <c r="J722" t="n">
        <v>0</v>
      </c>
      <c r="K722" t="n">
        <v>0</v>
      </c>
      <c r="L722" t="n">
        <v>0</v>
      </c>
      <c r="M722" t="n">
        <v>0</v>
      </c>
      <c r="N722" t="n">
        <v>0</v>
      </c>
      <c r="O722" t="n">
        <v>0</v>
      </c>
      <c r="P722" t="n">
        <v>0</v>
      </c>
      <c r="Q722" t="n">
        <v>0</v>
      </c>
      <c r="R722" s="2" t="inlineStr"/>
    </row>
    <row r="723" ht="15" customHeight="1">
      <c r="A723" t="inlineStr">
        <is>
          <t>A 60973-2023</t>
        </is>
      </c>
      <c r="B723" s="1" t="n">
        <v>45261</v>
      </c>
      <c r="C723" s="1" t="n">
        <v>45565</v>
      </c>
      <c r="D723" t="inlineStr">
        <is>
          <t>JÄMTLANDS LÄN</t>
        </is>
      </c>
      <c r="E723" t="inlineStr">
        <is>
          <t>ÅRE</t>
        </is>
      </c>
      <c r="G723" t="n">
        <v>3.1</v>
      </c>
      <c r="H723" t="n">
        <v>0</v>
      </c>
      <c r="I723" t="n">
        <v>0</v>
      </c>
      <c r="J723" t="n">
        <v>0</v>
      </c>
      <c r="K723" t="n">
        <v>0</v>
      </c>
      <c r="L723" t="n">
        <v>0</v>
      </c>
      <c r="M723" t="n">
        <v>0</v>
      </c>
      <c r="N723" t="n">
        <v>0</v>
      </c>
      <c r="O723" t="n">
        <v>0</v>
      </c>
      <c r="P723" t="n">
        <v>0</v>
      </c>
      <c r="Q723" t="n">
        <v>0</v>
      </c>
      <c r="R723" s="2" t="inlineStr"/>
    </row>
    <row r="724" ht="15" customHeight="1">
      <c r="A724" t="inlineStr">
        <is>
          <t>A 60962-2023</t>
        </is>
      </c>
      <c r="B724" s="1" t="n">
        <v>45261</v>
      </c>
      <c r="C724" s="1" t="n">
        <v>45565</v>
      </c>
      <c r="D724" t="inlineStr">
        <is>
          <t>JÄMTLANDS LÄN</t>
        </is>
      </c>
      <c r="E724" t="inlineStr">
        <is>
          <t>ÅRE</t>
        </is>
      </c>
      <c r="G724" t="n">
        <v>3.2</v>
      </c>
      <c r="H724" t="n">
        <v>0</v>
      </c>
      <c r="I724" t="n">
        <v>0</v>
      </c>
      <c r="J724" t="n">
        <v>0</v>
      </c>
      <c r="K724" t="n">
        <v>0</v>
      </c>
      <c r="L724" t="n">
        <v>0</v>
      </c>
      <c r="M724" t="n">
        <v>0</v>
      </c>
      <c r="N724" t="n">
        <v>0</v>
      </c>
      <c r="O724" t="n">
        <v>0</v>
      </c>
      <c r="P724" t="n">
        <v>0</v>
      </c>
      <c r="Q724" t="n">
        <v>0</v>
      </c>
      <c r="R724" s="2" t="inlineStr"/>
    </row>
    <row r="725" ht="15" customHeight="1">
      <c r="A725" t="inlineStr">
        <is>
          <t>A 61622-2023</t>
        </is>
      </c>
      <c r="B725" s="1" t="n">
        <v>45261</v>
      </c>
      <c r="C725" s="1" t="n">
        <v>45565</v>
      </c>
      <c r="D725" t="inlineStr">
        <is>
          <t>JÄMTLANDS LÄN</t>
        </is>
      </c>
      <c r="E725" t="inlineStr">
        <is>
          <t>ÅRE</t>
        </is>
      </c>
      <c r="G725" t="n">
        <v>1.6</v>
      </c>
      <c r="H725" t="n">
        <v>0</v>
      </c>
      <c r="I725" t="n">
        <v>0</v>
      </c>
      <c r="J725" t="n">
        <v>0</v>
      </c>
      <c r="K725" t="n">
        <v>0</v>
      </c>
      <c r="L725" t="n">
        <v>0</v>
      </c>
      <c r="M725" t="n">
        <v>0</v>
      </c>
      <c r="N725" t="n">
        <v>0</v>
      </c>
      <c r="O725" t="n">
        <v>0</v>
      </c>
      <c r="P725" t="n">
        <v>0</v>
      </c>
      <c r="Q725" t="n">
        <v>0</v>
      </c>
      <c r="R725" s="2" t="inlineStr"/>
    </row>
    <row r="726" ht="15" customHeight="1">
      <c r="A726" t="inlineStr">
        <is>
          <t>A 61183-2023</t>
        </is>
      </c>
      <c r="B726" s="1" t="n">
        <v>45263</v>
      </c>
      <c r="C726" s="1" t="n">
        <v>45565</v>
      </c>
      <c r="D726" t="inlineStr">
        <is>
          <t>JÄMTLANDS LÄN</t>
        </is>
      </c>
      <c r="E726" t="inlineStr">
        <is>
          <t>ÅRE</t>
        </is>
      </c>
      <c r="G726" t="n">
        <v>8.4</v>
      </c>
      <c r="H726" t="n">
        <v>0</v>
      </c>
      <c r="I726" t="n">
        <v>0</v>
      </c>
      <c r="J726" t="n">
        <v>0</v>
      </c>
      <c r="K726" t="n">
        <v>0</v>
      </c>
      <c r="L726" t="n">
        <v>0</v>
      </c>
      <c r="M726" t="n">
        <v>0</v>
      </c>
      <c r="N726" t="n">
        <v>0</v>
      </c>
      <c r="O726" t="n">
        <v>0</v>
      </c>
      <c r="P726" t="n">
        <v>0</v>
      </c>
      <c r="Q726" t="n">
        <v>0</v>
      </c>
      <c r="R726" s="2" t="inlineStr"/>
    </row>
    <row r="727" ht="15" customHeight="1">
      <c r="A727" t="inlineStr">
        <is>
          <t>A 61295-2023</t>
        </is>
      </c>
      <c r="B727" s="1" t="n">
        <v>45264</v>
      </c>
      <c r="C727" s="1" t="n">
        <v>45565</v>
      </c>
      <c r="D727" t="inlineStr">
        <is>
          <t>JÄMTLANDS LÄN</t>
        </is>
      </c>
      <c r="E727" t="inlineStr">
        <is>
          <t>ÅRE</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61477-2023</t>
        </is>
      </c>
      <c r="B728" s="1" t="n">
        <v>45264</v>
      </c>
      <c r="C728" s="1" t="n">
        <v>45565</v>
      </c>
      <c r="D728" t="inlineStr">
        <is>
          <t>JÄMTLANDS LÄN</t>
        </is>
      </c>
      <c r="E728" t="inlineStr">
        <is>
          <t>ÅRE</t>
        </is>
      </c>
      <c r="G728" t="n">
        <v>1.8</v>
      </c>
      <c r="H728" t="n">
        <v>0</v>
      </c>
      <c r="I728" t="n">
        <v>0</v>
      </c>
      <c r="J728" t="n">
        <v>0</v>
      </c>
      <c r="K728" t="n">
        <v>0</v>
      </c>
      <c r="L728" t="n">
        <v>0</v>
      </c>
      <c r="M728" t="n">
        <v>0</v>
      </c>
      <c r="N728" t="n">
        <v>0</v>
      </c>
      <c r="O728" t="n">
        <v>0</v>
      </c>
      <c r="P728" t="n">
        <v>0</v>
      </c>
      <c r="Q728" t="n">
        <v>0</v>
      </c>
      <c r="R728" s="2" t="inlineStr"/>
    </row>
    <row r="729" ht="15" customHeight="1">
      <c r="A729" t="inlineStr">
        <is>
          <t>A 61479-2023</t>
        </is>
      </c>
      <c r="B729" s="1" t="n">
        <v>45264</v>
      </c>
      <c r="C729" s="1" t="n">
        <v>45565</v>
      </c>
      <c r="D729" t="inlineStr">
        <is>
          <t>JÄMTLANDS LÄN</t>
        </is>
      </c>
      <c r="E729" t="inlineStr">
        <is>
          <t>ÅRE</t>
        </is>
      </c>
      <c r="G729" t="n">
        <v>2.5</v>
      </c>
      <c r="H729" t="n">
        <v>0</v>
      </c>
      <c r="I729" t="n">
        <v>0</v>
      </c>
      <c r="J729" t="n">
        <v>0</v>
      </c>
      <c r="K729" t="n">
        <v>0</v>
      </c>
      <c r="L729" t="n">
        <v>0</v>
      </c>
      <c r="M729" t="n">
        <v>0</v>
      </c>
      <c r="N729" t="n">
        <v>0</v>
      </c>
      <c r="O729" t="n">
        <v>0</v>
      </c>
      <c r="P729" t="n">
        <v>0</v>
      </c>
      <c r="Q729" t="n">
        <v>0</v>
      </c>
      <c r="R729" s="2" t="inlineStr"/>
    </row>
    <row r="730" ht="15" customHeight="1">
      <c r="A730" t="inlineStr">
        <is>
          <t>A 61482-2023</t>
        </is>
      </c>
      <c r="B730" s="1" t="n">
        <v>45264</v>
      </c>
      <c r="C730" s="1" t="n">
        <v>45565</v>
      </c>
      <c r="D730" t="inlineStr">
        <is>
          <t>JÄMTLANDS LÄN</t>
        </is>
      </c>
      <c r="E730" t="inlineStr">
        <is>
          <t>ÅRE</t>
        </is>
      </c>
      <c r="G730" t="n">
        <v>0.7</v>
      </c>
      <c r="H730" t="n">
        <v>0</v>
      </c>
      <c r="I730" t="n">
        <v>0</v>
      </c>
      <c r="J730" t="n">
        <v>0</v>
      </c>
      <c r="K730" t="n">
        <v>0</v>
      </c>
      <c r="L730" t="n">
        <v>0</v>
      </c>
      <c r="M730" t="n">
        <v>0</v>
      </c>
      <c r="N730" t="n">
        <v>0</v>
      </c>
      <c r="O730" t="n">
        <v>0</v>
      </c>
      <c r="P730" t="n">
        <v>0</v>
      </c>
      <c r="Q730" t="n">
        <v>0</v>
      </c>
      <c r="R730" s="2" t="inlineStr"/>
    </row>
    <row r="731" ht="15" customHeight="1">
      <c r="A731" t="inlineStr">
        <is>
          <t>A 61480-2023</t>
        </is>
      </c>
      <c r="B731" s="1" t="n">
        <v>45264</v>
      </c>
      <c r="C731" s="1" t="n">
        <v>45565</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61978-2023</t>
        </is>
      </c>
      <c r="B732" s="1" t="n">
        <v>45266</v>
      </c>
      <c r="C732" s="1" t="n">
        <v>45565</v>
      </c>
      <c r="D732" t="inlineStr">
        <is>
          <t>JÄMTLANDS LÄN</t>
        </is>
      </c>
      <c r="E732" t="inlineStr">
        <is>
          <t>ÅRE</t>
        </is>
      </c>
      <c r="G732" t="n">
        <v>5.5</v>
      </c>
      <c r="H732" t="n">
        <v>0</v>
      </c>
      <c r="I732" t="n">
        <v>0</v>
      </c>
      <c r="J732" t="n">
        <v>0</v>
      </c>
      <c r="K732" t="n">
        <v>0</v>
      </c>
      <c r="L732" t="n">
        <v>0</v>
      </c>
      <c r="M732" t="n">
        <v>0</v>
      </c>
      <c r="N732" t="n">
        <v>0</v>
      </c>
      <c r="O732" t="n">
        <v>0</v>
      </c>
      <c r="P732" t="n">
        <v>0</v>
      </c>
      <c r="Q732" t="n">
        <v>0</v>
      </c>
      <c r="R732" s="2" t="inlineStr"/>
    </row>
    <row r="733" ht="15" customHeight="1">
      <c r="A733" t="inlineStr">
        <is>
          <t>A 63906-2023</t>
        </is>
      </c>
      <c r="B733" s="1" t="n">
        <v>45278</v>
      </c>
      <c r="C733" s="1" t="n">
        <v>45565</v>
      </c>
      <c r="D733" t="inlineStr">
        <is>
          <t>JÄMTLANDS LÄN</t>
        </is>
      </c>
      <c r="E733" t="inlineStr">
        <is>
          <t>ÅRE</t>
        </is>
      </c>
      <c r="G733" t="n">
        <v>12</v>
      </c>
      <c r="H733" t="n">
        <v>0</v>
      </c>
      <c r="I733" t="n">
        <v>0</v>
      </c>
      <c r="J733" t="n">
        <v>0</v>
      </c>
      <c r="K733" t="n">
        <v>0</v>
      </c>
      <c r="L733" t="n">
        <v>0</v>
      </c>
      <c r="M733" t="n">
        <v>0</v>
      </c>
      <c r="N733" t="n">
        <v>0</v>
      </c>
      <c r="O733" t="n">
        <v>0</v>
      </c>
      <c r="P733" t="n">
        <v>0</v>
      </c>
      <c r="Q733" t="n">
        <v>0</v>
      </c>
      <c r="R733" s="2" t="inlineStr"/>
    </row>
    <row r="734" ht="15" customHeight="1">
      <c r="A734" t="inlineStr">
        <is>
          <t>A 64312-2023</t>
        </is>
      </c>
      <c r="B734" s="1" t="n">
        <v>45279</v>
      </c>
      <c r="C734" s="1" t="n">
        <v>45565</v>
      </c>
      <c r="D734" t="inlineStr">
        <is>
          <t>JÄMTLANDS LÄN</t>
        </is>
      </c>
      <c r="E734" t="inlineStr">
        <is>
          <t>ÅRE</t>
        </is>
      </c>
      <c r="G734" t="n">
        <v>13.4</v>
      </c>
      <c r="H734" t="n">
        <v>0</v>
      </c>
      <c r="I734" t="n">
        <v>0</v>
      </c>
      <c r="J734" t="n">
        <v>0</v>
      </c>
      <c r="K734" t="n">
        <v>0</v>
      </c>
      <c r="L734" t="n">
        <v>0</v>
      </c>
      <c r="M734" t="n">
        <v>0</v>
      </c>
      <c r="N734" t="n">
        <v>0</v>
      </c>
      <c r="O734" t="n">
        <v>0</v>
      </c>
      <c r="P734" t="n">
        <v>0</v>
      </c>
      <c r="Q734" t="n">
        <v>0</v>
      </c>
      <c r="R734" s="2" t="inlineStr"/>
    </row>
    <row r="735" ht="15" customHeight="1">
      <c r="A735" t="inlineStr">
        <is>
          <t>A 64758-2023</t>
        </is>
      </c>
      <c r="B735" s="1" t="n">
        <v>45281</v>
      </c>
      <c r="C735" s="1" t="n">
        <v>45565</v>
      </c>
      <c r="D735" t="inlineStr">
        <is>
          <t>JÄMTLANDS LÄN</t>
        </is>
      </c>
      <c r="E735" t="inlineStr">
        <is>
          <t>ÅRE</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65029-2023</t>
        </is>
      </c>
      <c r="B736" s="1" t="n">
        <v>45287</v>
      </c>
      <c r="C736" s="1" t="n">
        <v>45565</v>
      </c>
      <c r="D736" t="inlineStr">
        <is>
          <t>JÄMTLANDS LÄN</t>
        </is>
      </c>
      <c r="E736" t="inlineStr">
        <is>
          <t>ÅRE</t>
        </is>
      </c>
      <c r="G736" t="n">
        <v>18.2</v>
      </c>
      <c r="H736" t="n">
        <v>0</v>
      </c>
      <c r="I736" t="n">
        <v>0</v>
      </c>
      <c r="J736" t="n">
        <v>0</v>
      </c>
      <c r="K736" t="n">
        <v>0</v>
      </c>
      <c r="L736" t="n">
        <v>0</v>
      </c>
      <c r="M736" t="n">
        <v>0</v>
      </c>
      <c r="N736" t="n">
        <v>0</v>
      </c>
      <c r="O736" t="n">
        <v>0</v>
      </c>
      <c r="P736" t="n">
        <v>0</v>
      </c>
      <c r="Q736" t="n">
        <v>0</v>
      </c>
      <c r="R736" s="2" t="inlineStr"/>
    </row>
    <row r="737" ht="15" customHeight="1">
      <c r="A737" t="inlineStr">
        <is>
          <t>A 65079-2023</t>
        </is>
      </c>
      <c r="B737" s="1" t="n">
        <v>45288</v>
      </c>
      <c r="C737" s="1" t="n">
        <v>45565</v>
      </c>
      <c r="D737" t="inlineStr">
        <is>
          <t>JÄMTLANDS LÄN</t>
        </is>
      </c>
      <c r="E737" t="inlineStr">
        <is>
          <t>ÅRE</t>
        </is>
      </c>
      <c r="G737" t="n">
        <v>6</v>
      </c>
      <c r="H737" t="n">
        <v>0</v>
      </c>
      <c r="I737" t="n">
        <v>0</v>
      </c>
      <c r="J737" t="n">
        <v>0</v>
      </c>
      <c r="K737" t="n">
        <v>0</v>
      </c>
      <c r="L737" t="n">
        <v>0</v>
      </c>
      <c r="M737" t="n">
        <v>0</v>
      </c>
      <c r="N737" t="n">
        <v>0</v>
      </c>
      <c r="O737" t="n">
        <v>0</v>
      </c>
      <c r="P737" t="n">
        <v>0</v>
      </c>
      <c r="Q737" t="n">
        <v>0</v>
      </c>
      <c r="R737" s="2" t="inlineStr"/>
    </row>
    <row r="738" ht="15" customHeight="1">
      <c r="A738" t="inlineStr">
        <is>
          <t>A 65078-2023</t>
        </is>
      </c>
      <c r="B738" s="1" t="n">
        <v>45288</v>
      </c>
      <c r="C738" s="1" t="n">
        <v>45565</v>
      </c>
      <c r="D738" t="inlineStr">
        <is>
          <t>JÄMTLANDS LÄN</t>
        </is>
      </c>
      <c r="E738" t="inlineStr">
        <is>
          <t>ÅRE</t>
        </is>
      </c>
      <c r="G738" t="n">
        <v>2.2</v>
      </c>
      <c r="H738" t="n">
        <v>0</v>
      </c>
      <c r="I738" t="n">
        <v>0</v>
      </c>
      <c r="J738" t="n">
        <v>0</v>
      </c>
      <c r="K738" t="n">
        <v>0</v>
      </c>
      <c r="L738" t="n">
        <v>0</v>
      </c>
      <c r="M738" t="n">
        <v>0</v>
      </c>
      <c r="N738" t="n">
        <v>0</v>
      </c>
      <c r="O738" t="n">
        <v>0</v>
      </c>
      <c r="P738" t="n">
        <v>0</v>
      </c>
      <c r="Q738" t="n">
        <v>0</v>
      </c>
      <c r="R738" s="2" t="inlineStr"/>
    </row>
    <row r="739" ht="15" customHeight="1">
      <c r="A739" t="inlineStr">
        <is>
          <t>A 65033-2023</t>
        </is>
      </c>
      <c r="B739" s="1" t="n">
        <v>45287</v>
      </c>
      <c r="C739" s="1" t="n">
        <v>45565</v>
      </c>
      <c r="D739" t="inlineStr">
        <is>
          <t>JÄMTLANDS LÄN</t>
        </is>
      </c>
      <c r="E739" t="inlineStr">
        <is>
          <t>ÅRE</t>
        </is>
      </c>
      <c r="G739" t="n">
        <v>2.8</v>
      </c>
      <c r="H739" t="n">
        <v>0</v>
      </c>
      <c r="I739" t="n">
        <v>0</v>
      </c>
      <c r="J739" t="n">
        <v>0</v>
      </c>
      <c r="K739" t="n">
        <v>0</v>
      </c>
      <c r="L739" t="n">
        <v>0</v>
      </c>
      <c r="M739" t="n">
        <v>0</v>
      </c>
      <c r="N739" t="n">
        <v>0</v>
      </c>
      <c r="O739" t="n">
        <v>0</v>
      </c>
      <c r="P739" t="n">
        <v>0</v>
      </c>
      <c r="Q739" t="n">
        <v>0</v>
      </c>
      <c r="R739" s="2" t="inlineStr"/>
    </row>
    <row r="740" ht="15" customHeight="1">
      <c r="A740" t="inlineStr">
        <is>
          <t>A 376-2024</t>
        </is>
      </c>
      <c r="B740" s="1" t="n">
        <v>45296</v>
      </c>
      <c r="C740" s="1" t="n">
        <v>45565</v>
      </c>
      <c r="D740" t="inlineStr">
        <is>
          <t>JÄMTLANDS LÄN</t>
        </is>
      </c>
      <c r="E740" t="inlineStr">
        <is>
          <t>ÅRE</t>
        </is>
      </c>
      <c r="F740" t="inlineStr">
        <is>
          <t>Kyrkan</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393-2024</t>
        </is>
      </c>
      <c r="B741" s="1" t="n">
        <v>45296</v>
      </c>
      <c r="C741" s="1" t="n">
        <v>45565</v>
      </c>
      <c r="D741" t="inlineStr">
        <is>
          <t>JÄMTLANDS LÄN</t>
        </is>
      </c>
      <c r="E741" t="inlineStr">
        <is>
          <t>ÅRE</t>
        </is>
      </c>
      <c r="G741" t="n">
        <v>6.5</v>
      </c>
      <c r="H741" t="n">
        <v>0</v>
      </c>
      <c r="I741" t="n">
        <v>0</v>
      </c>
      <c r="J741" t="n">
        <v>0</v>
      </c>
      <c r="K741" t="n">
        <v>0</v>
      </c>
      <c r="L741" t="n">
        <v>0</v>
      </c>
      <c r="M741" t="n">
        <v>0</v>
      </c>
      <c r="N741" t="n">
        <v>0</v>
      </c>
      <c r="O741" t="n">
        <v>0</v>
      </c>
      <c r="P741" t="n">
        <v>0</v>
      </c>
      <c r="Q741" t="n">
        <v>0</v>
      </c>
      <c r="R741" s="2" t="inlineStr"/>
    </row>
    <row r="742" ht="15" customHeight="1">
      <c r="A742" t="inlineStr">
        <is>
          <t>A 747-2024</t>
        </is>
      </c>
      <c r="B742" s="1" t="n">
        <v>45300</v>
      </c>
      <c r="C742" s="1" t="n">
        <v>45565</v>
      </c>
      <c r="D742" t="inlineStr">
        <is>
          <t>JÄMTLANDS LÄN</t>
        </is>
      </c>
      <c r="E742" t="inlineStr">
        <is>
          <t>ÅRE</t>
        </is>
      </c>
      <c r="G742" t="n">
        <v>4.8</v>
      </c>
      <c r="H742" t="n">
        <v>0</v>
      </c>
      <c r="I742" t="n">
        <v>0</v>
      </c>
      <c r="J742" t="n">
        <v>0</v>
      </c>
      <c r="K742" t="n">
        <v>0</v>
      </c>
      <c r="L742" t="n">
        <v>0</v>
      </c>
      <c r="M742" t="n">
        <v>0</v>
      </c>
      <c r="N742" t="n">
        <v>0</v>
      </c>
      <c r="O742" t="n">
        <v>0</v>
      </c>
      <c r="P742" t="n">
        <v>0</v>
      </c>
      <c r="Q742" t="n">
        <v>0</v>
      </c>
      <c r="R742" s="2" t="inlineStr"/>
    </row>
    <row r="743" ht="15" customHeight="1">
      <c r="A743" t="inlineStr">
        <is>
          <t>A 1050-2024</t>
        </is>
      </c>
      <c r="B743" s="1" t="n">
        <v>45301</v>
      </c>
      <c r="C743" s="1" t="n">
        <v>45565</v>
      </c>
      <c r="D743" t="inlineStr">
        <is>
          <t>JÄMTLANDS LÄN</t>
        </is>
      </c>
      <c r="E743" t="inlineStr">
        <is>
          <t>ÅRE</t>
        </is>
      </c>
      <c r="G743" t="n">
        <v>1.8</v>
      </c>
      <c r="H743" t="n">
        <v>0</v>
      </c>
      <c r="I743" t="n">
        <v>0</v>
      </c>
      <c r="J743" t="n">
        <v>0</v>
      </c>
      <c r="K743" t="n">
        <v>0</v>
      </c>
      <c r="L743" t="n">
        <v>0</v>
      </c>
      <c r="M743" t="n">
        <v>0</v>
      </c>
      <c r="N743" t="n">
        <v>0</v>
      </c>
      <c r="O743" t="n">
        <v>0</v>
      </c>
      <c r="P743" t="n">
        <v>0</v>
      </c>
      <c r="Q743" t="n">
        <v>0</v>
      </c>
      <c r="R743" s="2" t="inlineStr"/>
    </row>
    <row r="744" ht="15" customHeight="1">
      <c r="A744" t="inlineStr">
        <is>
          <t>A 1378-2024</t>
        </is>
      </c>
      <c r="B744" s="1" t="n">
        <v>45303</v>
      </c>
      <c r="C744" s="1" t="n">
        <v>45565</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1460-2024</t>
        </is>
      </c>
      <c r="B745" s="1" t="n">
        <v>45303</v>
      </c>
      <c r="C745" s="1" t="n">
        <v>45565</v>
      </c>
      <c r="D745" t="inlineStr">
        <is>
          <t>JÄMTLANDS LÄN</t>
        </is>
      </c>
      <c r="E745" t="inlineStr">
        <is>
          <t>ÅRE</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1491-2024</t>
        </is>
      </c>
      <c r="B746" s="1" t="n">
        <v>45305</v>
      </c>
      <c r="C746" s="1" t="n">
        <v>45565</v>
      </c>
      <c r="D746" t="inlineStr">
        <is>
          <t>JÄMTLANDS LÄN</t>
        </is>
      </c>
      <c r="E746" t="inlineStr">
        <is>
          <t>ÅRE</t>
        </is>
      </c>
      <c r="G746" t="n">
        <v>31.4</v>
      </c>
      <c r="H746" t="n">
        <v>0</v>
      </c>
      <c r="I746" t="n">
        <v>0</v>
      </c>
      <c r="J746" t="n">
        <v>0</v>
      </c>
      <c r="K746" t="n">
        <v>0</v>
      </c>
      <c r="L746" t="n">
        <v>0</v>
      </c>
      <c r="M746" t="n">
        <v>0</v>
      </c>
      <c r="N746" t="n">
        <v>0</v>
      </c>
      <c r="O746" t="n">
        <v>0</v>
      </c>
      <c r="P746" t="n">
        <v>0</v>
      </c>
      <c r="Q746" t="n">
        <v>0</v>
      </c>
      <c r="R746" s="2" t="inlineStr"/>
    </row>
    <row r="747" ht="15" customHeight="1">
      <c r="A747" t="inlineStr">
        <is>
          <t>A 6825-2024</t>
        </is>
      </c>
      <c r="B747" s="1" t="n">
        <v>45342</v>
      </c>
      <c r="C747" s="1" t="n">
        <v>45565</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7334-2024</t>
        </is>
      </c>
      <c r="B748" s="1" t="n">
        <v>45345</v>
      </c>
      <c r="C748" s="1" t="n">
        <v>45565</v>
      </c>
      <c r="D748" t="inlineStr">
        <is>
          <t>JÄMTLANDS LÄN</t>
        </is>
      </c>
      <c r="E748" t="inlineStr">
        <is>
          <t>ÅRE</t>
        </is>
      </c>
      <c r="G748" t="n">
        <v>12.7</v>
      </c>
      <c r="H748" t="n">
        <v>0</v>
      </c>
      <c r="I748" t="n">
        <v>0</v>
      </c>
      <c r="J748" t="n">
        <v>0</v>
      </c>
      <c r="K748" t="n">
        <v>0</v>
      </c>
      <c r="L748" t="n">
        <v>0</v>
      </c>
      <c r="M748" t="n">
        <v>0</v>
      </c>
      <c r="N748" t="n">
        <v>0</v>
      </c>
      <c r="O748" t="n">
        <v>0</v>
      </c>
      <c r="P748" t="n">
        <v>0</v>
      </c>
      <c r="Q748" t="n">
        <v>0</v>
      </c>
      <c r="R748" s="2" t="inlineStr"/>
    </row>
    <row r="749" ht="15" customHeight="1">
      <c r="A749" t="inlineStr">
        <is>
          <t>A 7323-2024</t>
        </is>
      </c>
      <c r="B749" s="1" t="n">
        <v>45345</v>
      </c>
      <c r="C749" s="1" t="n">
        <v>45565</v>
      </c>
      <c r="D749" t="inlineStr">
        <is>
          <t>JÄMTLANDS LÄN</t>
        </is>
      </c>
      <c r="E749" t="inlineStr">
        <is>
          <t>ÅRE</t>
        </is>
      </c>
      <c r="G749" t="n">
        <v>3.7</v>
      </c>
      <c r="H749" t="n">
        <v>0</v>
      </c>
      <c r="I749" t="n">
        <v>0</v>
      </c>
      <c r="J749" t="n">
        <v>0</v>
      </c>
      <c r="K749" t="n">
        <v>0</v>
      </c>
      <c r="L749" t="n">
        <v>0</v>
      </c>
      <c r="M749" t="n">
        <v>0</v>
      </c>
      <c r="N749" t="n">
        <v>0</v>
      </c>
      <c r="O749" t="n">
        <v>0</v>
      </c>
      <c r="P749" t="n">
        <v>0</v>
      </c>
      <c r="Q749" t="n">
        <v>0</v>
      </c>
      <c r="R749" s="2" t="inlineStr"/>
    </row>
    <row r="750" ht="15" customHeight="1">
      <c r="A750" t="inlineStr">
        <is>
          <t>A 8576-2024</t>
        </is>
      </c>
      <c r="B750" s="1" t="n">
        <v>45355</v>
      </c>
      <c r="C750" s="1" t="n">
        <v>45565</v>
      </c>
      <c r="D750" t="inlineStr">
        <is>
          <t>JÄMTLANDS LÄN</t>
        </is>
      </c>
      <c r="E750" t="inlineStr">
        <is>
          <t>ÅRE</t>
        </is>
      </c>
      <c r="G750" t="n">
        <v>21.7</v>
      </c>
      <c r="H750" t="n">
        <v>0</v>
      </c>
      <c r="I750" t="n">
        <v>0</v>
      </c>
      <c r="J750" t="n">
        <v>0</v>
      </c>
      <c r="K750" t="n">
        <v>0</v>
      </c>
      <c r="L750" t="n">
        <v>0</v>
      </c>
      <c r="M750" t="n">
        <v>0</v>
      </c>
      <c r="N750" t="n">
        <v>0</v>
      </c>
      <c r="O750" t="n">
        <v>0</v>
      </c>
      <c r="P750" t="n">
        <v>0</v>
      </c>
      <c r="Q750" t="n">
        <v>0</v>
      </c>
      <c r="R750" s="2" t="inlineStr"/>
    </row>
    <row r="751" ht="15" customHeight="1">
      <c r="A751" t="inlineStr">
        <is>
          <t>A 9926-2024</t>
        </is>
      </c>
      <c r="B751" s="1" t="n">
        <v>45363</v>
      </c>
      <c r="C751" s="1" t="n">
        <v>45565</v>
      </c>
      <c r="D751" t="inlineStr">
        <is>
          <t>JÄMTLANDS LÄN</t>
        </is>
      </c>
      <c r="E751" t="inlineStr">
        <is>
          <t>ÅRE</t>
        </is>
      </c>
      <c r="G751" t="n">
        <v>3.4</v>
      </c>
      <c r="H751" t="n">
        <v>0</v>
      </c>
      <c r="I751" t="n">
        <v>0</v>
      </c>
      <c r="J751" t="n">
        <v>0</v>
      </c>
      <c r="K751" t="n">
        <v>0</v>
      </c>
      <c r="L751" t="n">
        <v>0</v>
      </c>
      <c r="M751" t="n">
        <v>0</v>
      </c>
      <c r="N751" t="n">
        <v>0</v>
      </c>
      <c r="O751" t="n">
        <v>0</v>
      </c>
      <c r="P751" t="n">
        <v>0</v>
      </c>
      <c r="Q751" t="n">
        <v>0</v>
      </c>
      <c r="R751" s="2" t="inlineStr"/>
    </row>
    <row r="752" ht="15" customHeight="1">
      <c r="A752" t="inlineStr">
        <is>
          <t>A 9936-2024</t>
        </is>
      </c>
      <c r="B752" s="1" t="n">
        <v>45363</v>
      </c>
      <c r="C752" s="1" t="n">
        <v>45565</v>
      </c>
      <c r="D752" t="inlineStr">
        <is>
          <t>JÄMTLANDS LÄN</t>
        </is>
      </c>
      <c r="E752" t="inlineStr">
        <is>
          <t>ÅRE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11291-2024</t>
        </is>
      </c>
      <c r="B753" s="1" t="n">
        <v>45371</v>
      </c>
      <c r="C753" s="1" t="n">
        <v>45565</v>
      </c>
      <c r="D753" t="inlineStr">
        <is>
          <t>JÄMTLANDS LÄN</t>
        </is>
      </c>
      <c r="E753" t="inlineStr">
        <is>
          <t>ÅRE</t>
        </is>
      </c>
      <c r="G753" t="n">
        <v>4.4</v>
      </c>
      <c r="H753" t="n">
        <v>0</v>
      </c>
      <c r="I753" t="n">
        <v>0</v>
      </c>
      <c r="J753" t="n">
        <v>0</v>
      </c>
      <c r="K753" t="n">
        <v>0</v>
      </c>
      <c r="L753" t="n">
        <v>0</v>
      </c>
      <c r="M753" t="n">
        <v>0</v>
      </c>
      <c r="N753" t="n">
        <v>0</v>
      </c>
      <c r="O753" t="n">
        <v>0</v>
      </c>
      <c r="P753" t="n">
        <v>0</v>
      </c>
      <c r="Q753" t="n">
        <v>0</v>
      </c>
      <c r="R753" s="2" t="inlineStr"/>
    </row>
    <row r="754" ht="15" customHeight="1">
      <c r="A754" t="inlineStr">
        <is>
          <t>A 11292-2024</t>
        </is>
      </c>
      <c r="B754" s="1" t="n">
        <v>45371</v>
      </c>
      <c r="C754" s="1" t="n">
        <v>45565</v>
      </c>
      <c r="D754" t="inlineStr">
        <is>
          <t>JÄMTLANDS LÄN</t>
        </is>
      </c>
      <c r="E754" t="inlineStr">
        <is>
          <t>ÅRE</t>
        </is>
      </c>
      <c r="G754" t="n">
        <v>1.1</v>
      </c>
      <c r="H754" t="n">
        <v>0</v>
      </c>
      <c r="I754" t="n">
        <v>0</v>
      </c>
      <c r="J754" t="n">
        <v>0</v>
      </c>
      <c r="K754" t="n">
        <v>0</v>
      </c>
      <c r="L754" t="n">
        <v>0</v>
      </c>
      <c r="M754" t="n">
        <v>0</v>
      </c>
      <c r="N754" t="n">
        <v>0</v>
      </c>
      <c r="O754" t="n">
        <v>0</v>
      </c>
      <c r="P754" t="n">
        <v>0</v>
      </c>
      <c r="Q754" t="n">
        <v>0</v>
      </c>
      <c r="R754" s="2" t="inlineStr"/>
    </row>
    <row r="755" ht="15" customHeight="1">
      <c r="A755" t="inlineStr">
        <is>
          <t>A 11914-2024</t>
        </is>
      </c>
      <c r="B755" s="1" t="n">
        <v>45376</v>
      </c>
      <c r="C755" s="1" t="n">
        <v>45565</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11820-2024</t>
        </is>
      </c>
      <c r="B756" s="1" t="n">
        <v>45376</v>
      </c>
      <c r="C756" s="1" t="n">
        <v>45565</v>
      </c>
      <c r="D756" t="inlineStr">
        <is>
          <t>JÄMTLANDS LÄN</t>
        </is>
      </c>
      <c r="E756" t="inlineStr">
        <is>
          <t>ÅRE</t>
        </is>
      </c>
      <c r="G756" t="n">
        <v>9.9</v>
      </c>
      <c r="H756" t="n">
        <v>0</v>
      </c>
      <c r="I756" t="n">
        <v>0</v>
      </c>
      <c r="J756" t="n">
        <v>0</v>
      </c>
      <c r="K756" t="n">
        <v>0</v>
      </c>
      <c r="L756" t="n">
        <v>0</v>
      </c>
      <c r="M756" t="n">
        <v>0</v>
      </c>
      <c r="N756" t="n">
        <v>0</v>
      </c>
      <c r="O756" t="n">
        <v>0</v>
      </c>
      <c r="P756" t="n">
        <v>0</v>
      </c>
      <c r="Q756" t="n">
        <v>0</v>
      </c>
      <c r="R756" s="2" t="inlineStr"/>
    </row>
    <row r="757" ht="15" customHeight="1">
      <c r="A757" t="inlineStr">
        <is>
          <t>A 12427-2024</t>
        </is>
      </c>
      <c r="B757" s="1" t="n">
        <v>45379</v>
      </c>
      <c r="C757" s="1" t="n">
        <v>45565</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12895-2024</t>
        </is>
      </c>
      <c r="B758" s="1" t="n">
        <v>45385</v>
      </c>
      <c r="C758" s="1" t="n">
        <v>45565</v>
      </c>
      <c r="D758" t="inlineStr">
        <is>
          <t>JÄMTLANDS LÄN</t>
        </is>
      </c>
      <c r="E758" t="inlineStr">
        <is>
          <t>ÅRE</t>
        </is>
      </c>
      <c r="G758" t="n">
        <v>7.1</v>
      </c>
      <c r="H758" t="n">
        <v>0</v>
      </c>
      <c r="I758" t="n">
        <v>0</v>
      </c>
      <c r="J758" t="n">
        <v>0</v>
      </c>
      <c r="K758" t="n">
        <v>0</v>
      </c>
      <c r="L758" t="n">
        <v>0</v>
      </c>
      <c r="M758" t="n">
        <v>0</v>
      </c>
      <c r="N758" t="n">
        <v>0</v>
      </c>
      <c r="O758" t="n">
        <v>0</v>
      </c>
      <c r="P758" t="n">
        <v>0</v>
      </c>
      <c r="Q758" t="n">
        <v>0</v>
      </c>
      <c r="R758" s="2" t="inlineStr"/>
    </row>
    <row r="759" ht="15" customHeight="1">
      <c r="A759" t="inlineStr">
        <is>
          <t>A 12933-2024</t>
        </is>
      </c>
      <c r="B759" s="1" t="n">
        <v>45385</v>
      </c>
      <c r="C759" s="1" t="n">
        <v>45565</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12948-2024</t>
        </is>
      </c>
      <c r="B760" s="1" t="n">
        <v>45385</v>
      </c>
      <c r="C760" s="1" t="n">
        <v>45565</v>
      </c>
      <c r="D760" t="inlineStr">
        <is>
          <t>JÄMTLANDS LÄN</t>
        </is>
      </c>
      <c r="E760" t="inlineStr">
        <is>
          <t>ÅRE</t>
        </is>
      </c>
      <c r="G760" t="n">
        <v>1.4</v>
      </c>
      <c r="H760" t="n">
        <v>0</v>
      </c>
      <c r="I760" t="n">
        <v>0</v>
      </c>
      <c r="J760" t="n">
        <v>0</v>
      </c>
      <c r="K760" t="n">
        <v>0</v>
      </c>
      <c r="L760" t="n">
        <v>0</v>
      </c>
      <c r="M760" t="n">
        <v>0</v>
      </c>
      <c r="N760" t="n">
        <v>0</v>
      </c>
      <c r="O760" t="n">
        <v>0</v>
      </c>
      <c r="P760" t="n">
        <v>0</v>
      </c>
      <c r="Q760" t="n">
        <v>0</v>
      </c>
      <c r="R760" s="2" t="inlineStr"/>
    </row>
    <row r="761" ht="15" customHeight="1">
      <c r="A761" t="inlineStr">
        <is>
          <t>A 13039-2024</t>
        </is>
      </c>
      <c r="B761" s="1" t="n">
        <v>45385</v>
      </c>
      <c r="C761" s="1" t="n">
        <v>45565</v>
      </c>
      <c r="D761" t="inlineStr">
        <is>
          <t>JÄMTLANDS LÄN</t>
        </is>
      </c>
      <c r="E761" t="inlineStr">
        <is>
          <t>ÅRE</t>
        </is>
      </c>
      <c r="G761" t="n">
        <v>1.8</v>
      </c>
      <c r="H761" t="n">
        <v>0</v>
      </c>
      <c r="I761" t="n">
        <v>0</v>
      </c>
      <c r="J761" t="n">
        <v>0</v>
      </c>
      <c r="K761" t="n">
        <v>0</v>
      </c>
      <c r="L761" t="n">
        <v>0</v>
      </c>
      <c r="M761" t="n">
        <v>0</v>
      </c>
      <c r="N761" t="n">
        <v>0</v>
      </c>
      <c r="O761" t="n">
        <v>0</v>
      </c>
      <c r="P761" t="n">
        <v>0</v>
      </c>
      <c r="Q761" t="n">
        <v>0</v>
      </c>
      <c r="R761" s="2" t="inlineStr"/>
    </row>
    <row r="762" ht="15" customHeight="1">
      <c r="A762" t="inlineStr">
        <is>
          <t>A 13033-2024</t>
        </is>
      </c>
      <c r="B762" s="1" t="n">
        <v>45385</v>
      </c>
      <c r="C762" s="1" t="n">
        <v>45565</v>
      </c>
      <c r="D762" t="inlineStr">
        <is>
          <t>JÄMTLANDS LÄN</t>
        </is>
      </c>
      <c r="E762" t="inlineStr">
        <is>
          <t>ÅRE</t>
        </is>
      </c>
      <c r="G762" t="n">
        <v>7.3</v>
      </c>
      <c r="H762" t="n">
        <v>0</v>
      </c>
      <c r="I762" t="n">
        <v>0</v>
      </c>
      <c r="J762" t="n">
        <v>0</v>
      </c>
      <c r="K762" t="n">
        <v>0</v>
      </c>
      <c r="L762" t="n">
        <v>0</v>
      </c>
      <c r="M762" t="n">
        <v>0</v>
      </c>
      <c r="N762" t="n">
        <v>0</v>
      </c>
      <c r="O762" t="n">
        <v>0</v>
      </c>
      <c r="P762" t="n">
        <v>0</v>
      </c>
      <c r="Q762" t="n">
        <v>0</v>
      </c>
      <c r="R762" s="2" t="inlineStr"/>
    </row>
    <row r="763" ht="15" customHeight="1">
      <c r="A763" t="inlineStr">
        <is>
          <t>A 13062-2024</t>
        </is>
      </c>
      <c r="B763" s="1" t="n">
        <v>45385</v>
      </c>
      <c r="C763" s="1" t="n">
        <v>45565</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12930-2024</t>
        </is>
      </c>
      <c r="B764" s="1" t="n">
        <v>45385</v>
      </c>
      <c r="C764" s="1" t="n">
        <v>45565</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12951-2024</t>
        </is>
      </c>
      <c r="B765" s="1" t="n">
        <v>45385</v>
      </c>
      <c r="C765" s="1" t="n">
        <v>45565</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13022-2024</t>
        </is>
      </c>
      <c r="B766" s="1" t="n">
        <v>45385</v>
      </c>
      <c r="C766" s="1" t="n">
        <v>45565</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12936-2024</t>
        </is>
      </c>
      <c r="B767" s="1" t="n">
        <v>45385</v>
      </c>
      <c r="C767" s="1" t="n">
        <v>45565</v>
      </c>
      <c r="D767" t="inlineStr">
        <is>
          <t>JÄMTLANDS LÄN</t>
        </is>
      </c>
      <c r="E767" t="inlineStr">
        <is>
          <t>ÅRE</t>
        </is>
      </c>
      <c r="G767" t="n">
        <v>4.9</v>
      </c>
      <c r="H767" t="n">
        <v>0</v>
      </c>
      <c r="I767" t="n">
        <v>0</v>
      </c>
      <c r="J767" t="n">
        <v>0</v>
      </c>
      <c r="K767" t="n">
        <v>0</v>
      </c>
      <c r="L767" t="n">
        <v>0</v>
      </c>
      <c r="M767" t="n">
        <v>0</v>
      </c>
      <c r="N767" t="n">
        <v>0</v>
      </c>
      <c r="O767" t="n">
        <v>0</v>
      </c>
      <c r="P767" t="n">
        <v>0</v>
      </c>
      <c r="Q767" t="n">
        <v>0</v>
      </c>
      <c r="R767" s="2" t="inlineStr"/>
    </row>
    <row r="768" ht="15" customHeight="1">
      <c r="A768" t="inlineStr">
        <is>
          <t>A 12940-2024</t>
        </is>
      </c>
      <c r="B768" s="1" t="n">
        <v>45385</v>
      </c>
      <c r="C768" s="1" t="n">
        <v>45565</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13097-2024</t>
        </is>
      </c>
      <c r="B769" s="1" t="n">
        <v>45385</v>
      </c>
      <c r="C769" s="1" t="n">
        <v>45565</v>
      </c>
      <c r="D769" t="inlineStr">
        <is>
          <t>JÄMTLANDS LÄN</t>
        </is>
      </c>
      <c r="E769" t="inlineStr">
        <is>
          <t>ÅRE</t>
        </is>
      </c>
      <c r="G769" t="n">
        <v>31.4</v>
      </c>
      <c r="H769" t="n">
        <v>0</v>
      </c>
      <c r="I769" t="n">
        <v>0</v>
      </c>
      <c r="J769" t="n">
        <v>0</v>
      </c>
      <c r="K769" t="n">
        <v>0</v>
      </c>
      <c r="L769" t="n">
        <v>0</v>
      </c>
      <c r="M769" t="n">
        <v>0</v>
      </c>
      <c r="N769" t="n">
        <v>0</v>
      </c>
      <c r="O769" t="n">
        <v>0</v>
      </c>
      <c r="P769" t="n">
        <v>0</v>
      </c>
      <c r="Q769" t="n">
        <v>0</v>
      </c>
      <c r="R769" s="2" t="inlineStr"/>
    </row>
    <row r="770" ht="15" customHeight="1">
      <c r="A770" t="inlineStr">
        <is>
          <t>A 13301-2024</t>
        </is>
      </c>
      <c r="B770" s="1" t="n">
        <v>45386</v>
      </c>
      <c r="C770" s="1" t="n">
        <v>45565</v>
      </c>
      <c r="D770" t="inlineStr">
        <is>
          <t>JÄMTLANDS LÄN</t>
        </is>
      </c>
      <c r="E770" t="inlineStr">
        <is>
          <t>ÅRE</t>
        </is>
      </c>
      <c r="G770" t="n">
        <v>9</v>
      </c>
      <c r="H770" t="n">
        <v>0</v>
      </c>
      <c r="I770" t="n">
        <v>0</v>
      </c>
      <c r="J770" t="n">
        <v>0</v>
      </c>
      <c r="K770" t="n">
        <v>0</v>
      </c>
      <c r="L770" t="n">
        <v>0</v>
      </c>
      <c r="M770" t="n">
        <v>0</v>
      </c>
      <c r="N770" t="n">
        <v>0</v>
      </c>
      <c r="O770" t="n">
        <v>0</v>
      </c>
      <c r="P770" t="n">
        <v>0</v>
      </c>
      <c r="Q770" t="n">
        <v>0</v>
      </c>
      <c r="R770" s="2" t="inlineStr"/>
    </row>
    <row r="771" ht="15" customHeight="1">
      <c r="A771" t="inlineStr">
        <is>
          <t>A 13370-2024</t>
        </is>
      </c>
      <c r="B771" s="1" t="n">
        <v>45387</v>
      </c>
      <c r="C771" s="1" t="n">
        <v>45565</v>
      </c>
      <c r="D771" t="inlineStr">
        <is>
          <t>JÄMTLANDS LÄN</t>
        </is>
      </c>
      <c r="E771" t="inlineStr">
        <is>
          <t>ÅRE</t>
        </is>
      </c>
      <c r="G771" t="n">
        <v>8.5</v>
      </c>
      <c r="H771" t="n">
        <v>0</v>
      </c>
      <c r="I771" t="n">
        <v>0</v>
      </c>
      <c r="J771" t="n">
        <v>0</v>
      </c>
      <c r="K771" t="n">
        <v>0</v>
      </c>
      <c r="L771" t="n">
        <v>0</v>
      </c>
      <c r="M771" t="n">
        <v>0</v>
      </c>
      <c r="N771" t="n">
        <v>0</v>
      </c>
      <c r="O771" t="n">
        <v>0</v>
      </c>
      <c r="P771" t="n">
        <v>0</v>
      </c>
      <c r="Q771" t="n">
        <v>0</v>
      </c>
      <c r="R771" s="2" t="inlineStr"/>
    </row>
    <row r="772" ht="15" customHeight="1">
      <c r="A772" t="inlineStr">
        <is>
          <t>A 14497-2024</t>
        </is>
      </c>
      <c r="B772" s="1" t="n">
        <v>45394</v>
      </c>
      <c r="C772" s="1" t="n">
        <v>45565</v>
      </c>
      <c r="D772" t="inlineStr">
        <is>
          <t>JÄMTLANDS LÄN</t>
        </is>
      </c>
      <c r="E772" t="inlineStr">
        <is>
          <t>ÅRE</t>
        </is>
      </c>
      <c r="G772" t="n">
        <v>2.5</v>
      </c>
      <c r="H772" t="n">
        <v>0</v>
      </c>
      <c r="I772" t="n">
        <v>0</v>
      </c>
      <c r="J772" t="n">
        <v>0</v>
      </c>
      <c r="K772" t="n">
        <v>0</v>
      </c>
      <c r="L772" t="n">
        <v>0</v>
      </c>
      <c r="M772" t="n">
        <v>0</v>
      </c>
      <c r="N772" t="n">
        <v>0</v>
      </c>
      <c r="O772" t="n">
        <v>0</v>
      </c>
      <c r="P772" t="n">
        <v>0</v>
      </c>
      <c r="Q772" t="n">
        <v>0</v>
      </c>
      <c r="R772" s="2" t="inlineStr"/>
    </row>
    <row r="773" ht="15" customHeight="1">
      <c r="A773" t="inlineStr">
        <is>
          <t>A 14898-2024</t>
        </is>
      </c>
      <c r="B773" s="1" t="n">
        <v>45398</v>
      </c>
      <c r="C773" s="1" t="n">
        <v>45565</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15517-2024</t>
        </is>
      </c>
      <c r="B774" s="1" t="n">
        <v>45401</v>
      </c>
      <c r="C774" s="1" t="n">
        <v>45565</v>
      </c>
      <c r="D774" t="inlineStr">
        <is>
          <t>JÄMTLANDS LÄN</t>
        </is>
      </c>
      <c r="E774" t="inlineStr">
        <is>
          <t>ÅRE</t>
        </is>
      </c>
      <c r="G774" t="n">
        <v>1.4</v>
      </c>
      <c r="H774" t="n">
        <v>0</v>
      </c>
      <c r="I774" t="n">
        <v>0</v>
      </c>
      <c r="J774" t="n">
        <v>0</v>
      </c>
      <c r="K774" t="n">
        <v>0</v>
      </c>
      <c r="L774" t="n">
        <v>0</v>
      </c>
      <c r="M774" t="n">
        <v>0</v>
      </c>
      <c r="N774" t="n">
        <v>0</v>
      </c>
      <c r="O774" t="n">
        <v>0</v>
      </c>
      <c r="P774" t="n">
        <v>0</v>
      </c>
      <c r="Q774" t="n">
        <v>0</v>
      </c>
      <c r="R774" s="2" t="inlineStr"/>
    </row>
    <row r="775" ht="15" customHeight="1">
      <c r="A775" t="inlineStr">
        <is>
          <t>A 15481-2024</t>
        </is>
      </c>
      <c r="B775" s="1" t="n">
        <v>45401</v>
      </c>
      <c r="C775" s="1" t="n">
        <v>45565</v>
      </c>
      <c r="D775" t="inlineStr">
        <is>
          <t>JÄMTLANDS LÄN</t>
        </is>
      </c>
      <c r="E775" t="inlineStr">
        <is>
          <t>ÅRE</t>
        </is>
      </c>
      <c r="G775" t="n">
        <v>1</v>
      </c>
      <c r="H775" t="n">
        <v>0</v>
      </c>
      <c r="I775" t="n">
        <v>0</v>
      </c>
      <c r="J775" t="n">
        <v>0</v>
      </c>
      <c r="K775" t="n">
        <v>0</v>
      </c>
      <c r="L775" t="n">
        <v>0</v>
      </c>
      <c r="M775" t="n">
        <v>0</v>
      </c>
      <c r="N775" t="n">
        <v>0</v>
      </c>
      <c r="O775" t="n">
        <v>0</v>
      </c>
      <c r="P775" t="n">
        <v>0</v>
      </c>
      <c r="Q775" t="n">
        <v>0</v>
      </c>
      <c r="R775" s="2" t="inlineStr"/>
    </row>
    <row r="776" ht="15" customHeight="1">
      <c r="A776" t="inlineStr">
        <is>
          <t>A 15482-2024</t>
        </is>
      </c>
      <c r="B776" s="1" t="n">
        <v>45401</v>
      </c>
      <c r="C776" s="1" t="n">
        <v>45565</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15480-2024</t>
        </is>
      </c>
      <c r="B777" s="1" t="n">
        <v>45401</v>
      </c>
      <c r="C777" s="1" t="n">
        <v>45565</v>
      </c>
      <c r="D777" t="inlineStr">
        <is>
          <t>JÄMTLANDS LÄN</t>
        </is>
      </c>
      <c r="E777" t="inlineStr">
        <is>
          <t>ÅRE</t>
        </is>
      </c>
      <c r="G777" t="n">
        <v>11.8</v>
      </c>
      <c r="H777" t="n">
        <v>0</v>
      </c>
      <c r="I777" t="n">
        <v>0</v>
      </c>
      <c r="J777" t="n">
        <v>0</v>
      </c>
      <c r="K777" t="n">
        <v>0</v>
      </c>
      <c r="L777" t="n">
        <v>0</v>
      </c>
      <c r="M777" t="n">
        <v>0</v>
      </c>
      <c r="N777" t="n">
        <v>0</v>
      </c>
      <c r="O777" t="n">
        <v>0</v>
      </c>
      <c r="P777" t="n">
        <v>0</v>
      </c>
      <c r="Q777" t="n">
        <v>0</v>
      </c>
      <c r="R777" s="2" t="inlineStr"/>
    </row>
    <row r="778" ht="15" customHeight="1">
      <c r="A778" t="inlineStr">
        <is>
          <t>A 15521-2024</t>
        </is>
      </c>
      <c r="B778" s="1" t="n">
        <v>45401</v>
      </c>
      <c r="C778" s="1" t="n">
        <v>45565</v>
      </c>
      <c r="D778" t="inlineStr">
        <is>
          <t>JÄMTLANDS LÄN</t>
        </is>
      </c>
      <c r="E778" t="inlineStr">
        <is>
          <t>ÅRE</t>
        </is>
      </c>
      <c r="G778" t="n">
        <v>6.3</v>
      </c>
      <c r="H778" t="n">
        <v>0</v>
      </c>
      <c r="I778" t="n">
        <v>0</v>
      </c>
      <c r="J778" t="n">
        <v>0</v>
      </c>
      <c r="K778" t="n">
        <v>0</v>
      </c>
      <c r="L778" t="n">
        <v>0</v>
      </c>
      <c r="M778" t="n">
        <v>0</v>
      </c>
      <c r="N778" t="n">
        <v>0</v>
      </c>
      <c r="O778" t="n">
        <v>0</v>
      </c>
      <c r="P778" t="n">
        <v>0</v>
      </c>
      <c r="Q778" t="n">
        <v>0</v>
      </c>
      <c r="R778" s="2" t="inlineStr"/>
    </row>
    <row r="779" ht="15" customHeight="1">
      <c r="A779" t="inlineStr">
        <is>
          <t>A 15519-2024</t>
        </is>
      </c>
      <c r="B779" s="1" t="n">
        <v>45401</v>
      </c>
      <c r="C779" s="1" t="n">
        <v>45565</v>
      </c>
      <c r="D779" t="inlineStr">
        <is>
          <t>JÄMTLANDS LÄN</t>
        </is>
      </c>
      <c r="E779" t="inlineStr">
        <is>
          <t>ÅRE</t>
        </is>
      </c>
      <c r="G779" t="n">
        <v>0.8</v>
      </c>
      <c r="H779" t="n">
        <v>0</v>
      </c>
      <c r="I779" t="n">
        <v>0</v>
      </c>
      <c r="J779" t="n">
        <v>0</v>
      </c>
      <c r="K779" t="n">
        <v>0</v>
      </c>
      <c r="L779" t="n">
        <v>0</v>
      </c>
      <c r="M779" t="n">
        <v>0</v>
      </c>
      <c r="N779" t="n">
        <v>0</v>
      </c>
      <c r="O779" t="n">
        <v>0</v>
      </c>
      <c r="P779" t="n">
        <v>0</v>
      </c>
      <c r="Q779" t="n">
        <v>0</v>
      </c>
      <c r="R779" s="2" t="inlineStr"/>
    </row>
    <row r="780" ht="15" customHeight="1">
      <c r="A780" t="inlineStr">
        <is>
          <t>A 16348-2024</t>
        </is>
      </c>
      <c r="B780" s="1" t="n">
        <v>45407</v>
      </c>
      <c r="C780" s="1" t="n">
        <v>45565</v>
      </c>
      <c r="D780" t="inlineStr">
        <is>
          <t>JÄMTLANDS LÄN</t>
        </is>
      </c>
      <c r="E780" t="inlineStr">
        <is>
          <t>ÅRE</t>
        </is>
      </c>
      <c r="G780" t="n">
        <v>4.6</v>
      </c>
      <c r="H780" t="n">
        <v>0</v>
      </c>
      <c r="I780" t="n">
        <v>0</v>
      </c>
      <c r="J780" t="n">
        <v>0</v>
      </c>
      <c r="K780" t="n">
        <v>0</v>
      </c>
      <c r="L780" t="n">
        <v>0</v>
      </c>
      <c r="M780" t="n">
        <v>0</v>
      </c>
      <c r="N780" t="n">
        <v>0</v>
      </c>
      <c r="O780" t="n">
        <v>0</v>
      </c>
      <c r="P780" t="n">
        <v>0</v>
      </c>
      <c r="Q780" t="n">
        <v>0</v>
      </c>
      <c r="R780" s="2" t="inlineStr"/>
    </row>
    <row r="781" ht="15" customHeight="1">
      <c r="A781" t="inlineStr">
        <is>
          <t>A 16885-2024</t>
        </is>
      </c>
      <c r="B781" s="1" t="n">
        <v>45411</v>
      </c>
      <c r="C781" s="1" t="n">
        <v>45565</v>
      </c>
      <c r="D781" t="inlineStr">
        <is>
          <t>JÄMTLANDS LÄN</t>
        </is>
      </c>
      <c r="E781" t="inlineStr">
        <is>
          <t>ÅRE</t>
        </is>
      </c>
      <c r="G781" t="n">
        <v>13.7</v>
      </c>
      <c r="H781" t="n">
        <v>0</v>
      </c>
      <c r="I781" t="n">
        <v>0</v>
      </c>
      <c r="J781" t="n">
        <v>0</v>
      </c>
      <c r="K781" t="n">
        <v>0</v>
      </c>
      <c r="L781" t="n">
        <v>0</v>
      </c>
      <c r="M781" t="n">
        <v>0</v>
      </c>
      <c r="N781" t="n">
        <v>0</v>
      </c>
      <c r="O781" t="n">
        <v>0</v>
      </c>
      <c r="P781" t="n">
        <v>0</v>
      </c>
      <c r="Q781" t="n">
        <v>0</v>
      </c>
      <c r="R781" s="2" t="inlineStr"/>
    </row>
    <row r="782" ht="15" customHeight="1">
      <c r="A782" t="inlineStr">
        <is>
          <t>A 17576-2024</t>
        </is>
      </c>
      <c r="B782" s="1" t="n">
        <v>45415</v>
      </c>
      <c r="C782" s="1" t="n">
        <v>45565</v>
      </c>
      <c r="D782" t="inlineStr">
        <is>
          <t>JÄMTLANDS LÄN</t>
        </is>
      </c>
      <c r="E782" t="inlineStr">
        <is>
          <t>ÅRE</t>
        </is>
      </c>
      <c r="G782" t="n">
        <v>0.1</v>
      </c>
      <c r="H782" t="n">
        <v>0</v>
      </c>
      <c r="I782" t="n">
        <v>0</v>
      </c>
      <c r="J782" t="n">
        <v>0</v>
      </c>
      <c r="K782" t="n">
        <v>0</v>
      </c>
      <c r="L782" t="n">
        <v>0</v>
      </c>
      <c r="M782" t="n">
        <v>0</v>
      </c>
      <c r="N782" t="n">
        <v>0</v>
      </c>
      <c r="O782" t="n">
        <v>0</v>
      </c>
      <c r="P782" t="n">
        <v>0</v>
      </c>
      <c r="Q782" t="n">
        <v>0</v>
      </c>
      <c r="R782" s="2" t="inlineStr"/>
    </row>
    <row r="783" ht="15" customHeight="1">
      <c r="A783" t="inlineStr">
        <is>
          <t>A 17777-2024</t>
        </is>
      </c>
      <c r="B783" s="1" t="n">
        <v>45418</v>
      </c>
      <c r="C783" s="1" t="n">
        <v>45565</v>
      </c>
      <c r="D783" t="inlineStr">
        <is>
          <t>JÄMTLANDS LÄN</t>
        </is>
      </c>
      <c r="E783" t="inlineStr">
        <is>
          <t>ÅRE</t>
        </is>
      </c>
      <c r="F783" t="inlineStr">
        <is>
          <t>Övriga Aktiebolag</t>
        </is>
      </c>
      <c r="G783" t="n">
        <v>2.7</v>
      </c>
      <c r="H783" t="n">
        <v>0</v>
      </c>
      <c r="I783" t="n">
        <v>0</v>
      </c>
      <c r="J783" t="n">
        <v>0</v>
      </c>
      <c r="K783" t="n">
        <v>0</v>
      </c>
      <c r="L783" t="n">
        <v>0</v>
      </c>
      <c r="M783" t="n">
        <v>0</v>
      </c>
      <c r="N783" t="n">
        <v>0</v>
      </c>
      <c r="O783" t="n">
        <v>0</v>
      </c>
      <c r="P783" t="n">
        <v>0</v>
      </c>
      <c r="Q783" t="n">
        <v>0</v>
      </c>
      <c r="R783" s="2" t="inlineStr"/>
    </row>
    <row r="784" ht="15" customHeight="1">
      <c r="A784" t="inlineStr">
        <is>
          <t>A 17630-2024</t>
        </is>
      </c>
      <c r="B784" s="1" t="n">
        <v>45418</v>
      </c>
      <c r="C784" s="1" t="n">
        <v>45565</v>
      </c>
      <c r="D784" t="inlineStr">
        <is>
          <t>JÄMTLANDS LÄN</t>
        </is>
      </c>
      <c r="E784" t="inlineStr">
        <is>
          <t>ÅRE</t>
        </is>
      </c>
      <c r="F784" t="inlineStr">
        <is>
          <t>Övriga Aktiebolag</t>
        </is>
      </c>
      <c r="G784" t="n">
        <v>29.2</v>
      </c>
      <c r="H784" t="n">
        <v>0</v>
      </c>
      <c r="I784" t="n">
        <v>0</v>
      </c>
      <c r="J784" t="n">
        <v>0</v>
      </c>
      <c r="K784" t="n">
        <v>0</v>
      </c>
      <c r="L784" t="n">
        <v>0</v>
      </c>
      <c r="M784" t="n">
        <v>0</v>
      </c>
      <c r="N784" t="n">
        <v>0</v>
      </c>
      <c r="O784" t="n">
        <v>0</v>
      </c>
      <c r="P784" t="n">
        <v>0</v>
      </c>
      <c r="Q784" t="n">
        <v>0</v>
      </c>
      <c r="R784" s="2" t="inlineStr"/>
    </row>
    <row r="785" ht="15" customHeight="1">
      <c r="A785" t="inlineStr">
        <is>
          <t>A 18072-2024</t>
        </is>
      </c>
      <c r="B785" s="1" t="n">
        <v>45420</v>
      </c>
      <c r="C785" s="1" t="n">
        <v>45565</v>
      </c>
      <c r="D785" t="inlineStr">
        <is>
          <t>JÄMTLANDS LÄN</t>
        </is>
      </c>
      <c r="E785" t="inlineStr">
        <is>
          <t>ÅRE</t>
        </is>
      </c>
      <c r="G785" t="n">
        <v>1.1</v>
      </c>
      <c r="H785" t="n">
        <v>0</v>
      </c>
      <c r="I785" t="n">
        <v>0</v>
      </c>
      <c r="J785" t="n">
        <v>0</v>
      </c>
      <c r="K785" t="n">
        <v>0</v>
      </c>
      <c r="L785" t="n">
        <v>0</v>
      </c>
      <c r="M785" t="n">
        <v>0</v>
      </c>
      <c r="N785" t="n">
        <v>0</v>
      </c>
      <c r="O785" t="n">
        <v>0</v>
      </c>
      <c r="P785" t="n">
        <v>0</v>
      </c>
      <c r="Q785" t="n">
        <v>0</v>
      </c>
      <c r="R785" s="2" t="inlineStr"/>
    </row>
    <row r="786" ht="15" customHeight="1">
      <c r="A786" t="inlineStr">
        <is>
          <t>A 18928-2024</t>
        </is>
      </c>
      <c r="B786" s="1" t="n">
        <v>45427</v>
      </c>
      <c r="C786" s="1" t="n">
        <v>45565</v>
      </c>
      <c r="D786" t="inlineStr">
        <is>
          <t>JÄMTLANDS LÄN</t>
        </is>
      </c>
      <c r="E786" t="inlineStr">
        <is>
          <t>ÅRE</t>
        </is>
      </c>
      <c r="G786" t="n">
        <v>0.8</v>
      </c>
      <c r="H786" t="n">
        <v>0</v>
      </c>
      <c r="I786" t="n">
        <v>0</v>
      </c>
      <c r="J786" t="n">
        <v>0</v>
      </c>
      <c r="K786" t="n">
        <v>0</v>
      </c>
      <c r="L786" t="n">
        <v>0</v>
      </c>
      <c r="M786" t="n">
        <v>0</v>
      </c>
      <c r="N786" t="n">
        <v>0</v>
      </c>
      <c r="O786" t="n">
        <v>0</v>
      </c>
      <c r="P786" t="n">
        <v>0</v>
      </c>
      <c r="Q786" t="n">
        <v>0</v>
      </c>
      <c r="R786" s="2" t="inlineStr"/>
    </row>
    <row r="787" ht="15" customHeight="1">
      <c r="A787" t="inlineStr">
        <is>
          <t>A 20202-2024</t>
        </is>
      </c>
      <c r="B787" s="1" t="n">
        <v>45434</v>
      </c>
      <c r="C787" s="1" t="n">
        <v>45565</v>
      </c>
      <c r="D787" t="inlineStr">
        <is>
          <t>JÄMTLANDS LÄN</t>
        </is>
      </c>
      <c r="E787" t="inlineStr">
        <is>
          <t>ÅRE</t>
        </is>
      </c>
      <c r="G787" t="n">
        <v>6.7</v>
      </c>
      <c r="H787" t="n">
        <v>0</v>
      </c>
      <c r="I787" t="n">
        <v>0</v>
      </c>
      <c r="J787" t="n">
        <v>0</v>
      </c>
      <c r="K787" t="n">
        <v>0</v>
      </c>
      <c r="L787" t="n">
        <v>0</v>
      </c>
      <c r="M787" t="n">
        <v>0</v>
      </c>
      <c r="N787" t="n">
        <v>0</v>
      </c>
      <c r="O787" t="n">
        <v>0</v>
      </c>
      <c r="P787" t="n">
        <v>0</v>
      </c>
      <c r="Q787" t="n">
        <v>0</v>
      </c>
      <c r="R787" s="2" t="inlineStr"/>
    </row>
    <row r="788" ht="15" customHeight="1">
      <c r="A788" t="inlineStr">
        <is>
          <t>A 20485-2024</t>
        </is>
      </c>
      <c r="B788" s="1" t="n">
        <v>45435</v>
      </c>
      <c r="C788" s="1" t="n">
        <v>45565</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20480-2024</t>
        </is>
      </c>
      <c r="B789" s="1" t="n">
        <v>45435</v>
      </c>
      <c r="C789" s="1" t="n">
        <v>45565</v>
      </c>
      <c r="D789" t="inlineStr">
        <is>
          <t>JÄMTLANDS LÄN</t>
        </is>
      </c>
      <c r="E789" t="inlineStr">
        <is>
          <t>ÅRE</t>
        </is>
      </c>
      <c r="G789" t="n">
        <v>2.7</v>
      </c>
      <c r="H789" t="n">
        <v>0</v>
      </c>
      <c r="I789" t="n">
        <v>0</v>
      </c>
      <c r="J789" t="n">
        <v>0</v>
      </c>
      <c r="K789" t="n">
        <v>0</v>
      </c>
      <c r="L789" t="n">
        <v>0</v>
      </c>
      <c r="M789" t="n">
        <v>0</v>
      </c>
      <c r="N789" t="n">
        <v>0</v>
      </c>
      <c r="O789" t="n">
        <v>0</v>
      </c>
      <c r="P789" t="n">
        <v>0</v>
      </c>
      <c r="Q789" t="n">
        <v>0</v>
      </c>
      <c r="R789" s="2" t="inlineStr"/>
    </row>
    <row r="790" ht="15" customHeight="1">
      <c r="A790" t="inlineStr">
        <is>
          <t>A 20804-2024</t>
        </is>
      </c>
      <c r="B790" s="1" t="n">
        <v>45439</v>
      </c>
      <c r="C790" s="1" t="n">
        <v>45565</v>
      </c>
      <c r="D790" t="inlineStr">
        <is>
          <t>JÄMTLANDS LÄN</t>
        </is>
      </c>
      <c r="E790" t="inlineStr">
        <is>
          <t>ÅRE</t>
        </is>
      </c>
      <c r="G790" t="n">
        <v>6.4</v>
      </c>
      <c r="H790" t="n">
        <v>0</v>
      </c>
      <c r="I790" t="n">
        <v>0</v>
      </c>
      <c r="J790" t="n">
        <v>0</v>
      </c>
      <c r="K790" t="n">
        <v>0</v>
      </c>
      <c r="L790" t="n">
        <v>0</v>
      </c>
      <c r="M790" t="n">
        <v>0</v>
      </c>
      <c r="N790" t="n">
        <v>0</v>
      </c>
      <c r="O790" t="n">
        <v>0</v>
      </c>
      <c r="P790" t="n">
        <v>0</v>
      </c>
      <c r="Q790" t="n">
        <v>0</v>
      </c>
      <c r="R790" s="2" t="inlineStr"/>
    </row>
    <row r="791" ht="15" customHeight="1">
      <c r="A791" t="inlineStr">
        <is>
          <t>A 20999-2024</t>
        </is>
      </c>
      <c r="B791" s="1" t="n">
        <v>45439</v>
      </c>
      <c r="C791" s="1" t="n">
        <v>45565</v>
      </c>
      <c r="D791" t="inlineStr">
        <is>
          <t>JÄMTLANDS LÄN</t>
        </is>
      </c>
      <c r="E791" t="inlineStr">
        <is>
          <t>ÅRE</t>
        </is>
      </c>
      <c r="G791" t="n">
        <v>5.7</v>
      </c>
      <c r="H791" t="n">
        <v>0</v>
      </c>
      <c r="I791" t="n">
        <v>0</v>
      </c>
      <c r="J791" t="n">
        <v>0</v>
      </c>
      <c r="K791" t="n">
        <v>0</v>
      </c>
      <c r="L791" t="n">
        <v>0</v>
      </c>
      <c r="M791" t="n">
        <v>0</v>
      </c>
      <c r="N791" t="n">
        <v>0</v>
      </c>
      <c r="O791" t="n">
        <v>0</v>
      </c>
      <c r="P791" t="n">
        <v>0</v>
      </c>
      <c r="Q791" t="n">
        <v>0</v>
      </c>
      <c r="R791" s="2" t="inlineStr"/>
    </row>
    <row r="792" ht="15" customHeight="1">
      <c r="A792" t="inlineStr">
        <is>
          <t>A 21640-2024</t>
        </is>
      </c>
      <c r="B792" s="1" t="n">
        <v>45442</v>
      </c>
      <c r="C792" s="1" t="n">
        <v>45565</v>
      </c>
      <c r="D792" t="inlineStr">
        <is>
          <t>JÄMTLANDS LÄN</t>
        </is>
      </c>
      <c r="E792" t="inlineStr">
        <is>
          <t>ÅRE</t>
        </is>
      </c>
      <c r="G792" t="n">
        <v>16.4</v>
      </c>
      <c r="H792" t="n">
        <v>0</v>
      </c>
      <c r="I792" t="n">
        <v>0</v>
      </c>
      <c r="J792" t="n">
        <v>0</v>
      </c>
      <c r="K792" t="n">
        <v>0</v>
      </c>
      <c r="L792" t="n">
        <v>0</v>
      </c>
      <c r="M792" t="n">
        <v>0</v>
      </c>
      <c r="N792" t="n">
        <v>0</v>
      </c>
      <c r="O792" t="n">
        <v>0</v>
      </c>
      <c r="P792" t="n">
        <v>0</v>
      </c>
      <c r="Q792" t="n">
        <v>0</v>
      </c>
      <c r="R792" s="2" t="inlineStr"/>
    </row>
    <row r="793" ht="15" customHeight="1">
      <c r="A793" t="inlineStr">
        <is>
          <t>A 22600-2024</t>
        </is>
      </c>
      <c r="B793" s="1" t="n">
        <v>45447</v>
      </c>
      <c r="C793" s="1" t="n">
        <v>45565</v>
      </c>
      <c r="D793" t="inlineStr">
        <is>
          <t>JÄMTLANDS LÄN</t>
        </is>
      </c>
      <c r="E793" t="inlineStr">
        <is>
          <t>ÅRE</t>
        </is>
      </c>
      <c r="G793" t="n">
        <v>22.5</v>
      </c>
      <c r="H793" t="n">
        <v>0</v>
      </c>
      <c r="I793" t="n">
        <v>0</v>
      </c>
      <c r="J793" t="n">
        <v>0</v>
      </c>
      <c r="K793" t="n">
        <v>0</v>
      </c>
      <c r="L793" t="n">
        <v>0</v>
      </c>
      <c r="M793" t="n">
        <v>0</v>
      </c>
      <c r="N793" t="n">
        <v>0</v>
      </c>
      <c r="O793" t="n">
        <v>0</v>
      </c>
      <c r="P793" t="n">
        <v>0</v>
      </c>
      <c r="Q793" t="n">
        <v>0</v>
      </c>
      <c r="R793" s="2" t="inlineStr"/>
    </row>
    <row r="794" ht="15" customHeight="1">
      <c r="A794" t="inlineStr">
        <is>
          <t>A 22687-2024</t>
        </is>
      </c>
      <c r="B794" s="1" t="n">
        <v>45448</v>
      </c>
      <c r="C794" s="1" t="n">
        <v>45565</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23159-2024</t>
        </is>
      </c>
      <c r="B795" s="1" t="n">
        <v>45450</v>
      </c>
      <c r="C795" s="1" t="n">
        <v>45565</v>
      </c>
      <c r="D795" t="inlineStr">
        <is>
          <t>JÄMTLANDS LÄN</t>
        </is>
      </c>
      <c r="E795" t="inlineStr">
        <is>
          <t>ÅRE</t>
        </is>
      </c>
      <c r="G795" t="n">
        <v>1.2</v>
      </c>
      <c r="H795" t="n">
        <v>0</v>
      </c>
      <c r="I795" t="n">
        <v>0</v>
      </c>
      <c r="J795" t="n">
        <v>0</v>
      </c>
      <c r="K795" t="n">
        <v>0</v>
      </c>
      <c r="L795" t="n">
        <v>0</v>
      </c>
      <c r="M795" t="n">
        <v>0</v>
      </c>
      <c r="N795" t="n">
        <v>0</v>
      </c>
      <c r="O795" t="n">
        <v>0</v>
      </c>
      <c r="P795" t="n">
        <v>0</v>
      </c>
      <c r="Q795" t="n">
        <v>0</v>
      </c>
      <c r="R795" s="2" t="inlineStr"/>
    </row>
    <row r="796" ht="15" customHeight="1">
      <c r="A796" t="inlineStr">
        <is>
          <t>A 23805-2024</t>
        </is>
      </c>
      <c r="B796" s="1" t="n">
        <v>45455</v>
      </c>
      <c r="C796" s="1" t="n">
        <v>45565</v>
      </c>
      <c r="D796" t="inlineStr">
        <is>
          <t>JÄMTLANDS LÄN</t>
        </is>
      </c>
      <c r="E796" t="inlineStr">
        <is>
          <t>ÅRE</t>
        </is>
      </c>
      <c r="G796" t="n">
        <v>1.5</v>
      </c>
      <c r="H796" t="n">
        <v>0</v>
      </c>
      <c r="I796" t="n">
        <v>0</v>
      </c>
      <c r="J796" t="n">
        <v>0</v>
      </c>
      <c r="K796" t="n">
        <v>0</v>
      </c>
      <c r="L796" t="n">
        <v>0</v>
      </c>
      <c r="M796" t="n">
        <v>0</v>
      </c>
      <c r="N796" t="n">
        <v>0</v>
      </c>
      <c r="O796" t="n">
        <v>0</v>
      </c>
      <c r="P796" t="n">
        <v>0</v>
      </c>
      <c r="Q796" t="n">
        <v>0</v>
      </c>
      <c r="R796" s="2" t="inlineStr"/>
    </row>
    <row r="797" ht="15" customHeight="1">
      <c r="A797" t="inlineStr">
        <is>
          <t>A 23822-2024</t>
        </is>
      </c>
      <c r="B797" s="1" t="n">
        <v>45455</v>
      </c>
      <c r="C797" s="1" t="n">
        <v>45565</v>
      </c>
      <c r="D797" t="inlineStr">
        <is>
          <t>JÄMTLANDS LÄN</t>
        </is>
      </c>
      <c r="E797" t="inlineStr">
        <is>
          <t>ÅRE</t>
        </is>
      </c>
      <c r="G797" t="n">
        <v>4.8</v>
      </c>
      <c r="H797" t="n">
        <v>0</v>
      </c>
      <c r="I797" t="n">
        <v>0</v>
      </c>
      <c r="J797" t="n">
        <v>0</v>
      </c>
      <c r="K797" t="n">
        <v>0</v>
      </c>
      <c r="L797" t="n">
        <v>0</v>
      </c>
      <c r="M797" t="n">
        <v>0</v>
      </c>
      <c r="N797" t="n">
        <v>0</v>
      </c>
      <c r="O797" t="n">
        <v>0</v>
      </c>
      <c r="P797" t="n">
        <v>0</v>
      </c>
      <c r="Q797" t="n">
        <v>0</v>
      </c>
      <c r="R797" s="2" t="inlineStr"/>
    </row>
    <row r="798" ht="15" customHeight="1">
      <c r="A798" t="inlineStr">
        <is>
          <t>A 24344-2024</t>
        </is>
      </c>
      <c r="B798" s="1" t="n">
        <v>45457</v>
      </c>
      <c r="C798" s="1" t="n">
        <v>45565</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25379-2024</t>
        </is>
      </c>
      <c r="B799" s="1" t="n">
        <v>45462</v>
      </c>
      <c r="C799" s="1" t="n">
        <v>45565</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25710-2024</t>
        </is>
      </c>
      <c r="B800" s="1" t="n">
        <v>45463</v>
      </c>
      <c r="C800" s="1" t="n">
        <v>45565</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25517-2024</t>
        </is>
      </c>
      <c r="B801" s="1" t="n">
        <v>45463</v>
      </c>
      <c r="C801" s="1" t="n">
        <v>45565</v>
      </c>
      <c r="D801" t="inlineStr">
        <is>
          <t>JÄMTLANDS LÄN</t>
        </is>
      </c>
      <c r="E801" t="inlineStr">
        <is>
          <t>ÅRE</t>
        </is>
      </c>
      <c r="G801" t="n">
        <v>5.3</v>
      </c>
      <c r="H801" t="n">
        <v>0</v>
      </c>
      <c r="I801" t="n">
        <v>0</v>
      </c>
      <c r="J801" t="n">
        <v>0</v>
      </c>
      <c r="K801" t="n">
        <v>0</v>
      </c>
      <c r="L801" t="n">
        <v>0</v>
      </c>
      <c r="M801" t="n">
        <v>0</v>
      </c>
      <c r="N801" t="n">
        <v>0</v>
      </c>
      <c r="O801" t="n">
        <v>0</v>
      </c>
      <c r="P801" t="n">
        <v>0</v>
      </c>
      <c r="Q801" t="n">
        <v>0</v>
      </c>
      <c r="R801" s="2" t="inlineStr"/>
    </row>
    <row r="802" ht="15" customHeight="1">
      <c r="A802" t="inlineStr">
        <is>
          <t>A 26312-2024</t>
        </is>
      </c>
      <c r="B802" s="1" t="n">
        <v>45468</v>
      </c>
      <c r="C802" s="1" t="n">
        <v>45565</v>
      </c>
      <c r="D802" t="inlineStr">
        <is>
          <t>JÄMTLANDS LÄN</t>
        </is>
      </c>
      <c r="E802" t="inlineStr">
        <is>
          <t>ÅRE</t>
        </is>
      </c>
      <c r="G802" t="n">
        <v>4.5</v>
      </c>
      <c r="H802" t="n">
        <v>0</v>
      </c>
      <c r="I802" t="n">
        <v>0</v>
      </c>
      <c r="J802" t="n">
        <v>0</v>
      </c>
      <c r="K802" t="n">
        <v>0</v>
      </c>
      <c r="L802" t="n">
        <v>0</v>
      </c>
      <c r="M802" t="n">
        <v>0</v>
      </c>
      <c r="N802" t="n">
        <v>0</v>
      </c>
      <c r="O802" t="n">
        <v>0</v>
      </c>
      <c r="P802" t="n">
        <v>0</v>
      </c>
      <c r="Q802" t="n">
        <v>0</v>
      </c>
      <c r="R802" s="2" t="inlineStr"/>
    </row>
    <row r="803" ht="15" customHeight="1">
      <c r="A803" t="inlineStr">
        <is>
          <t>A 27500-2024</t>
        </is>
      </c>
      <c r="B803" s="1" t="n">
        <v>45474</v>
      </c>
      <c r="C803" s="1" t="n">
        <v>45565</v>
      </c>
      <c r="D803" t="inlineStr">
        <is>
          <t>JÄMTLANDS LÄN</t>
        </is>
      </c>
      <c r="E803" t="inlineStr">
        <is>
          <t>ÅRE</t>
        </is>
      </c>
      <c r="G803" t="n">
        <v>4.1</v>
      </c>
      <c r="H803" t="n">
        <v>0</v>
      </c>
      <c r="I803" t="n">
        <v>0</v>
      </c>
      <c r="J803" t="n">
        <v>0</v>
      </c>
      <c r="K803" t="n">
        <v>0</v>
      </c>
      <c r="L803" t="n">
        <v>0</v>
      </c>
      <c r="M803" t="n">
        <v>0</v>
      </c>
      <c r="N803" t="n">
        <v>0</v>
      </c>
      <c r="O803" t="n">
        <v>0</v>
      </c>
      <c r="P803" t="n">
        <v>0</v>
      </c>
      <c r="Q803" t="n">
        <v>0</v>
      </c>
      <c r="R803" s="2" t="inlineStr"/>
    </row>
    <row r="804" ht="15" customHeight="1">
      <c r="A804" t="inlineStr">
        <is>
          <t>A 27456-2024</t>
        </is>
      </c>
      <c r="B804" s="1" t="n">
        <v>45474</v>
      </c>
      <c r="C804" s="1" t="n">
        <v>45565</v>
      </c>
      <c r="D804" t="inlineStr">
        <is>
          <t>JÄMTLANDS LÄN</t>
        </is>
      </c>
      <c r="E804" t="inlineStr">
        <is>
          <t>ÅRE</t>
        </is>
      </c>
      <c r="G804" t="n">
        <v>6.1</v>
      </c>
      <c r="H804" t="n">
        <v>0</v>
      </c>
      <c r="I804" t="n">
        <v>0</v>
      </c>
      <c r="J804" t="n">
        <v>0</v>
      </c>
      <c r="K804" t="n">
        <v>0</v>
      </c>
      <c r="L804" t="n">
        <v>0</v>
      </c>
      <c r="M804" t="n">
        <v>0</v>
      </c>
      <c r="N804" t="n">
        <v>0</v>
      </c>
      <c r="O804" t="n">
        <v>0</v>
      </c>
      <c r="P804" t="n">
        <v>0</v>
      </c>
      <c r="Q804" t="n">
        <v>0</v>
      </c>
      <c r="R804" s="2" t="inlineStr"/>
    </row>
    <row r="805" ht="15" customHeight="1">
      <c r="A805" t="inlineStr">
        <is>
          <t>A 28642-2024</t>
        </is>
      </c>
      <c r="B805" s="1" t="n">
        <v>45478</v>
      </c>
      <c r="C805" s="1" t="n">
        <v>45565</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29177-2024</t>
        </is>
      </c>
      <c r="B806" s="1" t="n">
        <v>45482</v>
      </c>
      <c r="C806" s="1" t="n">
        <v>45565</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30080-2024</t>
        </is>
      </c>
      <c r="B807" s="1" t="n">
        <v>45485</v>
      </c>
      <c r="C807" s="1" t="n">
        <v>45565</v>
      </c>
      <c r="D807" t="inlineStr">
        <is>
          <t>JÄMTLANDS LÄN</t>
        </is>
      </c>
      <c r="E807" t="inlineStr">
        <is>
          <t>ÅRE</t>
        </is>
      </c>
      <c r="G807" t="n">
        <v>24.6</v>
      </c>
      <c r="H807" t="n">
        <v>0</v>
      </c>
      <c r="I807" t="n">
        <v>0</v>
      </c>
      <c r="J807" t="n">
        <v>0</v>
      </c>
      <c r="K807" t="n">
        <v>0</v>
      </c>
      <c r="L807" t="n">
        <v>0</v>
      </c>
      <c r="M807" t="n">
        <v>0</v>
      </c>
      <c r="N807" t="n">
        <v>0</v>
      </c>
      <c r="O807" t="n">
        <v>0</v>
      </c>
      <c r="P807" t="n">
        <v>0</v>
      </c>
      <c r="Q807" t="n">
        <v>0</v>
      </c>
      <c r="R807" s="2" t="inlineStr"/>
    </row>
    <row r="808" ht="15" customHeight="1">
      <c r="A808" t="inlineStr">
        <is>
          <t>A 30081-2024</t>
        </is>
      </c>
      <c r="B808" s="1" t="n">
        <v>45485</v>
      </c>
      <c r="C808" s="1" t="n">
        <v>45565</v>
      </c>
      <c r="D808" t="inlineStr">
        <is>
          <t>JÄMTLANDS LÄN</t>
        </is>
      </c>
      <c r="E808" t="inlineStr">
        <is>
          <t>ÅRE</t>
        </is>
      </c>
      <c r="G808" t="n">
        <v>17.8</v>
      </c>
      <c r="H808" t="n">
        <v>0</v>
      </c>
      <c r="I808" t="n">
        <v>0</v>
      </c>
      <c r="J808" t="n">
        <v>0</v>
      </c>
      <c r="K808" t="n">
        <v>0</v>
      </c>
      <c r="L808" t="n">
        <v>0</v>
      </c>
      <c r="M808" t="n">
        <v>0</v>
      </c>
      <c r="N808" t="n">
        <v>0</v>
      </c>
      <c r="O808" t="n">
        <v>0</v>
      </c>
      <c r="P808" t="n">
        <v>0</v>
      </c>
      <c r="Q808" t="n">
        <v>0</v>
      </c>
      <c r="R808" s="2" t="inlineStr"/>
    </row>
    <row r="809" ht="15" customHeight="1">
      <c r="A809" t="inlineStr">
        <is>
          <t>A 30379-2024</t>
        </is>
      </c>
      <c r="B809" s="1" t="n">
        <v>45491</v>
      </c>
      <c r="C809" s="1" t="n">
        <v>45565</v>
      </c>
      <c r="D809" t="inlineStr">
        <is>
          <t>JÄMTLANDS LÄN</t>
        </is>
      </c>
      <c r="E809" t="inlineStr">
        <is>
          <t>ÅRE</t>
        </is>
      </c>
      <c r="G809" t="n">
        <v>2.4</v>
      </c>
      <c r="H809" t="n">
        <v>0</v>
      </c>
      <c r="I809" t="n">
        <v>0</v>
      </c>
      <c r="J809" t="n">
        <v>0</v>
      </c>
      <c r="K809" t="n">
        <v>0</v>
      </c>
      <c r="L809" t="n">
        <v>0</v>
      </c>
      <c r="M809" t="n">
        <v>0</v>
      </c>
      <c r="N809" t="n">
        <v>0</v>
      </c>
      <c r="O809" t="n">
        <v>0</v>
      </c>
      <c r="P809" t="n">
        <v>0</v>
      </c>
      <c r="Q809" t="n">
        <v>0</v>
      </c>
      <c r="R809" s="2" t="inlineStr"/>
    </row>
    <row r="810" ht="15" customHeight="1">
      <c r="A810" t="inlineStr">
        <is>
          <t>A 30987-2024</t>
        </is>
      </c>
      <c r="B810" s="1" t="n">
        <v>45499</v>
      </c>
      <c r="C810" s="1" t="n">
        <v>45565</v>
      </c>
      <c r="D810" t="inlineStr">
        <is>
          <t>JÄMTLANDS LÄN</t>
        </is>
      </c>
      <c r="E810" t="inlineStr">
        <is>
          <t>ÅRE</t>
        </is>
      </c>
      <c r="G810" t="n">
        <v>10</v>
      </c>
      <c r="H810" t="n">
        <v>0</v>
      </c>
      <c r="I810" t="n">
        <v>0</v>
      </c>
      <c r="J810" t="n">
        <v>0</v>
      </c>
      <c r="K810" t="n">
        <v>0</v>
      </c>
      <c r="L810" t="n">
        <v>0</v>
      </c>
      <c r="M810" t="n">
        <v>0</v>
      </c>
      <c r="N810" t="n">
        <v>0</v>
      </c>
      <c r="O810" t="n">
        <v>0</v>
      </c>
      <c r="P810" t="n">
        <v>0</v>
      </c>
      <c r="Q810" t="n">
        <v>0</v>
      </c>
      <c r="R810" s="2" t="inlineStr"/>
    </row>
    <row r="811" ht="15" customHeight="1">
      <c r="A811" t="inlineStr">
        <is>
          <t>A 33230-2024</t>
        </is>
      </c>
      <c r="B811" s="1" t="n">
        <v>45518</v>
      </c>
      <c r="C811" s="1" t="n">
        <v>45565</v>
      </c>
      <c r="D811" t="inlineStr">
        <is>
          <t>JÄMTLANDS LÄN</t>
        </is>
      </c>
      <c r="E811" t="inlineStr">
        <is>
          <t>ÅRE</t>
        </is>
      </c>
      <c r="G811" t="n">
        <v>2.4</v>
      </c>
      <c r="H811" t="n">
        <v>0</v>
      </c>
      <c r="I811" t="n">
        <v>0</v>
      </c>
      <c r="J811" t="n">
        <v>0</v>
      </c>
      <c r="K811" t="n">
        <v>0</v>
      </c>
      <c r="L811" t="n">
        <v>0</v>
      </c>
      <c r="M811" t="n">
        <v>0</v>
      </c>
      <c r="N811" t="n">
        <v>0</v>
      </c>
      <c r="O811" t="n">
        <v>0</v>
      </c>
      <c r="P811" t="n">
        <v>0</v>
      </c>
      <c r="Q811" t="n">
        <v>0</v>
      </c>
      <c r="R811" s="2" t="inlineStr"/>
    </row>
    <row r="812" ht="15" customHeight="1">
      <c r="A812" t="inlineStr">
        <is>
          <t>A 33239-2024</t>
        </is>
      </c>
      <c r="B812" s="1" t="n">
        <v>45518</v>
      </c>
      <c r="C812" s="1" t="n">
        <v>45565</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33379-2024</t>
        </is>
      </c>
      <c r="B813" s="1" t="n">
        <v>45519</v>
      </c>
      <c r="C813" s="1" t="n">
        <v>45565</v>
      </c>
      <c r="D813" t="inlineStr">
        <is>
          <t>JÄMTLANDS LÄN</t>
        </is>
      </c>
      <c r="E813" t="inlineStr">
        <is>
          <t>ÅRE</t>
        </is>
      </c>
      <c r="G813" t="n">
        <v>1.5</v>
      </c>
      <c r="H813" t="n">
        <v>0</v>
      </c>
      <c r="I813" t="n">
        <v>0</v>
      </c>
      <c r="J813" t="n">
        <v>0</v>
      </c>
      <c r="K813" t="n">
        <v>0</v>
      </c>
      <c r="L813" t="n">
        <v>0</v>
      </c>
      <c r="M813" t="n">
        <v>0</v>
      </c>
      <c r="N813" t="n">
        <v>0</v>
      </c>
      <c r="O813" t="n">
        <v>0</v>
      </c>
      <c r="P813" t="n">
        <v>0</v>
      </c>
      <c r="Q813" t="n">
        <v>0</v>
      </c>
      <c r="R813" s="2" t="inlineStr"/>
    </row>
    <row r="814" ht="15" customHeight="1">
      <c r="A814" t="inlineStr">
        <is>
          <t>A 34149-2024</t>
        </is>
      </c>
      <c r="B814" s="1" t="n">
        <v>45524</v>
      </c>
      <c r="C814" s="1" t="n">
        <v>45565</v>
      </c>
      <c r="D814" t="inlineStr">
        <is>
          <t>JÄMTLANDS LÄN</t>
        </is>
      </c>
      <c r="E814" t="inlineStr">
        <is>
          <t>ÅRE</t>
        </is>
      </c>
      <c r="G814" t="n">
        <v>2.4</v>
      </c>
      <c r="H814" t="n">
        <v>0</v>
      </c>
      <c r="I814" t="n">
        <v>0</v>
      </c>
      <c r="J814" t="n">
        <v>0</v>
      </c>
      <c r="K814" t="n">
        <v>0</v>
      </c>
      <c r="L814" t="n">
        <v>0</v>
      </c>
      <c r="M814" t="n">
        <v>0</v>
      </c>
      <c r="N814" t="n">
        <v>0</v>
      </c>
      <c r="O814" t="n">
        <v>0</v>
      </c>
      <c r="P814" t="n">
        <v>0</v>
      </c>
      <c r="Q814" t="n">
        <v>0</v>
      </c>
      <c r="R814" s="2" t="inlineStr"/>
    </row>
    <row r="815" ht="15" customHeight="1">
      <c r="A815" t="inlineStr">
        <is>
          <t>A 35745-2024</t>
        </is>
      </c>
      <c r="B815" s="1" t="n">
        <v>45532</v>
      </c>
      <c r="C815" s="1" t="n">
        <v>45565</v>
      </c>
      <c r="D815" t="inlineStr">
        <is>
          <t>JÄMTLANDS LÄN</t>
        </is>
      </c>
      <c r="E815" t="inlineStr">
        <is>
          <t>ÅRE</t>
        </is>
      </c>
      <c r="G815" t="n">
        <v>4.2</v>
      </c>
      <c r="H815" t="n">
        <v>0</v>
      </c>
      <c r="I815" t="n">
        <v>0</v>
      </c>
      <c r="J815" t="n">
        <v>0</v>
      </c>
      <c r="K815" t="n">
        <v>0</v>
      </c>
      <c r="L815" t="n">
        <v>0</v>
      </c>
      <c r="M815" t="n">
        <v>0</v>
      </c>
      <c r="N815" t="n">
        <v>0</v>
      </c>
      <c r="O815" t="n">
        <v>0</v>
      </c>
      <c r="P815" t="n">
        <v>0</v>
      </c>
      <c r="Q815" t="n">
        <v>0</v>
      </c>
      <c r="R815" s="2" t="inlineStr"/>
    </row>
    <row r="816" ht="15" customHeight="1">
      <c r="A816" t="inlineStr">
        <is>
          <t>A 37718-2024</t>
        </is>
      </c>
      <c r="B816" s="1" t="n">
        <v>45541</v>
      </c>
      <c r="C816" s="1" t="n">
        <v>45565</v>
      </c>
      <c r="D816" t="inlineStr">
        <is>
          <t>JÄMTLANDS LÄN</t>
        </is>
      </c>
      <c r="E816" t="inlineStr">
        <is>
          <t>ÅRE</t>
        </is>
      </c>
      <c r="G816" t="n">
        <v>2.9</v>
      </c>
      <c r="H816" t="n">
        <v>0</v>
      </c>
      <c r="I816" t="n">
        <v>0</v>
      </c>
      <c r="J816" t="n">
        <v>0</v>
      </c>
      <c r="K816" t="n">
        <v>0</v>
      </c>
      <c r="L816" t="n">
        <v>0</v>
      </c>
      <c r="M816" t="n">
        <v>0</v>
      </c>
      <c r="N816" t="n">
        <v>0</v>
      </c>
      <c r="O816" t="n">
        <v>0</v>
      </c>
      <c r="P816" t="n">
        <v>0</v>
      </c>
      <c r="Q816" t="n">
        <v>0</v>
      </c>
      <c r="R816" s="2" t="inlineStr"/>
    </row>
    <row r="817" ht="15" customHeight="1">
      <c r="A817" t="inlineStr">
        <is>
          <t>A 38082-2024</t>
        </is>
      </c>
      <c r="B817" s="1" t="n">
        <v>45545</v>
      </c>
      <c r="C817" s="1" t="n">
        <v>45565</v>
      </c>
      <c r="D817" t="inlineStr">
        <is>
          <t>JÄMTLANDS LÄN</t>
        </is>
      </c>
      <c r="E817" t="inlineStr">
        <is>
          <t>ÅRE</t>
        </is>
      </c>
      <c r="F817" t="inlineStr">
        <is>
          <t>Övriga Aktiebolag</t>
        </is>
      </c>
      <c r="G817" t="n">
        <v>17.4</v>
      </c>
      <c r="H817" t="n">
        <v>0</v>
      </c>
      <c r="I817" t="n">
        <v>0</v>
      </c>
      <c r="J817" t="n">
        <v>0</v>
      </c>
      <c r="K817" t="n">
        <v>0</v>
      </c>
      <c r="L817" t="n">
        <v>0</v>
      </c>
      <c r="M817" t="n">
        <v>0</v>
      </c>
      <c r="N817" t="n">
        <v>0</v>
      </c>
      <c r="O817" t="n">
        <v>0</v>
      </c>
      <c r="P817" t="n">
        <v>0</v>
      </c>
      <c r="Q817" t="n">
        <v>0</v>
      </c>
      <c r="R817" s="2" t="inlineStr"/>
    </row>
    <row r="818" ht="15" customHeight="1">
      <c r="A818" t="inlineStr">
        <is>
          <t>A 38268-2024</t>
        </is>
      </c>
      <c r="B818" s="1" t="n">
        <v>45545</v>
      </c>
      <c r="C818" s="1" t="n">
        <v>45565</v>
      </c>
      <c r="D818" t="inlineStr">
        <is>
          <t>JÄMTLANDS LÄN</t>
        </is>
      </c>
      <c r="E818" t="inlineStr">
        <is>
          <t>ÅRE</t>
        </is>
      </c>
      <c r="G818" t="n">
        <v>1.2</v>
      </c>
      <c r="H818" t="n">
        <v>0</v>
      </c>
      <c r="I818" t="n">
        <v>0</v>
      </c>
      <c r="J818" t="n">
        <v>0</v>
      </c>
      <c r="K818" t="n">
        <v>0</v>
      </c>
      <c r="L818" t="n">
        <v>0</v>
      </c>
      <c r="M818" t="n">
        <v>0</v>
      </c>
      <c r="N818" t="n">
        <v>0</v>
      </c>
      <c r="O818" t="n">
        <v>0</v>
      </c>
      <c r="P818" t="n">
        <v>0</v>
      </c>
      <c r="Q818" t="n">
        <v>0</v>
      </c>
      <c r="R818" s="2" t="inlineStr"/>
    </row>
    <row r="819" ht="15" customHeight="1">
      <c r="A819" t="inlineStr">
        <is>
          <t>A 38276-2024</t>
        </is>
      </c>
      <c r="B819" s="1" t="n">
        <v>45545</v>
      </c>
      <c r="C819" s="1" t="n">
        <v>45565</v>
      </c>
      <c r="D819" t="inlineStr">
        <is>
          <t>JÄMTLANDS LÄN</t>
        </is>
      </c>
      <c r="E819" t="inlineStr">
        <is>
          <t>ÅRE</t>
        </is>
      </c>
      <c r="G819" t="n">
        <v>6.9</v>
      </c>
      <c r="H819" t="n">
        <v>0</v>
      </c>
      <c r="I819" t="n">
        <v>0</v>
      </c>
      <c r="J819" t="n">
        <v>0</v>
      </c>
      <c r="K819" t="n">
        <v>0</v>
      </c>
      <c r="L819" t="n">
        <v>0</v>
      </c>
      <c r="M819" t="n">
        <v>0</v>
      </c>
      <c r="N819" t="n">
        <v>0</v>
      </c>
      <c r="O819" t="n">
        <v>0</v>
      </c>
      <c r="P819" t="n">
        <v>0</v>
      </c>
      <c r="Q819" t="n">
        <v>0</v>
      </c>
      <c r="R819" s="2" t="inlineStr"/>
    </row>
    <row r="820" ht="15" customHeight="1">
      <c r="A820" t="inlineStr">
        <is>
          <t>A 38227-2024</t>
        </is>
      </c>
      <c r="B820" s="1" t="n">
        <v>45545</v>
      </c>
      <c r="C820" s="1" t="n">
        <v>45565</v>
      </c>
      <c r="D820" t="inlineStr">
        <is>
          <t>JÄMTLANDS LÄN</t>
        </is>
      </c>
      <c r="E820" t="inlineStr">
        <is>
          <t>ÅRE</t>
        </is>
      </c>
      <c r="G820" t="n">
        <v>3.9</v>
      </c>
      <c r="H820" t="n">
        <v>0</v>
      </c>
      <c r="I820" t="n">
        <v>0</v>
      </c>
      <c r="J820" t="n">
        <v>0</v>
      </c>
      <c r="K820" t="n">
        <v>0</v>
      </c>
      <c r="L820" t="n">
        <v>0</v>
      </c>
      <c r="M820" t="n">
        <v>0</v>
      </c>
      <c r="N820" t="n">
        <v>0</v>
      </c>
      <c r="O820" t="n">
        <v>0</v>
      </c>
      <c r="P820" t="n">
        <v>0</v>
      </c>
      <c r="Q820" t="n">
        <v>0</v>
      </c>
      <c r="R820" s="2" t="inlineStr"/>
    </row>
    <row r="821" ht="15" customHeight="1">
      <c r="A821" t="inlineStr">
        <is>
          <t>A 38263-2024</t>
        </is>
      </c>
      <c r="B821" s="1" t="n">
        <v>45545</v>
      </c>
      <c r="C821" s="1" t="n">
        <v>45565</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38791-2024</t>
        </is>
      </c>
      <c r="B822" s="1" t="n">
        <v>45547</v>
      </c>
      <c r="C822" s="1" t="n">
        <v>45565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39068-2024</t>
        </is>
      </c>
      <c r="B823" s="1" t="n">
        <v>45548</v>
      </c>
      <c r="C823" s="1" t="n">
        <v>45565</v>
      </c>
      <c r="D823" t="inlineStr">
        <is>
          <t>JÄMTLANDS LÄN</t>
        </is>
      </c>
      <c r="E823" t="inlineStr">
        <is>
          <t>ÅRE</t>
        </is>
      </c>
      <c r="G823" t="n">
        <v>14.8</v>
      </c>
      <c r="H823" t="n">
        <v>0</v>
      </c>
      <c r="I823" t="n">
        <v>0</v>
      </c>
      <c r="J823" t="n">
        <v>0</v>
      </c>
      <c r="K823" t="n">
        <v>0</v>
      </c>
      <c r="L823" t="n">
        <v>0</v>
      </c>
      <c r="M823" t="n">
        <v>0</v>
      </c>
      <c r="N823" t="n">
        <v>0</v>
      </c>
      <c r="O823" t="n">
        <v>0</v>
      </c>
      <c r="P823" t="n">
        <v>0</v>
      </c>
      <c r="Q823" t="n">
        <v>0</v>
      </c>
      <c r="R823" s="2" t="inlineStr"/>
    </row>
    <row r="824" ht="15" customHeight="1">
      <c r="A824" t="inlineStr">
        <is>
          <t>A 39072-2024</t>
        </is>
      </c>
      <c r="B824" s="1" t="n">
        <v>45548</v>
      </c>
      <c r="C824" s="1" t="n">
        <v>45565</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39070-2024</t>
        </is>
      </c>
      <c r="B825" s="1" t="n">
        <v>45548</v>
      </c>
      <c r="C825" s="1" t="n">
        <v>45565</v>
      </c>
      <c r="D825" t="inlineStr">
        <is>
          <t>JÄMTLANDS LÄN</t>
        </is>
      </c>
      <c r="E825" t="inlineStr">
        <is>
          <t>ÅRE</t>
        </is>
      </c>
      <c r="G825" t="n">
        <v>2.1</v>
      </c>
      <c r="H825" t="n">
        <v>0</v>
      </c>
      <c r="I825" t="n">
        <v>0</v>
      </c>
      <c r="J825" t="n">
        <v>0</v>
      </c>
      <c r="K825" t="n">
        <v>0</v>
      </c>
      <c r="L825" t="n">
        <v>0</v>
      </c>
      <c r="M825" t="n">
        <v>0</v>
      </c>
      <c r="N825" t="n">
        <v>0</v>
      </c>
      <c r="O825" t="n">
        <v>0</v>
      </c>
      <c r="P825" t="n">
        <v>0</v>
      </c>
      <c r="Q825" t="n">
        <v>0</v>
      </c>
      <c r="R825" s="2" t="inlineStr"/>
    </row>
    <row r="826" ht="15" customHeight="1">
      <c r="A826" t="inlineStr">
        <is>
          <t>A 39071-2024</t>
        </is>
      </c>
      <c r="B826" s="1" t="n">
        <v>45548</v>
      </c>
      <c r="C826" s="1" t="n">
        <v>45565</v>
      </c>
      <c r="D826" t="inlineStr">
        <is>
          <t>JÄMTLANDS LÄN</t>
        </is>
      </c>
      <c r="E826" t="inlineStr">
        <is>
          <t>ÅRE</t>
        </is>
      </c>
      <c r="G826" t="n">
        <v>0.6</v>
      </c>
      <c r="H826" t="n">
        <v>0</v>
      </c>
      <c r="I826" t="n">
        <v>0</v>
      </c>
      <c r="J826" t="n">
        <v>0</v>
      </c>
      <c r="K826" t="n">
        <v>0</v>
      </c>
      <c r="L826" t="n">
        <v>0</v>
      </c>
      <c r="M826" t="n">
        <v>0</v>
      </c>
      <c r="N826" t="n">
        <v>0</v>
      </c>
      <c r="O826" t="n">
        <v>0</v>
      </c>
      <c r="P826" t="n">
        <v>0</v>
      </c>
      <c r="Q826" t="n">
        <v>0</v>
      </c>
      <c r="R826" s="2" t="inlineStr"/>
    </row>
    <row r="827" ht="15" customHeight="1">
      <c r="A827" t="inlineStr">
        <is>
          <t>A 39069-2024</t>
        </is>
      </c>
      <c r="B827" s="1" t="n">
        <v>45548</v>
      </c>
      <c r="C827" s="1" t="n">
        <v>45565</v>
      </c>
      <c r="D827" t="inlineStr">
        <is>
          <t>JÄMTLANDS LÄN</t>
        </is>
      </c>
      <c r="E827" t="inlineStr">
        <is>
          <t>ÅRE</t>
        </is>
      </c>
      <c r="G827" t="n">
        <v>0.5</v>
      </c>
      <c r="H827" t="n">
        <v>0</v>
      </c>
      <c r="I827" t="n">
        <v>0</v>
      </c>
      <c r="J827" t="n">
        <v>0</v>
      </c>
      <c r="K827" t="n">
        <v>0</v>
      </c>
      <c r="L827" t="n">
        <v>0</v>
      </c>
      <c r="M827" t="n">
        <v>0</v>
      </c>
      <c r="N827" t="n">
        <v>0</v>
      </c>
      <c r="O827" t="n">
        <v>0</v>
      </c>
      <c r="P827" t="n">
        <v>0</v>
      </c>
      <c r="Q827" t="n">
        <v>0</v>
      </c>
      <c r="R827" s="2" t="inlineStr"/>
    </row>
    <row r="828" ht="15" customHeight="1">
      <c r="A828" t="inlineStr">
        <is>
          <t>A 39195-2024</t>
        </is>
      </c>
      <c r="B828" s="1" t="n">
        <v>45548</v>
      </c>
      <c r="C828" s="1" t="n">
        <v>45565</v>
      </c>
      <c r="D828" t="inlineStr">
        <is>
          <t>JÄMTLANDS LÄN</t>
        </is>
      </c>
      <c r="E828" t="inlineStr">
        <is>
          <t>ÅRE</t>
        </is>
      </c>
      <c r="G828" t="n">
        <v>0.5</v>
      </c>
      <c r="H828" t="n">
        <v>0</v>
      </c>
      <c r="I828" t="n">
        <v>0</v>
      </c>
      <c r="J828" t="n">
        <v>0</v>
      </c>
      <c r="K828" t="n">
        <v>0</v>
      </c>
      <c r="L828" t="n">
        <v>0</v>
      </c>
      <c r="M828" t="n">
        <v>0</v>
      </c>
      <c r="N828" t="n">
        <v>0</v>
      </c>
      <c r="O828" t="n">
        <v>0</v>
      </c>
      <c r="P828" t="n">
        <v>0</v>
      </c>
      <c r="Q828" t="n">
        <v>0</v>
      </c>
      <c r="R828" s="2" t="inlineStr"/>
    </row>
    <row r="829" ht="15" customHeight="1">
      <c r="A829" t="inlineStr">
        <is>
          <t>A 41268-2024</t>
        </is>
      </c>
      <c r="B829" s="1" t="n">
        <v>45559</v>
      </c>
      <c r="C829" s="1" t="n">
        <v>45565</v>
      </c>
      <c r="D829" t="inlineStr">
        <is>
          <t>JÄMTLANDS LÄN</t>
        </is>
      </c>
      <c r="E829" t="inlineStr">
        <is>
          <t>ÅRE</t>
        </is>
      </c>
      <c r="G829" t="n">
        <v>1.1</v>
      </c>
      <c r="H829" t="n">
        <v>0</v>
      </c>
      <c r="I829" t="n">
        <v>0</v>
      </c>
      <c r="J829" t="n">
        <v>0</v>
      </c>
      <c r="K829" t="n">
        <v>0</v>
      </c>
      <c r="L829" t="n">
        <v>0</v>
      </c>
      <c r="M829" t="n">
        <v>0</v>
      </c>
      <c r="N829" t="n">
        <v>0</v>
      </c>
      <c r="O829" t="n">
        <v>0</v>
      </c>
      <c r="P829" t="n">
        <v>0</v>
      </c>
      <c r="Q829" t="n">
        <v>0</v>
      </c>
      <c r="R829" s="2" t="inlineStr"/>
    </row>
    <row r="830" ht="15" customHeight="1">
      <c r="A830" t="inlineStr">
        <is>
          <t>A 42274-2024</t>
        </is>
      </c>
      <c r="B830" s="1" t="n">
        <v>45559</v>
      </c>
      <c r="C830" s="1" t="n">
        <v>45565</v>
      </c>
      <c r="D830" t="inlineStr">
        <is>
          <t>JÄMTLANDS LÄN</t>
        </is>
      </c>
      <c r="E830" t="inlineStr">
        <is>
          <t>ÅRE</t>
        </is>
      </c>
      <c r="G830" t="n">
        <v>2.2</v>
      </c>
      <c r="H830" t="n">
        <v>0</v>
      </c>
      <c r="I830" t="n">
        <v>0</v>
      </c>
      <c r="J830" t="n">
        <v>0</v>
      </c>
      <c r="K830" t="n">
        <v>0</v>
      </c>
      <c r="L830" t="n">
        <v>0</v>
      </c>
      <c r="M830" t="n">
        <v>0</v>
      </c>
      <c r="N830" t="n">
        <v>0</v>
      </c>
      <c r="O830" t="n">
        <v>0</v>
      </c>
      <c r="P830" t="n">
        <v>0</v>
      </c>
      <c r="Q830" t="n">
        <v>0</v>
      </c>
      <c r="R830" s="2" t="inlineStr"/>
    </row>
    <row r="831" ht="15" customHeight="1">
      <c r="A831" t="inlineStr">
        <is>
          <t>A 41267-2024</t>
        </is>
      </c>
      <c r="B831" s="1" t="n">
        <v>45559</v>
      </c>
      <c r="C831" s="1" t="n">
        <v>45565</v>
      </c>
      <c r="D831" t="inlineStr">
        <is>
          <t>JÄMTLANDS LÄN</t>
        </is>
      </c>
      <c r="E831" t="inlineStr">
        <is>
          <t>ÅRE</t>
        </is>
      </c>
      <c r="G831" t="n">
        <v>3.4</v>
      </c>
      <c r="H831" t="n">
        <v>0</v>
      </c>
      <c r="I831" t="n">
        <v>0</v>
      </c>
      <c r="J831" t="n">
        <v>0</v>
      </c>
      <c r="K831" t="n">
        <v>0</v>
      </c>
      <c r="L831" t="n">
        <v>0</v>
      </c>
      <c r="M831" t="n">
        <v>0</v>
      </c>
      <c r="N831" t="n">
        <v>0</v>
      </c>
      <c r="O831" t="n">
        <v>0</v>
      </c>
      <c r="P831" t="n">
        <v>0</v>
      </c>
      <c r="Q831" t="n">
        <v>0</v>
      </c>
      <c r="R831" s="2" t="inlineStr"/>
    </row>
    <row r="832" ht="15" customHeight="1">
      <c r="A832" t="inlineStr">
        <is>
          <t>A 41266-2024</t>
        </is>
      </c>
      <c r="B832" s="1" t="n">
        <v>45559</v>
      </c>
      <c r="C832" s="1" t="n">
        <v>45565</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41653-2024</t>
        </is>
      </c>
      <c r="B833" s="1" t="n">
        <v>45560</v>
      </c>
      <c r="C833" s="1" t="n">
        <v>45565</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41677-2024</t>
        </is>
      </c>
      <c r="B834" s="1" t="n">
        <v>45560</v>
      </c>
      <c r="C834" s="1" t="n">
        <v>45565</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41686-2024</t>
        </is>
      </c>
      <c r="B835" s="1" t="n">
        <v>45560</v>
      </c>
      <c r="C835" s="1" t="n">
        <v>45565</v>
      </c>
      <c r="D835" t="inlineStr">
        <is>
          <t>JÄMTLANDS LÄN</t>
        </is>
      </c>
      <c r="E835" t="inlineStr">
        <is>
          <t>ÅRE</t>
        </is>
      </c>
      <c r="G835" t="n">
        <v>0.6</v>
      </c>
      <c r="H835" t="n">
        <v>0</v>
      </c>
      <c r="I835" t="n">
        <v>0</v>
      </c>
      <c r="J835" t="n">
        <v>0</v>
      </c>
      <c r="K835" t="n">
        <v>0</v>
      </c>
      <c r="L835" t="n">
        <v>0</v>
      </c>
      <c r="M835" t="n">
        <v>0</v>
      </c>
      <c r="N835" t="n">
        <v>0</v>
      </c>
      <c r="O835" t="n">
        <v>0</v>
      </c>
      <c r="P835" t="n">
        <v>0</v>
      </c>
      <c r="Q835" t="n">
        <v>0</v>
      </c>
      <c r="R835" s="2" t="inlineStr"/>
    </row>
    <row r="836" ht="15" customHeight="1">
      <c r="A836" t="inlineStr">
        <is>
          <t>A 41563-2024</t>
        </is>
      </c>
      <c r="B836" s="1" t="n">
        <v>45560</v>
      </c>
      <c r="C836" s="1" t="n">
        <v>45565</v>
      </c>
      <c r="D836" t="inlineStr">
        <is>
          <t>JÄMTLANDS LÄN</t>
        </is>
      </c>
      <c r="E836" t="inlineStr">
        <is>
          <t>ÅRE</t>
        </is>
      </c>
      <c r="G836" t="n">
        <v>9.4</v>
      </c>
      <c r="H836" t="n">
        <v>0</v>
      </c>
      <c r="I836" t="n">
        <v>0</v>
      </c>
      <c r="J836" t="n">
        <v>0</v>
      </c>
      <c r="K836" t="n">
        <v>0</v>
      </c>
      <c r="L836" t="n">
        <v>0</v>
      </c>
      <c r="M836" t="n">
        <v>0</v>
      </c>
      <c r="N836" t="n">
        <v>0</v>
      </c>
      <c r="O836" t="n">
        <v>0</v>
      </c>
      <c r="P836" t="n">
        <v>0</v>
      </c>
      <c r="Q836" t="n">
        <v>0</v>
      </c>
      <c r="R836" s="2" t="inlineStr"/>
    </row>
    <row r="837" ht="15" customHeight="1">
      <c r="A837" t="inlineStr">
        <is>
          <t>A 41688-2024</t>
        </is>
      </c>
      <c r="B837" s="1" t="n">
        <v>45560</v>
      </c>
      <c r="C837" s="1" t="n">
        <v>45565</v>
      </c>
      <c r="D837" t="inlineStr">
        <is>
          <t>JÄMTLANDS LÄN</t>
        </is>
      </c>
      <c r="E837" t="inlineStr">
        <is>
          <t>ÅRE</t>
        </is>
      </c>
      <c r="G837" t="n">
        <v>0.8</v>
      </c>
      <c r="H837" t="n">
        <v>0</v>
      </c>
      <c r="I837" t="n">
        <v>0</v>
      </c>
      <c r="J837" t="n">
        <v>0</v>
      </c>
      <c r="K837" t="n">
        <v>0</v>
      </c>
      <c r="L837" t="n">
        <v>0</v>
      </c>
      <c r="M837" t="n">
        <v>0</v>
      </c>
      <c r="N837" t="n">
        <v>0</v>
      </c>
      <c r="O837" t="n">
        <v>0</v>
      </c>
      <c r="P837" t="n">
        <v>0</v>
      </c>
      <c r="Q837" t="n">
        <v>0</v>
      </c>
      <c r="R837" s="2" t="inlineStr"/>
    </row>
    <row r="838" ht="15" customHeight="1">
      <c r="A838" t="inlineStr">
        <is>
          <t>A 41814-2024</t>
        </is>
      </c>
      <c r="B838" s="1" t="n">
        <v>45561</v>
      </c>
      <c r="C838" s="1" t="n">
        <v>45565</v>
      </c>
      <c r="D838" t="inlineStr">
        <is>
          <t>JÄMTLANDS LÄN</t>
        </is>
      </c>
      <c r="E838" t="inlineStr">
        <is>
          <t>ÅRE</t>
        </is>
      </c>
      <c r="G838" t="n">
        <v>5.4</v>
      </c>
      <c r="H838" t="n">
        <v>0</v>
      </c>
      <c r="I838" t="n">
        <v>0</v>
      </c>
      <c r="J838" t="n">
        <v>0</v>
      </c>
      <c r="K838" t="n">
        <v>0</v>
      </c>
      <c r="L838" t="n">
        <v>0</v>
      </c>
      <c r="M838" t="n">
        <v>0</v>
      </c>
      <c r="N838" t="n">
        <v>0</v>
      </c>
      <c r="O838" t="n">
        <v>0</v>
      </c>
      <c r="P838" t="n">
        <v>0</v>
      </c>
      <c r="Q838" t="n">
        <v>0</v>
      </c>
      <c r="R838" s="2" t="inlineStr"/>
    </row>
    <row r="839" ht="15" customHeight="1">
      <c r="A839" t="inlineStr">
        <is>
          <t>A 41797-2024</t>
        </is>
      </c>
      <c r="B839" s="1" t="n">
        <v>45561</v>
      </c>
      <c r="C839" s="1" t="n">
        <v>45565</v>
      </c>
      <c r="D839" t="inlineStr">
        <is>
          <t>JÄMTLANDS LÄN</t>
        </is>
      </c>
      <c r="E839" t="inlineStr">
        <is>
          <t>ÅRE</t>
        </is>
      </c>
      <c r="G839" t="n">
        <v>10.5</v>
      </c>
      <c r="H839" t="n">
        <v>0</v>
      </c>
      <c r="I839" t="n">
        <v>0</v>
      </c>
      <c r="J839" t="n">
        <v>0</v>
      </c>
      <c r="K839" t="n">
        <v>0</v>
      </c>
      <c r="L839" t="n">
        <v>0</v>
      </c>
      <c r="M839" t="n">
        <v>0</v>
      </c>
      <c r="N839" t="n">
        <v>0</v>
      </c>
      <c r="O839" t="n">
        <v>0</v>
      </c>
      <c r="P839" t="n">
        <v>0</v>
      </c>
      <c r="Q839" t="n">
        <v>0</v>
      </c>
      <c r="R839" s="2" t="inlineStr"/>
    </row>
    <row r="840">
      <c r="A840" t="inlineStr">
        <is>
          <t>A 42244-2024</t>
        </is>
      </c>
      <c r="B840" s="1" t="n">
        <v>45562</v>
      </c>
      <c r="C840" s="1" t="n">
        <v>45565</v>
      </c>
      <c r="D840" t="inlineStr">
        <is>
          <t>JÄMTLANDS LÄN</t>
        </is>
      </c>
      <c r="E840" t="inlineStr">
        <is>
          <t>ÅRE</t>
        </is>
      </c>
      <c r="F840" t="inlineStr">
        <is>
          <t>Övriga Aktiebolag</t>
        </is>
      </c>
      <c r="G840" t="n">
        <v>6</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2024-09-30T16:46:49Z</dcterms:created>
  <dcterms:modified xmlns:dcterms="http://purl.org/dc/terms/" xmlns:xsi="http://www.w3.org/2001/XMLSchema-instance" xsi:type="dcterms:W3CDTF">2024-09-30T16:46:50Z</dcterms:modified>
</cp:coreProperties>
</file>