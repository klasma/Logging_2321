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46259</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46259</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46259</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46259</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46259</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46259</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46259</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46259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46259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46259</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46259</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49534-2024</t>
        </is>
      </c>
      <c r="B15" t="inlineStr">
        <is>
          <t>avverkningsanmälan</t>
        </is>
      </c>
      <c r="C15" t="inlineStr">
        <is>
          <t>Föryngringsavverkning</t>
        </is>
      </c>
      <c r="D15" s="1" t="n">
        <v>45596</v>
      </c>
      <c r="E15" s="1" t="n">
        <v>46259</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46259</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46259</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46259</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46259</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46259</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46259</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46259</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46259</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24660-2026</t>
        </is>
      </c>
      <c r="B24" t="inlineStr">
        <is>
          <t>avverkningsanmälan</t>
        </is>
      </c>
      <c r="C24" t="inlineStr">
        <is>
          <t>Föryngringsavverkning</t>
        </is>
      </c>
      <c r="D24" s="1" t="n">
        <v>46171</v>
      </c>
      <c r="E24" s="1" t="n">
        <v>46259</v>
      </c>
      <c r="F24" t="inlineStr">
        <is>
          <t>JÄMTLANDS LÄN</t>
        </is>
      </c>
      <c r="G24" t="inlineStr">
        <is>
          <t>ÅRE</t>
        </is>
      </c>
      <c r="I24" t="n">
        <v>29</v>
      </c>
      <c r="J24" t="n">
        <v>3</v>
      </c>
      <c r="K24" t="n">
        <v>4</v>
      </c>
      <c r="L24" t="n">
        <v>7</v>
      </c>
      <c r="M24" t="n">
        <v>2</v>
      </c>
      <c r="N24" t="n">
        <v>0</v>
      </c>
      <c r="O24" t="n">
        <v>0</v>
      </c>
      <c r="P24" t="n">
        <v>0</v>
      </c>
      <c r="Q24" t="n">
        <v>9</v>
      </c>
      <c r="R24" t="n">
        <v>2</v>
      </c>
      <c r="S24" t="n">
        <v>15</v>
      </c>
      <c r="T24" t="n">
        <v>58</v>
      </c>
      <c r="U24" t="n">
        <v>50</v>
      </c>
      <c r="V24" s="2" t="inlineStr">
        <is>
          <t>Blackticka
Garnlav
Fjällig taggsvamp s.str.
Harticka
Lunglav
Rynkskinn
Skrovellav
Tretåig hackspett
Ullticka
Korallrot
Spindelblomster
Stuplav
Trådticka
Liljekonvalj
Torta</t>
        </is>
      </c>
      <c r="W24">
        <f>HYPERLINK("https://klasma.github.io/Logging_2321/artfynd/A 24660-2026 artfynd.xlsx", "A 24660-2026")</f>
        <v/>
      </c>
      <c r="X24">
        <f>HYPERLINK("https://klasma.github.io/Logging_2321/kartor/A 24660-2026 karta.png", "A 24660-2026")</f>
        <v/>
      </c>
      <c r="Y24">
        <f>HYPERLINK("https://klasma.github.io/Logging_2321/kartor_geotiff/A 24660-2026 georefererad karta.tif", "A 24660-2026")</f>
        <v/>
      </c>
      <c r="AA24">
        <f>HYPERLINK("https://klasma.github.io/Logging_2321/klagomål/A 24660-2026 FSC-klagomål.docx", "A 24660-2026")</f>
        <v/>
      </c>
      <c r="AB24">
        <f>HYPERLINK("https://klasma.github.io/Logging_2321/klagomålsmail/A 24660-2026 FSC-klagomål mail.docx", "A 24660-2026")</f>
        <v/>
      </c>
      <c r="AC24">
        <f>HYPERLINK("https://klasma.github.io/Logging_2321/tillsyn/A 24660-2026 tillsynsbegäran.docx", "A 24660-2026")</f>
        <v/>
      </c>
      <c r="AD24">
        <f>HYPERLINK("https://klasma.github.io/Logging_2321/tillsynsmail/A 24660-2026 tillsynsbegäran mail.docx", "A 24660-2026")</f>
        <v/>
      </c>
      <c r="AE24">
        <f>HYPERLINK("https://klasma.github.io/Logging_2321/fåglar/A 24660-2026 prioriterade fågelarter.docx", "A 24660-2026")</f>
        <v/>
      </c>
    </row>
    <row r="25" ht="15" customHeight="1">
      <c r="A25" t="inlineStr">
        <is>
          <t>A 43967-2024</t>
        </is>
      </c>
      <c r="B25" t="inlineStr">
        <is>
          <t>avverkningsanmälan</t>
        </is>
      </c>
      <c r="C25" t="inlineStr">
        <is>
          <t>Föryngringsavverkning</t>
        </is>
      </c>
      <c r="D25" s="1" t="n">
        <v>45572</v>
      </c>
      <c r="E25" s="1" t="n">
        <v>46259</v>
      </c>
      <c r="F25" t="inlineStr">
        <is>
          <t>JÄMTLANDS LÄN</t>
        </is>
      </c>
      <c r="G25" t="inlineStr">
        <is>
          <t>ÅRE</t>
        </is>
      </c>
      <c r="I25" t="n">
        <v>18.2</v>
      </c>
      <c r="J25" t="n">
        <v>1</v>
      </c>
      <c r="K25" t="n">
        <v>7</v>
      </c>
      <c r="L25" t="n">
        <v>6</v>
      </c>
      <c r="M25" t="n">
        <v>2</v>
      </c>
      <c r="N25" t="n">
        <v>0</v>
      </c>
      <c r="O25" t="n">
        <v>0</v>
      </c>
      <c r="P25" t="n">
        <v>0</v>
      </c>
      <c r="Q25" t="n">
        <v>8</v>
      </c>
      <c r="R25" t="n">
        <v>2</v>
      </c>
      <c r="S25" t="n">
        <v>15</v>
      </c>
      <c r="T25" t="n">
        <v>17</v>
      </c>
      <c r="U25" t="n">
        <v>0</v>
      </c>
      <c r="V25" s="2" t="inlineStr">
        <is>
          <t>Garnlav
Gropig skägglav
Gammelgransskål
Rödbrun blekspik
Vedflamlav
Vedflikmossa
Vedskivlav
Vitgrynig nållav
Källpraktmossa
Mörk husmossa
Purpurmylia
Spindelblomster
Stor revmossa
Stuplav
Västlig hakmossa</t>
        </is>
      </c>
      <c r="W25">
        <f>HYPERLINK("https://klasma.github.io/Logging_2321/artfynd/A 43967-2024 artfynd.xlsx", "A 43967-2024")</f>
        <v/>
      </c>
      <c r="X25">
        <f>HYPERLINK("https://klasma.github.io/Logging_2321/kartor/A 43967-2024 karta.png", "A 43967-2024")</f>
        <v/>
      </c>
      <c r="Y25">
        <f>HYPERLINK("https://klasma.github.io/Logging_2321/kartor_geotiff/A 43967-2024 georefererad karta.tif", "A 43967-2024")</f>
        <v/>
      </c>
      <c r="AA25">
        <f>HYPERLINK("https://klasma.github.io/Logging_2321/klagomål/A 43967-2024 FSC-klagomål.docx", "A 43967-2024")</f>
        <v/>
      </c>
      <c r="AB25">
        <f>HYPERLINK("https://klasma.github.io/Logging_2321/klagomålsmail/A 43967-2024 FSC-klagomål mail.docx", "A 43967-2024")</f>
        <v/>
      </c>
      <c r="AC25">
        <f>HYPERLINK("https://klasma.github.io/Logging_2321/tillsyn/A 43967-2024 tillsynsbegäran.docx", "A 43967-2024")</f>
        <v/>
      </c>
      <c r="AD25">
        <f>HYPERLINK("https://klasma.github.io/Logging_2321/tillsynsmail/A 43967-2024 tillsynsbegäran mail.docx", "A 43967-2024")</f>
        <v/>
      </c>
    </row>
    <row r="26" ht="15" customHeight="1">
      <c r="A26" t="inlineStr">
        <is>
          <t>A 65292-2021</t>
        </is>
      </c>
      <c r="B26" t="inlineStr">
        <is>
          <t>avverkningsanmälan</t>
        </is>
      </c>
      <c r="C26" t="inlineStr">
        <is>
          <t>Föryngringsavverkning</t>
        </is>
      </c>
      <c r="D26" s="1" t="n">
        <v>44515</v>
      </c>
      <c r="E26" s="1" t="n">
        <v>46259</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46259</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46259</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46259</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46259</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46259</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56368-2022</t>
        </is>
      </c>
      <c r="B32" t="inlineStr">
        <is>
          <t>avverkningsanmälan</t>
        </is>
      </c>
      <c r="C32" t="inlineStr">
        <is>
          <t>Föryngringsavverkning</t>
        </is>
      </c>
      <c r="D32" s="1" t="n">
        <v>44887</v>
      </c>
      <c r="E32" s="1" t="n">
        <v>46259</v>
      </c>
      <c r="F32" t="inlineStr">
        <is>
          <t>JÄMTLANDS LÄN</t>
        </is>
      </c>
      <c r="G32" t="inlineStr">
        <is>
          <t>ÅRE</t>
        </is>
      </c>
      <c r="I32" t="n">
        <v>28.3</v>
      </c>
      <c r="J32" t="n">
        <v>2</v>
      </c>
      <c r="K32" t="n">
        <v>6</v>
      </c>
      <c r="L32" t="n">
        <v>4</v>
      </c>
      <c r="M32" t="n">
        <v>3</v>
      </c>
      <c r="N32" t="n">
        <v>0</v>
      </c>
      <c r="O32" t="n">
        <v>0</v>
      </c>
      <c r="P32" t="n">
        <v>0</v>
      </c>
      <c r="Q32" t="n">
        <v>7</v>
      </c>
      <c r="R32" t="n">
        <v>3</v>
      </c>
      <c r="S32" t="n">
        <v>13</v>
      </c>
      <c r="T32" t="n">
        <v>20</v>
      </c>
      <c r="U32" t="n">
        <v>0</v>
      </c>
      <c r="V32" s="2" t="inlineStr">
        <is>
          <t>Garnlav
Gränsticka
Skuggkraterlav
Brunpudrad nållav
Rödbrun blekspik
Tretåig hackspett
Vitgrynig nållav
Gytterlav
Kambräken
Kransrams
Spindelblomster
Vedticka
Västlig hakmossa</t>
        </is>
      </c>
      <c r="W32">
        <f>HYPERLINK("https://klasma.github.io/Logging_2321/artfynd/A 56368-2022 artfynd.xlsx", "A 56368-2022")</f>
        <v/>
      </c>
      <c r="X32">
        <f>HYPERLINK("https://klasma.github.io/Logging_2321/kartor/A 56368-2022 karta.png", "A 56368-2022")</f>
        <v/>
      </c>
      <c r="Y32">
        <f>HYPERLINK("https://klasma.github.io/Logging_2321/kartor_geotiff/A 56368-2022 georefererad karta.tif", "A 56368-2022")</f>
        <v/>
      </c>
      <c r="AA32">
        <f>HYPERLINK("https://klasma.github.io/Logging_2321/klagomål/A 56368-2022 FSC-klagomål.docx", "A 56368-2022")</f>
        <v/>
      </c>
      <c r="AB32">
        <f>HYPERLINK("https://klasma.github.io/Logging_2321/klagomålsmail/A 56368-2022 FSC-klagomål mail.docx", "A 56368-2022")</f>
        <v/>
      </c>
      <c r="AC32">
        <f>HYPERLINK("https://klasma.github.io/Logging_2321/tillsyn/A 56368-2022 tillsynsbegäran.docx", "A 56368-2022")</f>
        <v/>
      </c>
      <c r="AD32">
        <f>HYPERLINK("https://klasma.github.io/Logging_2321/tillsynsmail/A 56368-2022 tillsynsbegäran mail.docx", "A 56368-2022")</f>
        <v/>
      </c>
      <c r="AE32">
        <f>HYPERLINK("https://klasma.github.io/Logging_2321/fåglar/A 56368-2022 prioriterade fågelarter.docx", "A 56368-2022")</f>
        <v/>
      </c>
    </row>
    <row r="33" ht="15" customHeight="1">
      <c r="A33" t="inlineStr">
        <is>
          <t>A 10604-2026</t>
        </is>
      </c>
      <c r="B33" t="inlineStr">
        <is>
          <t>avverkningsanmälan</t>
        </is>
      </c>
      <c r="C33" t="inlineStr">
        <is>
          <t>Föryngringsavverkning</t>
        </is>
      </c>
      <c r="D33" s="1" t="n">
        <v>46077</v>
      </c>
      <c r="E33" s="1" t="n">
        <v>46259</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43927-2024</t>
        </is>
      </c>
      <c r="B34" t="inlineStr">
        <is>
          <t>avverkningsanmälan</t>
        </is>
      </c>
      <c r="C34" t="inlineStr">
        <is>
          <t>Föryngringsavverkning</t>
        </is>
      </c>
      <c r="D34" s="1" t="n">
        <v>45572</v>
      </c>
      <c r="E34" s="1" t="n">
        <v>46259</v>
      </c>
      <c r="F34" t="inlineStr">
        <is>
          <t>JÄMTLANDS LÄN</t>
        </is>
      </c>
      <c r="G34" t="inlineStr">
        <is>
          <t>ÅRE</t>
        </is>
      </c>
      <c r="I34" t="n">
        <v>14.8</v>
      </c>
      <c r="J34" t="n">
        <v>1</v>
      </c>
      <c r="K34" t="n">
        <v>7</v>
      </c>
      <c r="L34" t="n">
        <v>5</v>
      </c>
      <c r="M34" t="n">
        <v>1</v>
      </c>
      <c r="N34" t="n">
        <v>0</v>
      </c>
      <c r="O34" t="n">
        <v>0</v>
      </c>
      <c r="P34" t="n">
        <v>0</v>
      </c>
      <c r="Q34" t="n">
        <v>6</v>
      </c>
      <c r="R34" t="n">
        <v>1</v>
      </c>
      <c r="S34" t="n">
        <v>13</v>
      </c>
      <c r="T34" t="n">
        <v>23</v>
      </c>
      <c r="U34" t="n">
        <v>0</v>
      </c>
      <c r="V34" s="2" t="inlineStr">
        <is>
          <t>Garnlav
Harticka
Lunglav
Rödbrun blekspik
Skrovellav
Vitgrynig nållav
Gytterlav
Kransrams
Källpraktmossa
Skogshakmossa
Spindelblomster
Stuplav
Västlig hakmossa</t>
        </is>
      </c>
      <c r="W34">
        <f>HYPERLINK("https://klasma.github.io/Logging_2321/artfynd/A 43927-2024 artfynd.xlsx", "A 43927-2024")</f>
        <v/>
      </c>
      <c r="X34">
        <f>HYPERLINK("https://klasma.github.io/Logging_2321/kartor/A 43927-2024 karta.png", "A 43927-2024")</f>
        <v/>
      </c>
      <c r="Y34">
        <f>HYPERLINK("https://klasma.github.io/Logging_2321/kartor_geotiff/A 43927-2024 georefererad karta.tif", "A 43927-2024")</f>
        <v/>
      </c>
      <c r="AA34">
        <f>HYPERLINK("https://klasma.github.io/Logging_2321/klagomål/A 43927-2024 FSC-klagomål.docx", "A 43927-2024")</f>
        <v/>
      </c>
      <c r="AB34">
        <f>HYPERLINK("https://klasma.github.io/Logging_2321/klagomålsmail/A 43927-2024 FSC-klagomål mail.docx", "A 43927-2024")</f>
        <v/>
      </c>
      <c r="AC34">
        <f>HYPERLINK("https://klasma.github.io/Logging_2321/tillsyn/A 43927-2024 tillsynsbegäran.docx", "A 43927-2024")</f>
        <v/>
      </c>
      <c r="AD34">
        <f>HYPERLINK("https://klasma.github.io/Logging_2321/tillsynsmail/A 43927-2024 tillsynsbegäran mail.docx", "A 43927-2024")</f>
        <v/>
      </c>
    </row>
    <row r="35" ht="15" customHeight="1">
      <c r="A35" t="inlineStr">
        <is>
          <t>A 1541-2025</t>
        </is>
      </c>
      <c r="B35" t="inlineStr">
        <is>
          <t>avverkningsanmälan</t>
        </is>
      </c>
      <c r="C35" t="inlineStr">
        <is>
          <t>Föryngringsavverkning</t>
        </is>
      </c>
      <c r="D35" s="1" t="n">
        <v>45670</v>
      </c>
      <c r="E35" s="1" t="n">
        <v>46259</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46259</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46259</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46259</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46259</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46259</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46259</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46259</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46259</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46259</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46259</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46259</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46259</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46259</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46259</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46259</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46259</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63463-2025</t>
        </is>
      </c>
      <c r="B52" t="inlineStr">
        <is>
          <t>avverkningsanmälan</t>
        </is>
      </c>
      <c r="C52" t="inlineStr">
        <is>
          <t>Föryngringsavverkning</t>
        </is>
      </c>
      <c r="D52" s="1" t="n">
        <v>46013</v>
      </c>
      <c r="E52" s="1" t="n">
        <v>46259</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43910-2024</t>
        </is>
      </c>
      <c r="B53" t="inlineStr">
        <is>
          <t>avverkningsanmälan</t>
        </is>
      </c>
      <c r="C53" t="inlineStr">
        <is>
          <t>Föryngringsavverkning</t>
        </is>
      </c>
      <c r="D53" s="1" t="n">
        <v>45572</v>
      </c>
      <c r="E53" s="1" t="n">
        <v>46259</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32065-2022</t>
        </is>
      </c>
      <c r="B54" t="inlineStr">
        <is>
          <t>avverkningsanmälan</t>
        </is>
      </c>
      <c r="C54" t="inlineStr">
        <is>
          <t>Föryngringsavverkning</t>
        </is>
      </c>
      <c r="D54" s="1" t="n">
        <v>44778</v>
      </c>
      <c r="E54" s="1" t="n">
        <v>46259</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3152-2023</t>
        </is>
      </c>
      <c r="B55" t="inlineStr">
        <is>
          <t>avverkningsanmälan</t>
        </is>
      </c>
      <c r="C55" t="inlineStr">
        <is>
          <t>Föryngringsavverkning</t>
        </is>
      </c>
      <c r="D55" s="1" t="n">
        <v>44946</v>
      </c>
      <c r="E55" s="1" t="n">
        <v>46259</v>
      </c>
      <c r="F55" t="inlineStr">
        <is>
          <t>JÄMTLANDS LÄN</t>
        </is>
      </c>
      <c r="G55" t="inlineStr">
        <is>
          <t>ÅRE</t>
        </is>
      </c>
      <c r="I55" t="n">
        <v>1.9</v>
      </c>
      <c r="J55" t="n">
        <v>3</v>
      </c>
      <c r="K55" t="n">
        <v>2</v>
      </c>
      <c r="L55" t="n">
        <v>4</v>
      </c>
      <c r="M55" t="n">
        <v>0</v>
      </c>
      <c r="N55" t="n">
        <v>0</v>
      </c>
      <c r="O55" t="n">
        <v>0</v>
      </c>
      <c r="P55" t="n">
        <v>0</v>
      </c>
      <c r="Q55" t="n">
        <v>4</v>
      </c>
      <c r="R55" t="n">
        <v>0</v>
      </c>
      <c r="S55" t="n">
        <v>7</v>
      </c>
      <c r="T55" t="n">
        <v>11</v>
      </c>
      <c r="U55" t="n">
        <v>0</v>
      </c>
      <c r="V55" s="2" t="inlineStr">
        <is>
          <t>Harticka
Lunglav
Rosenticka
Tretåig hackspett
Bårdlav
Spindelblomster
Blåsippa</t>
        </is>
      </c>
      <c r="W55">
        <f>HYPERLINK("https://klasma.github.io/Logging_2321/artfynd/A 3152-2023 artfynd.xlsx", "A 3152-2023")</f>
        <v/>
      </c>
      <c r="X55">
        <f>HYPERLINK("https://klasma.github.io/Logging_2321/kartor/A 3152-2023 karta.png", "A 3152-2023")</f>
        <v/>
      </c>
      <c r="Y55">
        <f>HYPERLINK("https://klasma.github.io/Logging_2321/kartor_geotiff/A 3152-2023 georefererad karta.tif", "A 3152-2023")</f>
        <v/>
      </c>
      <c r="AA55">
        <f>HYPERLINK("https://klasma.github.io/Logging_2321/klagomål/A 3152-2023 FSC-klagomål.docx", "A 3152-2023")</f>
        <v/>
      </c>
      <c r="AB55">
        <f>HYPERLINK("https://klasma.github.io/Logging_2321/klagomålsmail/A 3152-2023 FSC-klagomål mail.docx", "A 3152-2023")</f>
        <v/>
      </c>
      <c r="AC55">
        <f>HYPERLINK("https://klasma.github.io/Logging_2321/tillsyn/A 3152-2023 tillsynsbegäran.docx", "A 3152-2023")</f>
        <v/>
      </c>
      <c r="AD55">
        <f>HYPERLINK("https://klasma.github.io/Logging_2321/tillsynsmail/A 3152-2023 tillsynsbegäran mail.docx", "A 3152-2023")</f>
        <v/>
      </c>
      <c r="AE55">
        <f>HYPERLINK("https://klasma.github.io/Logging_2321/fåglar/A 3152-2023 prioriterade fågelarter.docx", "A 3152-2023")</f>
        <v/>
      </c>
    </row>
    <row r="56" ht="15" customHeight="1">
      <c r="A56" t="inlineStr">
        <is>
          <t>A 16681-2025</t>
        </is>
      </c>
      <c r="B56" t="inlineStr">
        <is>
          <t>avverkningsanmälan</t>
        </is>
      </c>
      <c r="C56" t="inlineStr">
        <is>
          <t>Föryngringsavverkning</t>
        </is>
      </c>
      <c r="D56" s="1" t="n">
        <v>45754</v>
      </c>
      <c r="E56" s="1" t="n">
        <v>46259</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46259</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53436-2025</t>
        </is>
      </c>
      <c r="B58" t="inlineStr">
        <is>
          <t>avverkningsanmälan</t>
        </is>
      </c>
      <c r="C58" t="inlineStr">
        <is>
          <t>Föryngringsavverkning</t>
        </is>
      </c>
      <c r="D58" s="1" t="n">
        <v>45959</v>
      </c>
      <c r="E58" s="1" t="n">
        <v>46259</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53500-2024</t>
        </is>
      </c>
      <c r="B59" t="inlineStr">
        <is>
          <t>avverkningsanmälan</t>
        </is>
      </c>
      <c r="C59" t="inlineStr">
        <is>
          <t>Föryngringsavverkning</t>
        </is>
      </c>
      <c r="D59" s="1" t="n">
        <v>45614</v>
      </c>
      <c r="E59" s="1" t="n">
        <v>46259</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47944-2025</t>
        </is>
      </c>
      <c r="B60" t="inlineStr">
        <is>
          <t>avverkningsanmälan</t>
        </is>
      </c>
      <c r="C60" t="inlineStr">
        <is>
          <t>Avverkning för att bevara och utveckla /försöksver</t>
        </is>
      </c>
      <c r="D60" s="1" t="n">
        <v>45931</v>
      </c>
      <c r="E60" s="1" t="n">
        <v>46259</v>
      </c>
      <c r="F60" t="inlineStr">
        <is>
          <t>JÄMTLANDS LÄN</t>
        </is>
      </c>
      <c r="G60" t="inlineStr">
        <is>
          <t>ÅRE</t>
        </is>
      </c>
      <c r="I60" t="n">
        <v>2.1</v>
      </c>
      <c r="J60" t="n">
        <v>0</v>
      </c>
      <c r="K60" t="n">
        <v>3</v>
      </c>
      <c r="L60" t="n">
        <v>3</v>
      </c>
      <c r="M60" t="n">
        <v>1</v>
      </c>
      <c r="N60" t="n">
        <v>0</v>
      </c>
      <c r="O60" t="n">
        <v>0</v>
      </c>
      <c r="P60" t="n">
        <v>0</v>
      </c>
      <c r="Q60" t="n">
        <v>4</v>
      </c>
      <c r="R60" t="n">
        <v>1</v>
      </c>
      <c r="S60" t="n">
        <v>7</v>
      </c>
      <c r="T60" t="n">
        <v>10</v>
      </c>
      <c r="U60" t="n">
        <v>10</v>
      </c>
      <c r="V60" s="2" t="inlineStr">
        <is>
          <t>Ostticka
Fjällig taggsvamp s.str.
Ullticka
Vitgrynig nållav
Diskvaxskivling
Svavelriska
Västlig hakmossa</t>
        </is>
      </c>
      <c r="W60">
        <f>HYPERLINK("https://klasma.github.io/Logging_2321/artfynd/A 47944-2025 artfynd.xlsx", "A 47944-2025")</f>
        <v/>
      </c>
      <c r="X60">
        <f>HYPERLINK("https://klasma.github.io/Logging_2321/kartor/A 47944-2025 karta.png", "A 47944-2025")</f>
        <v/>
      </c>
      <c r="Y60">
        <f>HYPERLINK("https://klasma.github.io/Logging_2321/kartor_geotiff/A 47944-2025 georefererad karta.tif", "A 47944-2025")</f>
        <v/>
      </c>
      <c r="AA60">
        <f>HYPERLINK("https://klasma.github.io/Logging_2321/klagomål/A 47944-2025 FSC-klagomål.docx", "A 47944-2025")</f>
        <v/>
      </c>
      <c r="AB60">
        <f>HYPERLINK("https://klasma.github.io/Logging_2321/klagomålsmail/A 47944-2025 FSC-klagomål mail.docx", "A 47944-2025")</f>
        <v/>
      </c>
      <c r="AC60">
        <f>HYPERLINK("https://klasma.github.io/Logging_2321/tillsyn/A 47944-2025 tillsynsbegäran.docx", "A 47944-2025")</f>
        <v/>
      </c>
      <c r="AD60">
        <f>HYPERLINK("https://klasma.github.io/Logging_2321/tillsynsmail/A 47944-2025 tillsynsbegäran mail.docx", "A 47944-2025")</f>
        <v/>
      </c>
    </row>
    <row r="61" ht="15" customHeight="1">
      <c r="A61" t="inlineStr">
        <is>
          <t>S 288-2026</t>
        </is>
      </c>
      <c r="B61" t="inlineStr">
        <is>
          <t>samrådsanmälan</t>
        </is>
      </c>
      <c r="C61" t="inlineStr">
        <is>
          <t>Annan skogsbruksåtgärd</t>
        </is>
      </c>
      <c r="D61" s="1" t="n">
        <v>46057</v>
      </c>
      <c r="E61" s="1" t="n">
        <v>46259</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46259</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46259</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46259</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46259</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46259</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54374-2025</t>
        </is>
      </c>
      <c r="B67" t="inlineStr">
        <is>
          <t>avverkningsanmälan</t>
        </is>
      </c>
      <c r="C67" t="inlineStr">
        <is>
          <t>Föryngringsavverkning</t>
        </is>
      </c>
      <c r="D67" s="1" t="n">
        <v>45965</v>
      </c>
      <c r="E67" s="1" t="n">
        <v>46259</v>
      </c>
      <c r="F67" t="inlineStr">
        <is>
          <t>JÄMTLANDS LÄN</t>
        </is>
      </c>
      <c r="G67" t="inlineStr">
        <is>
          <t>ÅRE</t>
        </is>
      </c>
      <c r="I67" t="n">
        <v>51.1</v>
      </c>
      <c r="J67" t="n">
        <v>3</v>
      </c>
      <c r="K67" t="n">
        <v>1</v>
      </c>
      <c r="L67" t="n">
        <v>4</v>
      </c>
      <c r="M67" t="n">
        <v>0</v>
      </c>
      <c r="N67" t="n">
        <v>0</v>
      </c>
      <c r="O67" t="n">
        <v>0</v>
      </c>
      <c r="P67" t="n">
        <v>0</v>
      </c>
      <c r="Q67" t="n">
        <v>4</v>
      </c>
      <c r="R67" t="n">
        <v>0</v>
      </c>
      <c r="S67" t="n">
        <v>6</v>
      </c>
      <c r="T67" t="n">
        <v>15</v>
      </c>
      <c r="U67" t="n">
        <v>0</v>
      </c>
      <c r="V67" s="2" t="inlineStr">
        <is>
          <t>Knottrig blåslav
Lunglav
Skrovellav
Tretåig hackspett
Spindelblomster
Järpe</t>
        </is>
      </c>
      <c r="W67">
        <f>HYPERLINK("https://klasma.github.io/Logging_2321/artfynd/A 54374-2025 artfynd.xlsx", "A 54374-2025")</f>
        <v/>
      </c>
      <c r="X67">
        <f>HYPERLINK("https://klasma.github.io/Logging_2321/kartor/A 54374-2025 karta.png", "A 54374-2025")</f>
        <v/>
      </c>
      <c r="Y67">
        <f>HYPERLINK("https://klasma.github.io/Logging_2321/kartor_geotiff/A 54374-2025 georefererad karta.tif", "A 54374-2025")</f>
        <v/>
      </c>
      <c r="AA67">
        <f>HYPERLINK("https://klasma.github.io/Logging_2321/klagomål/A 54374-2025 FSC-klagomål.docx", "A 54374-2025")</f>
        <v/>
      </c>
      <c r="AB67">
        <f>HYPERLINK("https://klasma.github.io/Logging_2321/klagomålsmail/A 54374-2025 FSC-klagomål mail.docx", "A 54374-2025")</f>
        <v/>
      </c>
      <c r="AC67">
        <f>HYPERLINK("https://klasma.github.io/Logging_2321/tillsyn/A 54374-2025 tillsynsbegäran.docx", "A 54374-2025")</f>
        <v/>
      </c>
      <c r="AD67">
        <f>HYPERLINK("https://klasma.github.io/Logging_2321/tillsynsmail/A 54374-2025 tillsynsbegäran mail.docx", "A 54374-2025")</f>
        <v/>
      </c>
      <c r="AE67">
        <f>HYPERLINK("https://klasma.github.io/Logging_2321/fåglar/A 54374-2025 prioriterade fågelarter.docx", "A 54374-2025")</f>
        <v/>
      </c>
    </row>
    <row r="68" ht="15" customHeight="1">
      <c r="A68" t="inlineStr">
        <is>
          <t>A 40386-2025</t>
        </is>
      </c>
      <c r="B68" t="inlineStr">
        <is>
          <t>avverkningsanmälan</t>
        </is>
      </c>
      <c r="C68" t="inlineStr">
        <is>
          <t>Föryngringsavverkning</t>
        </is>
      </c>
      <c r="D68" s="1" t="n">
        <v>45895</v>
      </c>
      <c r="E68" s="1" t="n">
        <v>46259</v>
      </c>
      <c r="F68" t="inlineStr">
        <is>
          <t>JÄMTLANDS LÄN</t>
        </is>
      </c>
      <c r="G68" t="inlineStr">
        <is>
          <t>ÅRE</t>
        </is>
      </c>
      <c r="H68" t="inlineStr">
        <is>
          <t>Övriga Aktiebolag</t>
        </is>
      </c>
      <c r="I68" t="n">
        <v>7.5</v>
      </c>
      <c r="J68" t="n">
        <v>4</v>
      </c>
      <c r="K68" t="n">
        <v>0</v>
      </c>
      <c r="L68" t="n">
        <v>4</v>
      </c>
      <c r="M68" t="n">
        <v>0</v>
      </c>
      <c r="N68" t="n">
        <v>0</v>
      </c>
      <c r="O68" t="n">
        <v>0</v>
      </c>
      <c r="P68" t="n">
        <v>0</v>
      </c>
      <c r="Q68" t="n">
        <v>4</v>
      </c>
      <c r="R68" t="n">
        <v>0</v>
      </c>
      <c r="S68" t="n">
        <v>6</v>
      </c>
      <c r="T68" t="n">
        <v>7</v>
      </c>
      <c r="U68" t="n">
        <v>7</v>
      </c>
      <c r="V68" s="2" t="inlineStr">
        <is>
          <t>Blågrå svartspik
Ladlav
Lavskrika
Tretåig hackspett
Tjäder
Fläcknycklar</t>
        </is>
      </c>
      <c r="W68">
        <f>HYPERLINK("https://klasma.github.io/Logging_2321/artfynd/A 40386-2025 artfynd.xlsx", "A 40386-2025")</f>
        <v/>
      </c>
      <c r="X68">
        <f>HYPERLINK("https://klasma.github.io/Logging_2321/kartor/A 40386-2025 karta.png", "A 40386-2025")</f>
        <v/>
      </c>
      <c r="Y68">
        <f>HYPERLINK("https://klasma.github.io/Logging_2321/kartor_geotiff/A 40386-2025 georefererad karta.tif", "A 40386-2025")</f>
        <v/>
      </c>
      <c r="AA68">
        <f>HYPERLINK("https://klasma.github.io/Logging_2321/klagomål/A 40386-2025 FSC-klagomål.docx", "A 40386-2025")</f>
        <v/>
      </c>
      <c r="AB68">
        <f>HYPERLINK("https://klasma.github.io/Logging_2321/klagomålsmail/A 40386-2025 FSC-klagomål mail.docx", "A 40386-2025")</f>
        <v/>
      </c>
      <c r="AC68">
        <f>HYPERLINK("https://klasma.github.io/Logging_2321/tillsyn/A 40386-2025 tillsynsbegäran.docx", "A 40386-2025")</f>
        <v/>
      </c>
      <c r="AD68">
        <f>HYPERLINK("https://klasma.github.io/Logging_2321/tillsynsmail/A 40386-2025 tillsynsbegäran mail.docx", "A 40386-2025")</f>
        <v/>
      </c>
      <c r="AE68">
        <f>HYPERLINK("https://klasma.github.io/Logging_2321/fåglar/A 40386-2025 prioriterade fågelarter.docx", "A 40386-2025")</f>
        <v/>
      </c>
    </row>
    <row r="69" ht="15" customHeight="1">
      <c r="A69" t="inlineStr">
        <is>
          <t>A 57417-2025</t>
        </is>
      </c>
      <c r="B69" t="inlineStr">
        <is>
          <t>avverkningsanmälan</t>
        </is>
      </c>
      <c r="C69" t="inlineStr">
        <is>
          <t>Föryngringsavverkning</t>
        </is>
      </c>
      <c r="D69" s="1" t="n">
        <v>45980</v>
      </c>
      <c r="E69" s="1" t="n">
        <v>46259</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46259</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54988-2025</t>
        </is>
      </c>
      <c r="B71" t="inlineStr">
        <is>
          <t>avverkningsanmälan</t>
        </is>
      </c>
      <c r="C71" t="inlineStr">
        <is>
          <t>Föryngringsavverkning</t>
        </is>
      </c>
      <c r="D71" s="1" t="n">
        <v>45967</v>
      </c>
      <c r="E71" s="1" t="n">
        <v>46259</v>
      </c>
      <c r="F71" t="inlineStr">
        <is>
          <t>JÄMTLANDS LÄN</t>
        </is>
      </c>
      <c r="G71" t="inlineStr">
        <is>
          <t>ÅRE</t>
        </is>
      </c>
      <c r="I71" t="n">
        <v>22.3</v>
      </c>
      <c r="J71" t="n">
        <v>2</v>
      </c>
      <c r="K71" t="n">
        <v>0</v>
      </c>
      <c r="L71" t="n">
        <v>5</v>
      </c>
      <c r="M71" t="n">
        <v>1</v>
      </c>
      <c r="N71" t="n">
        <v>0</v>
      </c>
      <c r="O71" t="n">
        <v>0</v>
      </c>
      <c r="P71" t="n">
        <v>0</v>
      </c>
      <c r="Q71" t="n">
        <v>6</v>
      </c>
      <c r="R71" t="n">
        <v>1</v>
      </c>
      <c r="S71" t="n">
        <v>6</v>
      </c>
      <c r="T71" t="n">
        <v>25</v>
      </c>
      <c r="U71" t="n">
        <v>25</v>
      </c>
      <c r="V71" s="2" t="inlineStr">
        <is>
          <t>Garnlav
Harticka
Rynkskinn
Talltita
Tretåig hackspett
Ullticka</t>
        </is>
      </c>
      <c r="W71">
        <f>HYPERLINK("https://klasma.github.io/Logging_2321/artfynd/A 54988-2025 artfynd.xlsx", "A 54988-2025")</f>
        <v/>
      </c>
      <c r="X71">
        <f>HYPERLINK("https://klasma.github.io/Logging_2321/kartor/A 54988-2025 karta.png", "A 54988-2025")</f>
        <v/>
      </c>
      <c r="Y71">
        <f>HYPERLINK("https://klasma.github.io/Logging_2321/kartor_geotiff/A 54988-2025 georefererad karta.tif", "A 54988-2025")</f>
        <v/>
      </c>
      <c r="AA71">
        <f>HYPERLINK("https://klasma.github.io/Logging_2321/klagomål/A 54988-2025 FSC-klagomål.docx", "A 54988-2025")</f>
        <v/>
      </c>
      <c r="AB71">
        <f>HYPERLINK("https://klasma.github.io/Logging_2321/klagomålsmail/A 54988-2025 FSC-klagomål mail.docx", "A 54988-2025")</f>
        <v/>
      </c>
      <c r="AC71">
        <f>HYPERLINK("https://klasma.github.io/Logging_2321/tillsyn/A 54988-2025 tillsynsbegäran.docx", "A 54988-2025")</f>
        <v/>
      </c>
      <c r="AD71">
        <f>HYPERLINK("https://klasma.github.io/Logging_2321/tillsynsmail/A 54988-2025 tillsynsbegäran mail.docx", "A 54988-2025")</f>
        <v/>
      </c>
      <c r="AE71">
        <f>HYPERLINK("https://klasma.github.io/Logging_2321/fåglar/A 54988-2025 prioriterade fågelarter.docx", "A 54988-2025")</f>
        <v/>
      </c>
    </row>
    <row r="72" ht="15" customHeight="1">
      <c r="A72" t="inlineStr">
        <is>
          <t>A 43942-2024</t>
        </is>
      </c>
      <c r="B72" t="inlineStr">
        <is>
          <t>avverkningsanmälan</t>
        </is>
      </c>
      <c r="C72" t="inlineStr">
        <is>
          <t>Föryngringsavverkning</t>
        </is>
      </c>
      <c r="D72" s="1" t="n">
        <v>45572</v>
      </c>
      <c r="E72" s="1" t="n">
        <v>46259</v>
      </c>
      <c r="F72" t="inlineStr">
        <is>
          <t>JÄMTLANDS LÄN</t>
        </is>
      </c>
      <c r="G72" t="inlineStr">
        <is>
          <t>ÅRE</t>
        </is>
      </c>
      <c r="I72" t="n">
        <v>20.8</v>
      </c>
      <c r="J72" t="n">
        <v>0</v>
      </c>
      <c r="K72" t="n">
        <v>4</v>
      </c>
      <c r="L72" t="n">
        <v>2</v>
      </c>
      <c r="M72" t="n">
        <v>0</v>
      </c>
      <c r="N72" t="n">
        <v>0</v>
      </c>
      <c r="O72" t="n">
        <v>0</v>
      </c>
      <c r="P72" t="n">
        <v>0</v>
      </c>
      <c r="Q72" t="n">
        <v>2</v>
      </c>
      <c r="R72" t="n">
        <v>0</v>
      </c>
      <c r="S72" t="n">
        <v>6</v>
      </c>
      <c r="T72" t="n">
        <v>6</v>
      </c>
      <c r="U72" t="n">
        <v>0</v>
      </c>
      <c r="V72" s="2" t="inlineStr">
        <is>
          <t>Doftskinn
Vedflikmossa
Kambräken
Kransrams
Mörk husmossa
Vedticka</t>
        </is>
      </c>
      <c r="W72">
        <f>HYPERLINK("https://klasma.github.io/Logging_2321/artfynd/A 43942-2024 artfynd.xlsx", "A 43942-2024")</f>
        <v/>
      </c>
      <c r="X72">
        <f>HYPERLINK("https://klasma.github.io/Logging_2321/kartor/A 43942-2024 karta.png", "A 43942-2024")</f>
        <v/>
      </c>
      <c r="Y72">
        <f>HYPERLINK("https://klasma.github.io/Logging_2321/kartor_geotiff/A 43942-2024 georefererad karta.tif", "A 43942-2024")</f>
        <v/>
      </c>
      <c r="AA72">
        <f>HYPERLINK("https://klasma.github.io/Logging_2321/klagomål/A 43942-2024 FSC-klagomål.docx", "A 43942-2024")</f>
        <v/>
      </c>
      <c r="AB72">
        <f>HYPERLINK("https://klasma.github.io/Logging_2321/klagomålsmail/A 43942-2024 FSC-klagomål mail.docx", "A 43942-2024")</f>
        <v/>
      </c>
      <c r="AC72">
        <f>HYPERLINK("https://klasma.github.io/Logging_2321/tillsyn/A 43942-2024 tillsynsbegäran.docx", "A 43942-2024")</f>
        <v/>
      </c>
      <c r="AD72">
        <f>HYPERLINK("https://klasma.github.io/Logging_2321/tillsynsmail/A 43942-2024 tillsynsbegäran mail.docx", "A 43942-2024")</f>
        <v/>
      </c>
    </row>
    <row r="73" ht="15" customHeight="1">
      <c r="A73" t="inlineStr">
        <is>
          <t>A 30035-2024</t>
        </is>
      </c>
      <c r="B73" t="inlineStr">
        <is>
          <t>avverkningsanmälan</t>
        </is>
      </c>
      <c r="C73" t="inlineStr">
        <is>
          <t>Föryngringsavverkning</t>
        </is>
      </c>
      <c r="D73" s="1" t="n">
        <v>45485</v>
      </c>
      <c r="E73" s="1" t="n">
        <v>46259</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30034-2024</t>
        </is>
      </c>
      <c r="B74" t="inlineStr">
        <is>
          <t>avverkningsanmälan</t>
        </is>
      </c>
      <c r="C74" t="inlineStr">
        <is>
          <t>Föryngringsavverkning</t>
        </is>
      </c>
      <c r="D74" s="1" t="n">
        <v>45485</v>
      </c>
      <c r="E74" s="1" t="n">
        <v>46259</v>
      </c>
      <c r="F74" t="inlineStr">
        <is>
          <t>JÄMTLANDS LÄN</t>
        </is>
      </c>
      <c r="G74" t="inlineStr">
        <is>
          <t>ÅRE</t>
        </is>
      </c>
      <c r="I74" t="n">
        <v>25.9</v>
      </c>
      <c r="J74" t="n">
        <v>1</v>
      </c>
      <c r="K74" t="n">
        <v>3</v>
      </c>
      <c r="L74" t="n">
        <v>2</v>
      </c>
      <c r="M74" t="n">
        <v>0</v>
      </c>
      <c r="N74" t="n">
        <v>0</v>
      </c>
      <c r="O74" t="n">
        <v>0</v>
      </c>
      <c r="P74" t="n">
        <v>0</v>
      </c>
      <c r="Q74" t="n">
        <v>2</v>
      </c>
      <c r="R74" t="n">
        <v>0</v>
      </c>
      <c r="S74" t="n">
        <v>6</v>
      </c>
      <c r="T74" t="n">
        <v>9</v>
      </c>
      <c r="U74" t="n">
        <v>3</v>
      </c>
      <c r="V74" s="2" t="inlineStr">
        <is>
          <t>Skrovellav
Ullticka
Spindelblomster
Stuplav
Tibast
Sälg</t>
        </is>
      </c>
      <c r="W74">
        <f>HYPERLINK("https://klasma.github.io/Logging_2321/artfynd/A 30034-2024 artfynd.xlsx", "A 30034-2024")</f>
        <v/>
      </c>
      <c r="X74">
        <f>HYPERLINK("https://klasma.github.io/Logging_2321/kartor/A 30034-2024 karta.png", "A 30034-2024")</f>
        <v/>
      </c>
      <c r="Y74">
        <f>HYPERLINK("https://klasma.github.io/Logging_2321/kartor_geotiff/A 30034-2024 georefererad karta.tif", "A 30034-2024")</f>
        <v/>
      </c>
      <c r="AA74">
        <f>HYPERLINK("https://klasma.github.io/Logging_2321/klagomål/A 30034-2024 FSC-klagomål.docx", "A 30034-2024")</f>
        <v/>
      </c>
      <c r="AB74">
        <f>HYPERLINK("https://klasma.github.io/Logging_2321/klagomålsmail/A 30034-2024 FSC-klagomål mail.docx", "A 30034-2024")</f>
        <v/>
      </c>
      <c r="AC74">
        <f>HYPERLINK("https://klasma.github.io/Logging_2321/tillsyn/A 30034-2024 tillsynsbegäran.docx", "A 30034-2024")</f>
        <v/>
      </c>
      <c r="AD74">
        <f>HYPERLINK("https://klasma.github.io/Logging_2321/tillsynsmail/A 30034-2024 tillsynsbegäran mail.docx", "A 30034-2024")</f>
        <v/>
      </c>
    </row>
    <row r="75" ht="15" customHeight="1">
      <c r="A75" t="inlineStr">
        <is>
          <t>S 1339-2025</t>
        </is>
      </c>
      <c r="B75" t="inlineStr">
        <is>
          <t>samrådsanmälan</t>
        </is>
      </c>
      <c r="C75" t="inlineStr">
        <is>
          <t>Annan skogsbruksåtgärd</t>
        </is>
      </c>
      <c r="D75" s="1" t="n">
        <v>45771</v>
      </c>
      <c r="E75" s="1" t="n">
        <v>46259</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46259</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46259</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42565-2024</t>
        </is>
      </c>
      <c r="B78" t="inlineStr">
        <is>
          <t>avverkningsanmälan</t>
        </is>
      </c>
      <c r="C78" t="inlineStr">
        <is>
          <t>Föryngringsavverkning</t>
        </is>
      </c>
      <c r="D78" s="1" t="n">
        <v>45565</v>
      </c>
      <c r="E78" s="1" t="n">
        <v>46259</v>
      </c>
      <c r="F78" t="inlineStr">
        <is>
          <t>JÄMTLANDS LÄN</t>
        </is>
      </c>
      <c r="G78" t="inlineStr">
        <is>
          <t>ÅRE</t>
        </is>
      </c>
      <c r="H78" t="inlineStr">
        <is>
          <t>Övriga Aktiebolag</t>
        </is>
      </c>
      <c r="I78" t="n">
        <v>8.4</v>
      </c>
      <c r="J78" t="n">
        <v>0</v>
      </c>
      <c r="K78" t="n">
        <v>0</v>
      </c>
      <c r="L78" t="n">
        <v>2</v>
      </c>
      <c r="M78" t="n">
        <v>3</v>
      </c>
      <c r="N78" t="n">
        <v>0</v>
      </c>
      <c r="O78" t="n">
        <v>0</v>
      </c>
      <c r="P78" t="n">
        <v>0</v>
      </c>
      <c r="Q78" t="n">
        <v>5</v>
      </c>
      <c r="R78" t="n">
        <v>3</v>
      </c>
      <c r="S78" t="n">
        <v>5</v>
      </c>
      <c r="T78" t="n">
        <v>9</v>
      </c>
      <c r="U78" t="n">
        <v>0</v>
      </c>
      <c r="V78" s="2" t="inlineStr">
        <is>
          <t>Garnlav
Gränsticka
Norsk näverlav
Gammelgransskål
Skrovellav</t>
        </is>
      </c>
      <c r="W78">
        <f>HYPERLINK("https://klasma.github.io/Logging_2321/artfynd/A 42565-2024 artfynd.xlsx", "A 42565-2024")</f>
        <v/>
      </c>
      <c r="X78">
        <f>HYPERLINK("https://klasma.github.io/Logging_2321/kartor/A 42565-2024 karta.png", "A 42565-2024")</f>
        <v/>
      </c>
      <c r="Y78">
        <f>HYPERLINK("https://klasma.github.io/Logging_2321/kartor_geotiff/A 42565-2024 georefererad karta.tif", "A 42565-2024")</f>
        <v/>
      </c>
      <c r="AA78">
        <f>HYPERLINK("https://klasma.github.io/Logging_2321/klagomål/A 42565-2024 FSC-klagomål.docx", "A 42565-2024")</f>
        <v/>
      </c>
      <c r="AB78">
        <f>HYPERLINK("https://klasma.github.io/Logging_2321/klagomålsmail/A 42565-2024 FSC-klagomål mail.docx", "A 42565-2024")</f>
        <v/>
      </c>
      <c r="AC78">
        <f>HYPERLINK("https://klasma.github.io/Logging_2321/tillsyn/A 42565-2024 tillsynsbegäran.docx", "A 42565-2024")</f>
        <v/>
      </c>
      <c r="AD78">
        <f>HYPERLINK("https://klasma.github.io/Logging_2321/tillsynsmail/A 42565-2024 tillsynsbegäran mail.docx", "A 42565-2024")</f>
        <v/>
      </c>
    </row>
    <row r="79" ht="15" customHeight="1">
      <c r="A79" t="inlineStr">
        <is>
          <t>A 10491-2024</t>
        </is>
      </c>
      <c r="B79" t="inlineStr">
        <is>
          <t>avverkningsanmälan</t>
        </is>
      </c>
      <c r="C79" t="inlineStr">
        <is>
          <t>Föryngringsavverkning</t>
        </is>
      </c>
      <c r="D79" s="1" t="n">
        <v>45366</v>
      </c>
      <c r="E79" s="1" t="n">
        <v>46259</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20124-2023</t>
        </is>
      </c>
      <c r="B80" t="inlineStr">
        <is>
          <t>avverkningsanmälan</t>
        </is>
      </c>
      <c r="C80" t="inlineStr">
        <is>
          <t>Föryngringsavverkning</t>
        </is>
      </c>
      <c r="D80" s="1" t="n">
        <v>45055</v>
      </c>
      <c r="E80" s="1" t="n">
        <v>46259</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46259-2024</t>
        </is>
      </c>
      <c r="B81" t="inlineStr">
        <is>
          <t>avverkningsanmälan</t>
        </is>
      </c>
      <c r="C81" t="inlineStr">
        <is>
          <t>Föryngringsavverkning</t>
        </is>
      </c>
      <c r="D81" s="1" t="n">
        <v>45581</v>
      </c>
      <c r="E81" s="1" t="n">
        <v>46259</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46259</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25122-2022</t>
        </is>
      </c>
      <c r="B83" t="inlineStr">
        <is>
          <t>avverkningsanmälan</t>
        </is>
      </c>
      <c r="C83" t="inlineStr">
        <is>
          <t>Avverkning för annat ändamål</t>
        </is>
      </c>
      <c r="D83" s="1" t="n">
        <v>44729</v>
      </c>
      <c r="E83" s="1" t="n">
        <v>46259</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32097-2025</t>
        </is>
      </c>
      <c r="B84" t="inlineStr">
        <is>
          <t>avverkningsanmälan</t>
        </is>
      </c>
      <c r="C84" t="inlineStr">
        <is>
          <t>Föryngringsavverkning</t>
        </is>
      </c>
      <c r="D84" s="1" t="n">
        <v>45835</v>
      </c>
      <c r="E84" s="1" t="n">
        <v>46259</v>
      </c>
      <c r="F84" t="inlineStr">
        <is>
          <t>JÄMTLANDS LÄN</t>
        </is>
      </c>
      <c r="G84" t="inlineStr">
        <is>
          <t>ÅRE</t>
        </is>
      </c>
      <c r="I84" t="n">
        <v>6.2</v>
      </c>
      <c r="J84" t="n">
        <v>2</v>
      </c>
      <c r="K84" t="n">
        <v>3</v>
      </c>
      <c r="L84" t="n">
        <v>1</v>
      </c>
      <c r="M84" t="n">
        <v>0</v>
      </c>
      <c r="N84" t="n">
        <v>0</v>
      </c>
      <c r="O84" t="n">
        <v>0</v>
      </c>
      <c r="P84" t="n">
        <v>0</v>
      </c>
      <c r="Q84" t="n">
        <v>1</v>
      </c>
      <c r="R84" t="n">
        <v>0</v>
      </c>
      <c r="S84" t="n">
        <v>4</v>
      </c>
      <c r="T84" t="n">
        <v>4</v>
      </c>
      <c r="U84" t="n">
        <v>4</v>
      </c>
      <c r="V84" s="2" t="inlineStr">
        <is>
          <t>Lunglav
Spindelblomster
Stuplav
Tvåblad</t>
        </is>
      </c>
      <c r="W84">
        <f>HYPERLINK("https://klasma.github.io/Logging_2321/artfynd/A 32097-2025 artfynd.xlsx", "A 32097-2025")</f>
        <v/>
      </c>
      <c r="X84">
        <f>HYPERLINK("https://klasma.github.io/Logging_2321/kartor/A 32097-2025 karta.png", "A 32097-2025")</f>
        <v/>
      </c>
      <c r="Y84">
        <f>HYPERLINK("https://klasma.github.io/Logging_2321/kartor_geotiff/A 32097-2025 georefererad karta.tif", "A 32097-2025")</f>
        <v/>
      </c>
      <c r="AA84">
        <f>HYPERLINK("https://klasma.github.io/Logging_2321/klagomål/A 32097-2025 FSC-klagomål.docx", "A 32097-2025")</f>
        <v/>
      </c>
      <c r="AB84">
        <f>HYPERLINK("https://klasma.github.io/Logging_2321/klagomålsmail/A 32097-2025 FSC-klagomål mail.docx", "A 32097-2025")</f>
        <v/>
      </c>
      <c r="AC84">
        <f>HYPERLINK("https://klasma.github.io/Logging_2321/tillsyn/A 32097-2025 tillsynsbegäran.docx", "A 32097-2025")</f>
        <v/>
      </c>
      <c r="AD84">
        <f>HYPERLINK("https://klasma.github.io/Logging_2321/tillsynsmail/A 32097-2025 tillsynsbegäran mail.docx", "A 32097-2025")</f>
        <v/>
      </c>
    </row>
    <row r="85" ht="15" customHeight="1">
      <c r="A85" t="inlineStr">
        <is>
          <t>A 46984-2021</t>
        </is>
      </c>
      <c r="B85" t="inlineStr">
        <is>
          <t>avverkningsanmälan</t>
        </is>
      </c>
      <c r="C85" t="inlineStr">
        <is>
          <t>Avverkning för annat ändamål</t>
        </is>
      </c>
      <c r="D85" s="1" t="n">
        <v>44446</v>
      </c>
      <c r="E85" s="1" t="n">
        <v>46259</v>
      </c>
      <c r="F85" t="inlineStr">
        <is>
          <t>JÄMTLANDS LÄN</t>
        </is>
      </c>
      <c r="G85" t="inlineStr">
        <is>
          <t>ÅRE</t>
        </is>
      </c>
      <c r="I85" t="n">
        <v>0.2</v>
      </c>
      <c r="J85" t="n">
        <v>2</v>
      </c>
      <c r="K85" t="n">
        <v>1</v>
      </c>
      <c r="L85" t="n">
        <v>1</v>
      </c>
      <c r="M85" t="n">
        <v>1</v>
      </c>
      <c r="N85" t="n">
        <v>0</v>
      </c>
      <c r="O85" t="n">
        <v>0</v>
      </c>
      <c r="P85" t="n">
        <v>0</v>
      </c>
      <c r="Q85" t="n">
        <v>2</v>
      </c>
      <c r="R85" t="n">
        <v>1</v>
      </c>
      <c r="S85" t="n">
        <v>4</v>
      </c>
      <c r="T85" t="n">
        <v>9</v>
      </c>
      <c r="U85" t="n">
        <v>0</v>
      </c>
      <c r="V85" s="2" t="inlineStr">
        <is>
          <t>Garnlav
Tretåig hackspett
Bronshjon
Revlummer</t>
        </is>
      </c>
      <c r="W85">
        <f>HYPERLINK("https://klasma.github.io/Logging_2321/artfynd/A 46984-2021 artfynd.xlsx", "A 46984-2021")</f>
        <v/>
      </c>
      <c r="X85">
        <f>HYPERLINK("https://klasma.github.io/Logging_2321/kartor/A 46984-2021 karta.png", "A 46984-2021")</f>
        <v/>
      </c>
      <c r="Y85">
        <f>HYPERLINK("https://klasma.github.io/Logging_2321/kartor_geotiff/A 46984-2021 georefererad karta.tif", "A 46984-2021")</f>
        <v/>
      </c>
      <c r="AA85">
        <f>HYPERLINK("https://klasma.github.io/Logging_2321/klagomål/A 46984-2021 FSC-klagomål.docx", "A 46984-2021")</f>
        <v/>
      </c>
      <c r="AB85">
        <f>HYPERLINK("https://klasma.github.io/Logging_2321/klagomålsmail/A 46984-2021 FSC-klagomål mail.docx", "A 46984-2021")</f>
        <v/>
      </c>
      <c r="AC85">
        <f>HYPERLINK("https://klasma.github.io/Logging_2321/tillsyn/A 46984-2021 tillsynsbegäran.docx", "A 46984-2021")</f>
        <v/>
      </c>
      <c r="AD85">
        <f>HYPERLINK("https://klasma.github.io/Logging_2321/tillsynsmail/A 46984-2021 tillsynsbegäran mail.docx", "A 46984-2021")</f>
        <v/>
      </c>
      <c r="AE85">
        <f>HYPERLINK("https://klasma.github.io/Logging_2321/fåglar/A 46984-2021 prioriterade fågelarter.docx", "A 46984-2021")</f>
        <v/>
      </c>
    </row>
    <row r="86" ht="15" customHeight="1">
      <c r="A86" t="inlineStr">
        <is>
          <t>A 12271-2022</t>
        </is>
      </c>
      <c r="B86" t="inlineStr">
        <is>
          <t>avverkningsanmälan</t>
        </is>
      </c>
      <c r="C86" t="inlineStr">
        <is>
          <t>Föryngringsavverkning</t>
        </is>
      </c>
      <c r="D86" s="1" t="n">
        <v>44637</v>
      </c>
      <c r="E86" s="1" t="n">
        <v>46259</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46259</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40245-2023</t>
        </is>
      </c>
      <c r="B88" t="inlineStr">
        <is>
          <t>avverkningsanmälan</t>
        </is>
      </c>
      <c r="C88" t="inlineStr">
        <is>
          <t>Föryngringsavverkning</t>
        </is>
      </c>
      <c r="D88" s="1" t="n">
        <v>45167</v>
      </c>
      <c r="E88" s="1" t="n">
        <v>46259</v>
      </c>
      <c r="F88" t="inlineStr">
        <is>
          <t>JÄMTLANDS LÄN</t>
        </is>
      </c>
      <c r="G88" t="inlineStr">
        <is>
          <t>ÅRE</t>
        </is>
      </c>
      <c r="I88" t="n">
        <v>18.8</v>
      </c>
      <c r="J88" t="n">
        <v>2</v>
      </c>
      <c r="K88" t="n">
        <v>0</v>
      </c>
      <c r="L88" t="n">
        <v>3</v>
      </c>
      <c r="M88" t="n">
        <v>0</v>
      </c>
      <c r="N88" t="n">
        <v>0</v>
      </c>
      <c r="O88" t="n">
        <v>0</v>
      </c>
      <c r="P88" t="n">
        <v>0</v>
      </c>
      <c r="Q88" t="n">
        <v>3</v>
      </c>
      <c r="R88" t="n">
        <v>0</v>
      </c>
      <c r="S88" t="n">
        <v>4</v>
      </c>
      <c r="T88" t="n">
        <v>7</v>
      </c>
      <c r="U88" t="n">
        <v>0</v>
      </c>
      <c r="V88" s="2" t="inlineStr">
        <is>
          <t>Lunglav
Skrovellav
Tretåig hackspett
Järpe</t>
        </is>
      </c>
      <c r="W88">
        <f>HYPERLINK("https://klasma.github.io/Logging_2321/artfynd/A 40245-2023 artfynd.xlsx", "A 40245-2023")</f>
        <v/>
      </c>
      <c r="X88">
        <f>HYPERLINK("https://klasma.github.io/Logging_2321/kartor/A 40245-2023 karta.png", "A 40245-2023")</f>
        <v/>
      </c>
      <c r="Y88">
        <f>HYPERLINK("https://klasma.github.io/Logging_2321/kartor_geotiff/A 40245-2023 georefererad karta.tif", "A 40245-2023")</f>
        <v/>
      </c>
      <c r="AA88">
        <f>HYPERLINK("https://klasma.github.io/Logging_2321/klagomål/A 40245-2023 FSC-klagomål.docx", "A 40245-2023")</f>
        <v/>
      </c>
      <c r="AB88">
        <f>HYPERLINK("https://klasma.github.io/Logging_2321/klagomålsmail/A 40245-2023 FSC-klagomål mail.docx", "A 40245-2023")</f>
        <v/>
      </c>
      <c r="AC88">
        <f>HYPERLINK("https://klasma.github.io/Logging_2321/tillsyn/A 40245-2023 tillsynsbegäran.docx", "A 40245-2023")</f>
        <v/>
      </c>
      <c r="AD88">
        <f>HYPERLINK("https://klasma.github.io/Logging_2321/tillsynsmail/A 40245-2023 tillsynsbegäran mail.docx", "A 40245-2023")</f>
        <v/>
      </c>
      <c r="AE88">
        <f>HYPERLINK("https://klasma.github.io/Logging_2321/fåglar/A 40245-2023 prioriterade fågelarter.docx", "A 40245-2023")</f>
        <v/>
      </c>
    </row>
    <row r="89" ht="15" customHeight="1">
      <c r="A89" t="inlineStr">
        <is>
          <t>A 61014-2024</t>
        </is>
      </c>
      <c r="B89" t="inlineStr">
        <is>
          <t>avverkningsanmälan</t>
        </is>
      </c>
      <c r="C89" t="inlineStr">
        <is>
          <t>Föryngringsavverkning</t>
        </is>
      </c>
      <c r="D89" s="1" t="n">
        <v>45645</v>
      </c>
      <c r="E89" s="1" t="n">
        <v>46259</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6108-2023</t>
        </is>
      </c>
      <c r="B90" t="inlineStr">
        <is>
          <t>avverkningsanmälan</t>
        </is>
      </c>
      <c r="C90" t="inlineStr">
        <is>
          <t>Föryngringsavverkning</t>
        </is>
      </c>
      <c r="D90" s="1" t="n">
        <v>44964</v>
      </c>
      <c r="E90" s="1" t="n">
        <v>46259</v>
      </c>
      <c r="F90" t="inlineStr">
        <is>
          <t>JÄMTLANDS LÄN</t>
        </is>
      </c>
      <c r="G90" t="inlineStr">
        <is>
          <t>ÅRE</t>
        </is>
      </c>
      <c r="I90" t="n">
        <v>15.4</v>
      </c>
      <c r="J90" t="n">
        <v>2</v>
      </c>
      <c r="K90" t="n">
        <v>1</v>
      </c>
      <c r="L90" t="n">
        <v>3</v>
      </c>
      <c r="M90" t="n">
        <v>0</v>
      </c>
      <c r="N90" t="n">
        <v>0</v>
      </c>
      <c r="O90" t="n">
        <v>0</v>
      </c>
      <c r="P90" t="n">
        <v>0</v>
      </c>
      <c r="Q90" t="n">
        <v>3</v>
      </c>
      <c r="R90" t="n">
        <v>0</v>
      </c>
      <c r="S90" t="n">
        <v>4</v>
      </c>
      <c r="T90" t="n">
        <v>22</v>
      </c>
      <c r="U90" t="n">
        <v>0</v>
      </c>
      <c r="V90" s="2" t="inlineStr">
        <is>
          <t>Lavskrika
Skrovellav
Tretåig hackspett
Stuplav</t>
        </is>
      </c>
      <c r="W90">
        <f>HYPERLINK("https://klasma.github.io/Logging_2321/artfynd/A 6108-2023 artfynd.xlsx", "A 6108-2023")</f>
        <v/>
      </c>
      <c r="X90">
        <f>HYPERLINK("https://klasma.github.io/Logging_2321/kartor/A 6108-2023 karta.png", "A 6108-2023")</f>
        <v/>
      </c>
      <c r="Y90">
        <f>HYPERLINK("https://klasma.github.io/Logging_2321/kartor_geotiff/A 6108-2023 georefererad karta.tif", "A 6108-2023")</f>
        <v/>
      </c>
      <c r="AA90">
        <f>HYPERLINK("https://klasma.github.io/Logging_2321/klagomål/A 6108-2023 FSC-klagomål.docx", "A 6108-2023")</f>
        <v/>
      </c>
      <c r="AB90">
        <f>HYPERLINK("https://klasma.github.io/Logging_2321/klagomålsmail/A 6108-2023 FSC-klagomål mail.docx", "A 6108-2023")</f>
        <v/>
      </c>
      <c r="AC90">
        <f>HYPERLINK("https://klasma.github.io/Logging_2321/tillsyn/A 6108-2023 tillsynsbegäran.docx", "A 6108-2023")</f>
        <v/>
      </c>
      <c r="AD90">
        <f>HYPERLINK("https://klasma.github.io/Logging_2321/tillsynsmail/A 6108-2023 tillsynsbegäran mail.docx", "A 6108-2023")</f>
        <v/>
      </c>
      <c r="AE90">
        <f>HYPERLINK("https://klasma.github.io/Logging_2321/fåglar/A 6108-2023 prioriterade fågelarter.docx", "A 6108-2023")</f>
        <v/>
      </c>
    </row>
    <row r="91" ht="15" customHeight="1">
      <c r="A91" t="inlineStr">
        <is>
          <t>A 17482-2026</t>
        </is>
      </c>
      <c r="B91" t="inlineStr">
        <is>
          <t>avverkningsanmälan</t>
        </is>
      </c>
      <c r="C91" t="inlineStr">
        <is>
          <t>Föryngringsavverkning</t>
        </is>
      </c>
      <c r="D91" s="1" t="n">
        <v>46120</v>
      </c>
      <c r="E91" s="1" t="n">
        <v>46259</v>
      </c>
      <c r="F91" t="inlineStr">
        <is>
          <t>JÄMTLANDS LÄN</t>
        </is>
      </c>
      <c r="G91" t="inlineStr">
        <is>
          <t>ÅRE</t>
        </is>
      </c>
      <c r="I91" t="n">
        <v>20.2</v>
      </c>
      <c r="J91" t="n">
        <v>1</v>
      </c>
      <c r="K91" t="n">
        <v>1</v>
      </c>
      <c r="L91" t="n">
        <v>2</v>
      </c>
      <c r="M91" t="n">
        <v>0</v>
      </c>
      <c r="N91" t="n">
        <v>0</v>
      </c>
      <c r="O91" t="n">
        <v>0</v>
      </c>
      <c r="P91" t="n">
        <v>0</v>
      </c>
      <c r="Q91" t="n">
        <v>2</v>
      </c>
      <c r="R91" t="n">
        <v>0</v>
      </c>
      <c r="S91" t="n">
        <v>4</v>
      </c>
      <c r="T91" t="n">
        <v>29</v>
      </c>
      <c r="U91" t="n">
        <v>18</v>
      </c>
      <c r="V91" s="2" t="inlineStr">
        <is>
          <t>Tretåig hackspett
Ullticka
Vedticka
Fjällskråp</t>
        </is>
      </c>
      <c r="W91">
        <f>HYPERLINK("https://klasma.github.io/Logging_2321/artfynd/A 17482-2026 artfynd.xlsx", "A 17482-2026")</f>
        <v/>
      </c>
      <c r="X91">
        <f>HYPERLINK("https://klasma.github.io/Logging_2321/kartor/A 17482-2026 karta.png", "A 17482-2026")</f>
        <v/>
      </c>
      <c r="Y91">
        <f>HYPERLINK("https://klasma.github.io/Logging_2321/kartor_geotiff/A 17482-2026 georefererad karta.tif", "A 17482-2026")</f>
        <v/>
      </c>
      <c r="AA91">
        <f>HYPERLINK("https://klasma.github.io/Logging_2321/klagomål/A 17482-2026 FSC-klagomål.docx", "A 17482-2026")</f>
        <v/>
      </c>
      <c r="AB91">
        <f>HYPERLINK("https://klasma.github.io/Logging_2321/klagomålsmail/A 17482-2026 FSC-klagomål mail.docx", "A 17482-2026")</f>
        <v/>
      </c>
      <c r="AC91">
        <f>HYPERLINK("https://klasma.github.io/Logging_2321/tillsyn/A 17482-2026 tillsynsbegäran.docx", "A 17482-2026")</f>
        <v/>
      </c>
      <c r="AD91">
        <f>HYPERLINK("https://klasma.github.io/Logging_2321/tillsynsmail/A 17482-2026 tillsynsbegäran mail.docx", "A 17482-2026")</f>
        <v/>
      </c>
      <c r="AE91">
        <f>HYPERLINK("https://klasma.github.io/Logging_2321/fåglar/A 17482-2026 prioriterade fågelarter.docx", "A 17482-2026")</f>
        <v/>
      </c>
    </row>
    <row r="92" ht="15" customHeight="1">
      <c r="A92" t="inlineStr">
        <is>
          <t>A 36260-2023</t>
        </is>
      </c>
      <c r="B92" t="inlineStr">
        <is>
          <t>avverkningsanmälan</t>
        </is>
      </c>
      <c r="C92" t="inlineStr">
        <is>
          <t>Föryngringsavverkning</t>
        </is>
      </c>
      <c r="D92" s="1" t="n">
        <v>45151</v>
      </c>
      <c r="E92" s="1" t="n">
        <v>46259</v>
      </c>
      <c r="F92" t="inlineStr">
        <is>
          <t>JÄMTLANDS LÄN</t>
        </is>
      </c>
      <c r="G92" t="inlineStr">
        <is>
          <t>ÅRE</t>
        </is>
      </c>
      <c r="I92" t="n">
        <v>2.6</v>
      </c>
      <c r="J92" t="n">
        <v>0</v>
      </c>
      <c r="K92" t="n">
        <v>4</v>
      </c>
      <c r="L92" t="n">
        <v>0</v>
      </c>
      <c r="M92" t="n">
        <v>0</v>
      </c>
      <c r="N92" t="n">
        <v>0</v>
      </c>
      <c r="O92" t="n">
        <v>0</v>
      </c>
      <c r="P92" t="n">
        <v>0</v>
      </c>
      <c r="Q92" t="n">
        <v>0</v>
      </c>
      <c r="R92" t="n">
        <v>0</v>
      </c>
      <c r="S92" t="n">
        <v>4</v>
      </c>
      <c r="T92" t="n">
        <v>6</v>
      </c>
      <c r="U92" t="n">
        <v>6</v>
      </c>
      <c r="V92" s="2" t="inlineStr">
        <is>
          <t>Svavelriska
Trådticka
Underviol
Vedticka</t>
        </is>
      </c>
      <c r="W92">
        <f>HYPERLINK("https://klasma.github.io/Logging_2321/artfynd/A 36260-2023 artfynd.xlsx", "A 36260-2023")</f>
        <v/>
      </c>
      <c r="X92">
        <f>HYPERLINK("https://klasma.github.io/Logging_2321/kartor/A 36260-2023 karta.png", "A 36260-2023")</f>
        <v/>
      </c>
      <c r="Y92">
        <f>HYPERLINK("https://klasma.github.io/Logging_2321/kartor_geotiff/A 36260-2023 georefererad karta.tif", "A 36260-2023")</f>
        <v/>
      </c>
      <c r="AA92">
        <f>HYPERLINK("https://klasma.github.io/Logging_2321/klagomål/A 36260-2023 FSC-klagomål.docx", "A 36260-2023")</f>
        <v/>
      </c>
      <c r="AB92">
        <f>HYPERLINK("https://klasma.github.io/Logging_2321/klagomålsmail/A 36260-2023 FSC-klagomål mail.docx", "A 36260-2023")</f>
        <v/>
      </c>
      <c r="AC92">
        <f>HYPERLINK("https://klasma.github.io/Logging_2321/tillsyn/A 36260-2023 tillsynsbegäran.docx", "A 36260-2023")</f>
        <v/>
      </c>
      <c r="AD92">
        <f>HYPERLINK("https://klasma.github.io/Logging_2321/tillsynsmail/A 36260-2023 tillsynsbegäran mail.docx", "A 36260-2023")</f>
        <v/>
      </c>
    </row>
    <row r="93" ht="15" customHeight="1">
      <c r="A93" t="inlineStr">
        <is>
          <t>A 48189-2025</t>
        </is>
      </c>
      <c r="B93" t="inlineStr">
        <is>
          <t>avverkningsanmälan</t>
        </is>
      </c>
      <c r="C93" t="inlineStr">
        <is>
          <t>Avverkning för att bevara och utveckla /försöksver</t>
        </is>
      </c>
      <c r="D93" s="1" t="n">
        <v>45931</v>
      </c>
      <c r="E93" s="1" t="n">
        <v>46259</v>
      </c>
      <c r="F93" t="inlineStr">
        <is>
          <t>JÄMTLANDS LÄN</t>
        </is>
      </c>
      <c r="G93" t="inlineStr">
        <is>
          <t>ÅRE</t>
        </is>
      </c>
      <c r="I93" t="n">
        <v>2.9</v>
      </c>
      <c r="J93" t="n">
        <v>1</v>
      </c>
      <c r="K93" t="n">
        <v>0</v>
      </c>
      <c r="L93" t="n">
        <v>1</v>
      </c>
      <c r="M93" t="n">
        <v>2</v>
      </c>
      <c r="N93" t="n">
        <v>0</v>
      </c>
      <c r="O93" t="n">
        <v>0</v>
      </c>
      <c r="P93" t="n">
        <v>0</v>
      </c>
      <c r="Q93" t="n">
        <v>3</v>
      </c>
      <c r="R93" t="n">
        <v>2</v>
      </c>
      <c r="S93" t="n">
        <v>4</v>
      </c>
      <c r="T93" t="n">
        <v>4</v>
      </c>
      <c r="U93" t="n">
        <v>0</v>
      </c>
      <c r="V93" s="2" t="inlineStr">
        <is>
          <t>Garnlav
Gränsticka
Ullticka
Orre</t>
        </is>
      </c>
      <c r="W93">
        <f>HYPERLINK("https://klasma.github.io/Logging_2321/artfynd/A 48189-2025 artfynd.xlsx", "A 48189-2025")</f>
        <v/>
      </c>
      <c r="X93">
        <f>HYPERLINK("https://klasma.github.io/Logging_2321/kartor/A 48189-2025 karta.png", "A 48189-2025")</f>
        <v/>
      </c>
      <c r="Y93">
        <f>HYPERLINK("https://klasma.github.io/Logging_2321/kartor_geotiff/A 48189-2025 georefererad karta.tif", "A 48189-2025")</f>
        <v/>
      </c>
      <c r="AA93">
        <f>HYPERLINK("https://klasma.github.io/Logging_2321/klagomål/A 48189-2025 FSC-klagomål.docx", "A 48189-2025")</f>
        <v/>
      </c>
      <c r="AB93">
        <f>HYPERLINK("https://klasma.github.io/Logging_2321/klagomålsmail/A 48189-2025 FSC-klagomål mail.docx", "A 48189-2025")</f>
        <v/>
      </c>
      <c r="AC93">
        <f>HYPERLINK("https://klasma.github.io/Logging_2321/tillsyn/A 48189-2025 tillsynsbegäran.docx", "A 48189-2025")</f>
        <v/>
      </c>
      <c r="AD93">
        <f>HYPERLINK("https://klasma.github.io/Logging_2321/tillsynsmail/A 48189-2025 tillsynsbegäran mail.docx", "A 48189-2025")</f>
        <v/>
      </c>
      <c r="AE93">
        <f>HYPERLINK("https://klasma.github.io/Logging_2321/fåglar/A 48189-2025 prioriterade fågelarter.docx", "A 48189-2025")</f>
        <v/>
      </c>
    </row>
    <row r="94" ht="15" customHeight="1">
      <c r="A94" t="inlineStr">
        <is>
          <t>A 62545-2025</t>
        </is>
      </c>
      <c r="B94" t="inlineStr">
        <is>
          <t>avverkningsanmälan</t>
        </is>
      </c>
      <c r="C94" t="inlineStr">
        <is>
          <t>Föryngringsavverkning</t>
        </is>
      </c>
      <c r="D94" s="1" t="n">
        <v>46007</v>
      </c>
      <c r="E94" s="1" t="n">
        <v>46259</v>
      </c>
      <c r="F94" t="inlineStr">
        <is>
          <t>JÄMTLANDS LÄN</t>
        </is>
      </c>
      <c r="G94" t="inlineStr">
        <is>
          <t>ÅRE</t>
        </is>
      </c>
      <c r="H94" t="inlineStr">
        <is>
          <t>Övriga Aktiebolag</t>
        </is>
      </c>
      <c r="I94" t="n">
        <v>4.3</v>
      </c>
      <c r="J94" t="n">
        <v>3</v>
      </c>
      <c r="K94" t="n">
        <v>0</v>
      </c>
      <c r="L94" t="n">
        <v>2</v>
      </c>
      <c r="M94" t="n">
        <v>0</v>
      </c>
      <c r="N94" t="n">
        <v>0</v>
      </c>
      <c r="O94" t="n">
        <v>0</v>
      </c>
      <c r="P94" t="n">
        <v>0</v>
      </c>
      <c r="Q94" t="n">
        <v>2</v>
      </c>
      <c r="R94" t="n">
        <v>0</v>
      </c>
      <c r="S94" t="n">
        <v>4</v>
      </c>
      <c r="T94" t="n">
        <v>12</v>
      </c>
      <c r="U94" t="n">
        <v>12</v>
      </c>
      <c r="V94" s="2" t="inlineStr">
        <is>
          <t>Tretåig hackspett
Ullticka
Spillkråka
Tallbit</t>
        </is>
      </c>
      <c r="W94">
        <f>HYPERLINK("https://klasma.github.io/Logging_2321/artfynd/A 62545-2025 artfynd.xlsx", "A 62545-2025")</f>
        <v/>
      </c>
      <c r="X94">
        <f>HYPERLINK("https://klasma.github.io/Logging_2321/kartor/A 62545-2025 karta.png", "A 62545-2025")</f>
        <v/>
      </c>
      <c r="Y94">
        <f>HYPERLINK("https://klasma.github.io/Logging_2321/kartor_geotiff/A 62545-2025 georefererad karta.tif", "A 62545-2025")</f>
        <v/>
      </c>
      <c r="AA94">
        <f>HYPERLINK("https://klasma.github.io/Logging_2321/klagomål/A 62545-2025 FSC-klagomål.docx", "A 62545-2025")</f>
        <v/>
      </c>
      <c r="AB94">
        <f>HYPERLINK("https://klasma.github.io/Logging_2321/klagomålsmail/A 62545-2025 FSC-klagomål mail.docx", "A 62545-2025")</f>
        <v/>
      </c>
      <c r="AC94">
        <f>HYPERLINK("https://klasma.github.io/Logging_2321/tillsyn/A 62545-2025 tillsynsbegäran.docx", "A 62545-2025")</f>
        <v/>
      </c>
      <c r="AD94">
        <f>HYPERLINK("https://klasma.github.io/Logging_2321/tillsynsmail/A 62545-2025 tillsynsbegäran mail.docx", "A 62545-2025")</f>
        <v/>
      </c>
      <c r="AE94">
        <f>HYPERLINK("https://klasma.github.io/Logging_2321/fåglar/A 62545-2025 prioriterade fågelarter.docx", "A 62545-2025")</f>
        <v/>
      </c>
    </row>
    <row r="95" ht="15" customHeight="1">
      <c r="A95" t="inlineStr">
        <is>
          <t>A 22974-2022</t>
        </is>
      </c>
      <c r="B95" t="inlineStr">
        <is>
          <t>avverkningsanmälan</t>
        </is>
      </c>
      <c r="C95" t="inlineStr">
        <is>
          <t>Föryngringsavverkning</t>
        </is>
      </c>
      <c r="D95" s="1" t="n">
        <v>44716</v>
      </c>
      <c r="E95" s="1" t="n">
        <v>46259</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56873-2025</t>
        </is>
      </c>
      <c r="B96" t="inlineStr">
        <is>
          <t>avverkningsanmälan</t>
        </is>
      </c>
      <c r="C96" t="inlineStr">
        <is>
          <t>Föryngringsavverkning</t>
        </is>
      </c>
      <c r="D96" s="1" t="n">
        <v>45978</v>
      </c>
      <c r="E96" s="1" t="n">
        <v>46259</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46259</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46259</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46259</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52707-2022</t>
        </is>
      </c>
      <c r="B100" t="inlineStr">
        <is>
          <t>avverkningsanmälan</t>
        </is>
      </c>
      <c r="C100" t="inlineStr">
        <is>
          <t>Avverkning för annat ändamål</t>
        </is>
      </c>
      <c r="D100" s="1" t="n">
        <v>44874</v>
      </c>
      <c r="E100" s="1" t="n">
        <v>46259</v>
      </c>
      <c r="F100" t="inlineStr">
        <is>
          <t>JÄMTLANDS LÄN</t>
        </is>
      </c>
      <c r="G100" t="inlineStr">
        <is>
          <t>ÅRE</t>
        </is>
      </c>
      <c r="H100" t="inlineStr">
        <is>
          <t>Övriga Aktiebolag</t>
        </is>
      </c>
      <c r="I100" t="n">
        <v>2.3</v>
      </c>
      <c r="J100" t="n">
        <v>0</v>
      </c>
      <c r="K100" t="n">
        <v>1</v>
      </c>
      <c r="L100" t="n">
        <v>2</v>
      </c>
      <c r="M100" t="n">
        <v>0</v>
      </c>
      <c r="N100" t="n">
        <v>0</v>
      </c>
      <c r="O100" t="n">
        <v>0</v>
      </c>
      <c r="P100" t="n">
        <v>0</v>
      </c>
      <c r="Q100" t="n">
        <v>2</v>
      </c>
      <c r="R100" t="n">
        <v>0</v>
      </c>
      <c r="S100" t="n">
        <v>3</v>
      </c>
      <c r="T100" t="n">
        <v>3</v>
      </c>
      <c r="U100" t="n">
        <v>0</v>
      </c>
      <c r="V100" s="2" t="inlineStr">
        <is>
          <t>Rosenticka
Ullticka
Luddlav</t>
        </is>
      </c>
      <c r="W100">
        <f>HYPERLINK("https://klasma.github.io/Logging_2321/artfynd/A 52707-2022 artfynd.xlsx", "A 52707-2022")</f>
        <v/>
      </c>
      <c r="X100">
        <f>HYPERLINK("https://klasma.github.io/Logging_2321/kartor/A 52707-2022 karta.png", "A 52707-2022")</f>
        <v/>
      </c>
      <c r="Y100">
        <f>HYPERLINK("https://klasma.github.io/Logging_2321/kartor_geotiff/A 52707-2022 georefererad karta.tif", "A 52707-2022")</f>
        <v/>
      </c>
      <c r="AA100">
        <f>HYPERLINK("https://klasma.github.io/Logging_2321/klagomål/A 52707-2022 FSC-klagomål.docx", "A 52707-2022")</f>
        <v/>
      </c>
      <c r="AB100">
        <f>HYPERLINK("https://klasma.github.io/Logging_2321/klagomålsmail/A 52707-2022 FSC-klagomål mail.docx", "A 52707-2022")</f>
        <v/>
      </c>
      <c r="AC100">
        <f>HYPERLINK("https://klasma.github.io/Logging_2321/tillsyn/A 52707-2022 tillsynsbegäran.docx", "A 52707-2022")</f>
        <v/>
      </c>
      <c r="AD100">
        <f>HYPERLINK("https://klasma.github.io/Logging_2321/tillsynsmail/A 52707-2022 tillsynsbegäran mail.docx", "A 52707-2022")</f>
        <v/>
      </c>
    </row>
    <row r="101" ht="15" customHeight="1">
      <c r="A101" t="inlineStr">
        <is>
          <t>A 52427-2021</t>
        </is>
      </c>
      <c r="B101" t="inlineStr">
        <is>
          <t>avverkningsanmälan</t>
        </is>
      </c>
      <c r="C101" t="inlineStr">
        <is>
          <t>Föryngringsavverkning</t>
        </is>
      </c>
      <c r="D101" s="1" t="n">
        <v>44466</v>
      </c>
      <c r="E101" s="1" t="n">
        <v>46259</v>
      </c>
      <c r="F101" t="inlineStr">
        <is>
          <t>JÄMTLANDS LÄN</t>
        </is>
      </c>
      <c r="G101" t="inlineStr">
        <is>
          <t>ÅRE</t>
        </is>
      </c>
      <c r="I101" t="n">
        <v>4</v>
      </c>
      <c r="J101" t="n">
        <v>1</v>
      </c>
      <c r="K101" t="n">
        <v>0</v>
      </c>
      <c r="L101" t="n">
        <v>2</v>
      </c>
      <c r="M101" t="n">
        <v>1</v>
      </c>
      <c r="N101" t="n">
        <v>0</v>
      </c>
      <c r="O101" t="n">
        <v>0</v>
      </c>
      <c r="P101" t="n">
        <v>0</v>
      </c>
      <c r="Q101" t="n">
        <v>3</v>
      </c>
      <c r="R101" t="n">
        <v>1</v>
      </c>
      <c r="S101" t="n">
        <v>3</v>
      </c>
      <c r="T101" t="n">
        <v>5</v>
      </c>
      <c r="U101" t="n">
        <v>5</v>
      </c>
      <c r="V101" s="2" t="inlineStr">
        <is>
          <t>Garnlav
Harticka
Tretåig hackspett</t>
        </is>
      </c>
      <c r="W101">
        <f>HYPERLINK("https://klasma.github.io/Logging_2321/artfynd/A 52427-2021 artfynd.xlsx", "A 52427-2021")</f>
        <v/>
      </c>
      <c r="X101">
        <f>HYPERLINK("https://klasma.github.io/Logging_2321/kartor/A 52427-2021 karta.png", "A 52427-2021")</f>
        <v/>
      </c>
      <c r="Y101">
        <f>HYPERLINK("https://klasma.github.io/Logging_2321/kartor_geotiff/A 52427-2021 georefererad karta.tif", "A 52427-2021")</f>
        <v/>
      </c>
      <c r="AA101">
        <f>HYPERLINK("https://klasma.github.io/Logging_2321/klagomål/A 52427-2021 FSC-klagomål.docx", "A 52427-2021")</f>
        <v/>
      </c>
      <c r="AB101">
        <f>HYPERLINK("https://klasma.github.io/Logging_2321/klagomålsmail/A 52427-2021 FSC-klagomål mail.docx", "A 52427-2021")</f>
        <v/>
      </c>
      <c r="AC101">
        <f>HYPERLINK("https://klasma.github.io/Logging_2321/tillsyn/A 52427-2021 tillsynsbegäran.docx", "A 52427-2021")</f>
        <v/>
      </c>
      <c r="AD101">
        <f>HYPERLINK("https://klasma.github.io/Logging_2321/tillsynsmail/A 52427-2021 tillsynsbegäran mail.docx", "A 52427-2021")</f>
        <v/>
      </c>
      <c r="AE101">
        <f>HYPERLINK("https://klasma.github.io/Logging_2321/fåglar/A 52427-2021 prioriterade fågelarter.docx", "A 52427-2021")</f>
        <v/>
      </c>
    </row>
    <row r="102" ht="15" customHeight="1">
      <c r="A102" t="inlineStr">
        <is>
          <t>A 72934-2021</t>
        </is>
      </c>
      <c r="B102" t="inlineStr">
        <is>
          <t>avverkningsanmälan</t>
        </is>
      </c>
      <c r="C102" t="inlineStr">
        <is>
          <t>Föryngringsavverkning</t>
        </is>
      </c>
      <c r="D102" s="1" t="n">
        <v>44547</v>
      </c>
      <c r="E102" s="1" t="n">
        <v>46259</v>
      </c>
      <c r="F102" t="inlineStr">
        <is>
          <t>JÄMTLANDS LÄN</t>
        </is>
      </c>
      <c r="G102" t="inlineStr">
        <is>
          <t>ÅRE</t>
        </is>
      </c>
      <c r="I102" t="n">
        <v>31.9</v>
      </c>
      <c r="J102" t="n">
        <v>0</v>
      </c>
      <c r="K102" t="n">
        <v>0</v>
      </c>
      <c r="L102" t="n">
        <v>2</v>
      </c>
      <c r="M102" t="n">
        <v>1</v>
      </c>
      <c r="N102" t="n">
        <v>0</v>
      </c>
      <c r="O102" t="n">
        <v>0</v>
      </c>
      <c r="P102" t="n">
        <v>0</v>
      </c>
      <c r="Q102" t="n">
        <v>3</v>
      </c>
      <c r="R102" t="n">
        <v>1</v>
      </c>
      <c r="S102" t="n">
        <v>3</v>
      </c>
      <c r="T102" t="n">
        <v>7</v>
      </c>
      <c r="U102" t="n">
        <v>0</v>
      </c>
      <c r="V102" s="2" t="inlineStr">
        <is>
          <t>Gränsticka
Skrovellav
Stjärntagging</t>
        </is>
      </c>
      <c r="W102">
        <f>HYPERLINK("https://klasma.github.io/Logging_2321/artfynd/A 72934-2021 artfynd.xlsx", "A 72934-2021")</f>
        <v/>
      </c>
      <c r="X102">
        <f>HYPERLINK("https://klasma.github.io/Logging_2321/kartor/A 72934-2021 karta.png", "A 72934-2021")</f>
        <v/>
      </c>
      <c r="Y102">
        <f>HYPERLINK("https://klasma.github.io/Logging_2321/kartor_geotiff/A 72934-2021 georefererad karta.tif", "A 72934-2021")</f>
        <v/>
      </c>
      <c r="AA102">
        <f>HYPERLINK("https://klasma.github.io/Logging_2321/klagomål/A 72934-2021 FSC-klagomål.docx", "A 72934-2021")</f>
        <v/>
      </c>
      <c r="AB102">
        <f>HYPERLINK("https://klasma.github.io/Logging_2321/klagomålsmail/A 72934-2021 FSC-klagomål mail.docx", "A 72934-2021")</f>
        <v/>
      </c>
      <c r="AC102">
        <f>HYPERLINK("https://klasma.github.io/Logging_2321/tillsyn/A 72934-2021 tillsynsbegäran.docx", "A 72934-2021")</f>
        <v/>
      </c>
      <c r="AD102">
        <f>HYPERLINK("https://klasma.github.io/Logging_2321/tillsynsmail/A 72934-2021 tillsynsbegäran mail.docx", "A 72934-2021")</f>
        <v/>
      </c>
    </row>
    <row r="103" ht="15" customHeight="1">
      <c r="A103" t="inlineStr">
        <is>
          <t>A 52588-2024</t>
        </is>
      </c>
      <c r="B103" t="inlineStr">
        <is>
          <t>avverkningsanmälan</t>
        </is>
      </c>
      <c r="C103" t="inlineStr">
        <is>
          <t>Föryngringsavverkning</t>
        </is>
      </c>
      <c r="D103" s="1" t="n">
        <v>45609</v>
      </c>
      <c r="E103" s="1" t="n">
        <v>46259</v>
      </c>
      <c r="F103" t="inlineStr">
        <is>
          <t>JÄMTLANDS LÄN</t>
        </is>
      </c>
      <c r="G103" t="inlineStr">
        <is>
          <t>ÅRE</t>
        </is>
      </c>
      <c r="I103" t="n">
        <v>6.5</v>
      </c>
      <c r="J103" t="n">
        <v>0</v>
      </c>
      <c r="K103" t="n">
        <v>1</v>
      </c>
      <c r="L103" t="n">
        <v>1</v>
      </c>
      <c r="M103" t="n">
        <v>1</v>
      </c>
      <c r="N103" t="n">
        <v>0</v>
      </c>
      <c r="O103" t="n">
        <v>0</v>
      </c>
      <c r="P103" t="n">
        <v>0</v>
      </c>
      <c r="Q103" t="n">
        <v>2</v>
      </c>
      <c r="R103" t="n">
        <v>1</v>
      </c>
      <c r="S103" t="n">
        <v>3</v>
      </c>
      <c r="T103" t="n">
        <v>8</v>
      </c>
      <c r="U103" t="n">
        <v>8</v>
      </c>
      <c r="V103" s="2" t="inlineStr">
        <is>
          <t>Garnlav
Liten svartspik
Vedticka</t>
        </is>
      </c>
      <c r="W103">
        <f>HYPERLINK("https://klasma.github.io/Logging_2321/artfynd/A 52588-2024 artfynd.xlsx", "A 52588-2024")</f>
        <v/>
      </c>
      <c r="X103">
        <f>HYPERLINK("https://klasma.github.io/Logging_2321/kartor/A 52588-2024 karta.png", "A 52588-2024")</f>
        <v/>
      </c>
      <c r="Y103">
        <f>HYPERLINK("https://klasma.github.io/Logging_2321/kartor_geotiff/A 52588-2024 georefererad karta.tif", "A 52588-2024")</f>
        <v/>
      </c>
      <c r="AA103">
        <f>HYPERLINK("https://klasma.github.io/Logging_2321/klagomål/A 52588-2024 FSC-klagomål.docx", "A 52588-2024")</f>
        <v/>
      </c>
      <c r="AB103">
        <f>HYPERLINK("https://klasma.github.io/Logging_2321/klagomålsmail/A 52588-2024 FSC-klagomål mail.docx", "A 52588-2024")</f>
        <v/>
      </c>
      <c r="AC103">
        <f>HYPERLINK("https://klasma.github.io/Logging_2321/tillsyn/A 52588-2024 tillsynsbegäran.docx", "A 52588-2024")</f>
        <v/>
      </c>
      <c r="AD103">
        <f>HYPERLINK("https://klasma.github.io/Logging_2321/tillsynsmail/A 52588-2024 tillsynsbegäran mail.docx", "A 52588-2024")</f>
        <v/>
      </c>
    </row>
    <row r="104" ht="15" customHeight="1">
      <c r="A104" t="inlineStr">
        <is>
          <t>A 11377-2025</t>
        </is>
      </c>
      <c r="B104" t="inlineStr">
        <is>
          <t>avverkningsanmälan</t>
        </is>
      </c>
      <c r="C104" t="inlineStr">
        <is>
          <t>Avverkning för annat ändamål</t>
        </is>
      </c>
      <c r="D104" s="1" t="n">
        <v>45726</v>
      </c>
      <c r="E104" s="1" t="n">
        <v>46259</v>
      </c>
      <c r="F104" t="inlineStr">
        <is>
          <t>JÄMTLANDS LÄN</t>
        </is>
      </c>
      <c r="G104" t="inlineStr">
        <is>
          <t>ÅRE</t>
        </is>
      </c>
      <c r="I104" t="n">
        <v>7.1</v>
      </c>
      <c r="J104" t="n">
        <v>0</v>
      </c>
      <c r="K104" t="n">
        <v>0</v>
      </c>
      <c r="L104" t="n">
        <v>3</v>
      </c>
      <c r="M104" t="n">
        <v>0</v>
      </c>
      <c r="N104" t="n">
        <v>0</v>
      </c>
      <c r="O104" t="n">
        <v>0</v>
      </c>
      <c r="P104" t="n">
        <v>0</v>
      </c>
      <c r="Q104" t="n">
        <v>3</v>
      </c>
      <c r="R104" t="n">
        <v>0</v>
      </c>
      <c r="S104" t="n">
        <v>3</v>
      </c>
      <c r="T104" t="n">
        <v>3</v>
      </c>
      <c r="U104" t="n">
        <v>3</v>
      </c>
      <c r="V104" s="2" t="inlineStr">
        <is>
          <t>Gammelgransskål
Liten svartspik
Vitgrynig nållav</t>
        </is>
      </c>
      <c r="W104">
        <f>HYPERLINK("https://klasma.github.io/Logging_2321/artfynd/A 11377-2025 artfynd.xlsx", "A 11377-2025")</f>
        <v/>
      </c>
      <c r="X104">
        <f>HYPERLINK("https://klasma.github.io/Logging_2321/kartor/A 11377-2025 karta.png", "A 11377-2025")</f>
        <v/>
      </c>
      <c r="Y104">
        <f>HYPERLINK("https://klasma.github.io/Logging_2321/kartor_geotiff/A 11377-2025 georefererad karta.tif", "A 11377-2025")</f>
        <v/>
      </c>
      <c r="AA104">
        <f>HYPERLINK("https://klasma.github.io/Logging_2321/klagomål/A 11377-2025 FSC-klagomål.docx", "A 11377-2025")</f>
        <v/>
      </c>
      <c r="AB104">
        <f>HYPERLINK("https://klasma.github.io/Logging_2321/klagomålsmail/A 11377-2025 FSC-klagomål mail.docx", "A 11377-2025")</f>
        <v/>
      </c>
      <c r="AC104">
        <f>HYPERLINK("https://klasma.github.io/Logging_2321/tillsyn/A 11377-2025 tillsynsbegäran.docx", "A 11377-2025")</f>
        <v/>
      </c>
      <c r="AD104">
        <f>HYPERLINK("https://klasma.github.io/Logging_2321/tillsynsmail/A 11377-2025 tillsynsbegäran mail.docx", "A 11377-2025")</f>
        <v/>
      </c>
    </row>
    <row r="105" ht="15" customHeight="1">
      <c r="A105" t="inlineStr">
        <is>
          <t>A 10627-2023</t>
        </is>
      </c>
      <c r="B105" t="inlineStr">
        <is>
          <t>avverkningsanmälan</t>
        </is>
      </c>
      <c r="C105" t="inlineStr">
        <is>
          <t>Föryngringsavverkning</t>
        </is>
      </c>
      <c r="D105" s="1" t="n">
        <v>44984</v>
      </c>
      <c r="E105" s="1" t="n">
        <v>46259</v>
      </c>
      <c r="F105" t="inlineStr">
        <is>
          <t>JÄMTLANDS LÄN</t>
        </is>
      </c>
      <c r="G105" t="inlineStr">
        <is>
          <t>ÅRE</t>
        </is>
      </c>
      <c r="I105" t="n">
        <v>29.1</v>
      </c>
      <c r="J105" t="n">
        <v>1</v>
      </c>
      <c r="K105" t="n">
        <v>0</v>
      </c>
      <c r="L105" t="n">
        <v>3</v>
      </c>
      <c r="M105" t="n">
        <v>0</v>
      </c>
      <c r="N105" t="n">
        <v>0</v>
      </c>
      <c r="O105" t="n">
        <v>0</v>
      </c>
      <c r="P105" t="n">
        <v>0</v>
      </c>
      <c r="Q105" t="n">
        <v>3</v>
      </c>
      <c r="R105" t="n">
        <v>0</v>
      </c>
      <c r="S105" t="n">
        <v>3</v>
      </c>
      <c r="T105" t="n">
        <v>23</v>
      </c>
      <c r="U105" t="n">
        <v>22</v>
      </c>
      <c r="V105" s="2" t="inlineStr">
        <is>
          <t>Harticka
Tretåig hackspett
Vitgrynig nållav</t>
        </is>
      </c>
      <c r="W105">
        <f>HYPERLINK("https://klasma.github.io/Logging_2321/artfynd/A 10627-2023 artfynd.xlsx", "A 10627-2023")</f>
        <v/>
      </c>
      <c r="X105">
        <f>HYPERLINK("https://klasma.github.io/Logging_2321/kartor/A 10627-2023 karta.png", "A 10627-2023")</f>
        <v/>
      </c>
      <c r="Y105">
        <f>HYPERLINK("https://klasma.github.io/Logging_2321/kartor_geotiff/A 10627-2023 georefererad karta.tif", "A 10627-2023")</f>
        <v/>
      </c>
      <c r="AA105">
        <f>HYPERLINK("https://klasma.github.io/Logging_2321/klagomål/A 10627-2023 FSC-klagomål.docx", "A 10627-2023")</f>
        <v/>
      </c>
      <c r="AB105">
        <f>HYPERLINK("https://klasma.github.io/Logging_2321/klagomålsmail/A 10627-2023 FSC-klagomål mail.docx", "A 10627-2023")</f>
        <v/>
      </c>
      <c r="AC105">
        <f>HYPERLINK("https://klasma.github.io/Logging_2321/tillsyn/A 10627-2023 tillsynsbegäran.docx", "A 10627-2023")</f>
        <v/>
      </c>
      <c r="AD105">
        <f>HYPERLINK("https://klasma.github.io/Logging_2321/tillsynsmail/A 10627-2023 tillsynsbegäran mail.docx", "A 10627-2023")</f>
        <v/>
      </c>
      <c r="AE105">
        <f>HYPERLINK("https://klasma.github.io/Logging_2321/fåglar/A 10627-2023 prioriterade fågelarter.docx", "A 10627-2023")</f>
        <v/>
      </c>
    </row>
    <row r="106" ht="15" customHeight="1">
      <c r="A106" t="inlineStr">
        <is>
          <t>A 56549-2025</t>
        </is>
      </c>
      <c r="B106" t="inlineStr">
        <is>
          <t>avverkningsanmälan</t>
        </is>
      </c>
      <c r="C106" t="inlineStr">
        <is>
          <t>Föryngringsavverkning</t>
        </is>
      </c>
      <c r="D106" s="1" t="n">
        <v>45975</v>
      </c>
      <c r="E106" s="1" t="n">
        <v>46259</v>
      </c>
      <c r="F106" t="inlineStr">
        <is>
          <t>JÄMTLANDS LÄN</t>
        </is>
      </c>
      <c r="G106" t="inlineStr">
        <is>
          <t>ÅRE</t>
        </is>
      </c>
      <c r="H106" t="inlineStr">
        <is>
          <t>Övriga Aktiebolag</t>
        </is>
      </c>
      <c r="I106" t="n">
        <v>10.1</v>
      </c>
      <c r="J106" t="n">
        <v>0</v>
      </c>
      <c r="K106" t="n">
        <v>1</v>
      </c>
      <c r="L106" t="n">
        <v>2</v>
      </c>
      <c r="M106" t="n">
        <v>0</v>
      </c>
      <c r="N106" t="n">
        <v>0</v>
      </c>
      <c r="O106" t="n">
        <v>0</v>
      </c>
      <c r="P106" t="n">
        <v>0</v>
      </c>
      <c r="Q106" t="n">
        <v>2</v>
      </c>
      <c r="R106" t="n">
        <v>0</v>
      </c>
      <c r="S106" t="n">
        <v>3</v>
      </c>
      <c r="T106" t="n">
        <v>4</v>
      </c>
      <c r="U106" t="n">
        <v>0</v>
      </c>
      <c r="V106" s="2" t="inlineStr">
        <is>
          <t>Skrovellav
Ullticka
Stuplav</t>
        </is>
      </c>
      <c r="W106">
        <f>HYPERLINK("https://klasma.github.io/Logging_2321/artfynd/A 56549-2025 artfynd.xlsx", "A 56549-2025")</f>
        <v/>
      </c>
      <c r="X106">
        <f>HYPERLINK("https://klasma.github.io/Logging_2321/kartor/A 56549-2025 karta.png", "A 56549-2025")</f>
        <v/>
      </c>
      <c r="Y106">
        <f>HYPERLINK("https://klasma.github.io/Logging_2321/kartor_geotiff/A 56549-2025 georefererad karta.tif", "A 56549-2025")</f>
        <v/>
      </c>
      <c r="AA106">
        <f>HYPERLINK("https://klasma.github.io/Logging_2321/klagomål/A 56549-2025 FSC-klagomål.docx", "A 56549-2025")</f>
        <v/>
      </c>
      <c r="AB106">
        <f>HYPERLINK("https://klasma.github.io/Logging_2321/klagomålsmail/A 56549-2025 FSC-klagomål mail.docx", "A 56549-2025")</f>
        <v/>
      </c>
      <c r="AC106">
        <f>HYPERLINK("https://klasma.github.io/Logging_2321/tillsyn/A 56549-2025 tillsynsbegäran.docx", "A 56549-2025")</f>
        <v/>
      </c>
      <c r="AD106">
        <f>HYPERLINK("https://klasma.github.io/Logging_2321/tillsynsmail/A 56549-2025 tillsynsbegäran mail.docx", "A 56549-2025")</f>
        <v/>
      </c>
    </row>
    <row r="107" ht="15" customHeight="1">
      <c r="A107" t="inlineStr">
        <is>
          <t>A 58082-2022</t>
        </is>
      </c>
      <c r="B107" t="inlineStr">
        <is>
          <t>avverkningsanmälan</t>
        </is>
      </c>
      <c r="C107" t="inlineStr">
        <is>
          <t>Föryngringsavverkning</t>
        </is>
      </c>
      <c r="D107" s="1" t="n">
        <v>44900</v>
      </c>
      <c r="E107" s="1" t="n">
        <v>46259</v>
      </c>
      <c r="F107" t="inlineStr">
        <is>
          <t>JÄMTLANDS LÄN</t>
        </is>
      </c>
      <c r="G107" t="inlineStr">
        <is>
          <t>ÅRE</t>
        </is>
      </c>
      <c r="I107" t="n">
        <v>28.2</v>
      </c>
      <c r="J107" t="n">
        <v>2</v>
      </c>
      <c r="K107" t="n">
        <v>1</v>
      </c>
      <c r="L107" t="n">
        <v>1</v>
      </c>
      <c r="M107" t="n">
        <v>0</v>
      </c>
      <c r="N107" t="n">
        <v>0</v>
      </c>
      <c r="O107" t="n">
        <v>0</v>
      </c>
      <c r="P107" t="n">
        <v>0</v>
      </c>
      <c r="Q107" t="n">
        <v>1</v>
      </c>
      <c r="R107" t="n">
        <v>0</v>
      </c>
      <c r="S107" t="n">
        <v>3</v>
      </c>
      <c r="T107" t="n">
        <v>7</v>
      </c>
      <c r="U107" t="n">
        <v>5</v>
      </c>
      <c r="V107" s="2" t="inlineStr">
        <is>
          <t>Tretåig hackspett
Kambräken
Spillkråka</t>
        </is>
      </c>
      <c r="W107">
        <f>HYPERLINK("https://klasma.github.io/Logging_2321/artfynd/A 58082-2022 artfynd.xlsx", "A 58082-2022")</f>
        <v/>
      </c>
      <c r="X107">
        <f>HYPERLINK("https://klasma.github.io/Logging_2321/kartor/A 58082-2022 karta.png", "A 58082-2022")</f>
        <v/>
      </c>
      <c r="Y107">
        <f>HYPERLINK("https://klasma.github.io/Logging_2321/kartor_geotiff/A 58082-2022 georefererad karta.tif", "A 58082-2022")</f>
        <v/>
      </c>
      <c r="AA107">
        <f>HYPERLINK("https://klasma.github.io/Logging_2321/klagomål/A 58082-2022 FSC-klagomål.docx", "A 58082-2022")</f>
        <v/>
      </c>
      <c r="AB107">
        <f>HYPERLINK("https://klasma.github.io/Logging_2321/klagomålsmail/A 58082-2022 FSC-klagomål mail.docx", "A 58082-2022")</f>
        <v/>
      </c>
      <c r="AC107">
        <f>HYPERLINK("https://klasma.github.io/Logging_2321/tillsyn/A 58082-2022 tillsynsbegäran.docx", "A 58082-2022")</f>
        <v/>
      </c>
      <c r="AD107">
        <f>HYPERLINK("https://klasma.github.io/Logging_2321/tillsynsmail/A 58082-2022 tillsynsbegäran mail.docx", "A 58082-2022")</f>
        <v/>
      </c>
      <c r="AE107">
        <f>HYPERLINK("https://klasma.github.io/Logging_2321/fåglar/A 58082-2022 prioriterade fågelarter.docx", "A 58082-2022")</f>
        <v/>
      </c>
    </row>
    <row r="108" ht="15" customHeight="1">
      <c r="A108" t="inlineStr">
        <is>
          <t>A 47988-2025</t>
        </is>
      </c>
      <c r="B108" t="inlineStr">
        <is>
          <t>avverkningsanmälan</t>
        </is>
      </c>
      <c r="C108" t="inlineStr">
        <is>
          <t>Avverkning för att bevara och utveckla /försöksver</t>
        </is>
      </c>
      <c r="D108" s="1" t="n">
        <v>45931</v>
      </c>
      <c r="E108" s="1" t="n">
        <v>46259</v>
      </c>
      <c r="F108" t="inlineStr">
        <is>
          <t>JÄMTLANDS LÄN</t>
        </is>
      </c>
      <c r="G108" t="inlineStr">
        <is>
          <t>ÅRE</t>
        </is>
      </c>
      <c r="I108" t="n">
        <v>1</v>
      </c>
      <c r="J108" t="n">
        <v>0</v>
      </c>
      <c r="K108" t="n">
        <v>2</v>
      </c>
      <c r="L108" t="n">
        <v>1</v>
      </c>
      <c r="M108" t="n">
        <v>0</v>
      </c>
      <c r="N108" t="n">
        <v>0</v>
      </c>
      <c r="O108" t="n">
        <v>0</v>
      </c>
      <c r="P108" t="n">
        <v>0</v>
      </c>
      <c r="Q108" t="n">
        <v>1</v>
      </c>
      <c r="R108" t="n">
        <v>0</v>
      </c>
      <c r="S108" t="n">
        <v>3</v>
      </c>
      <c r="T108" t="n">
        <v>3</v>
      </c>
      <c r="U108" t="n">
        <v>3</v>
      </c>
      <c r="V108" s="2" t="inlineStr">
        <is>
          <t>Vitgrynig nållav
Diskvaxskivling
Västlig hakmossa</t>
        </is>
      </c>
      <c r="W108">
        <f>HYPERLINK("https://klasma.github.io/Logging_2321/artfynd/A 47988-2025 artfynd.xlsx", "A 47988-2025")</f>
        <v/>
      </c>
      <c r="X108">
        <f>HYPERLINK("https://klasma.github.io/Logging_2321/kartor/A 47988-2025 karta.png", "A 47988-2025")</f>
        <v/>
      </c>
      <c r="Y108">
        <f>HYPERLINK("https://klasma.github.io/Logging_2321/kartor_geotiff/A 47988-2025 georefererad karta.tif", "A 47988-2025")</f>
        <v/>
      </c>
      <c r="AA108">
        <f>HYPERLINK("https://klasma.github.io/Logging_2321/klagomål/A 47988-2025 FSC-klagomål.docx", "A 47988-2025")</f>
        <v/>
      </c>
      <c r="AB108">
        <f>HYPERLINK("https://klasma.github.io/Logging_2321/klagomålsmail/A 47988-2025 FSC-klagomål mail.docx", "A 47988-2025")</f>
        <v/>
      </c>
      <c r="AC108">
        <f>HYPERLINK("https://klasma.github.io/Logging_2321/tillsyn/A 47988-2025 tillsynsbegäran.docx", "A 47988-2025")</f>
        <v/>
      </c>
      <c r="AD108">
        <f>HYPERLINK("https://klasma.github.io/Logging_2321/tillsynsmail/A 47988-2025 tillsynsbegäran mail.docx", "A 47988-2025")</f>
        <v/>
      </c>
    </row>
    <row r="109" ht="15" customHeight="1">
      <c r="A109" t="inlineStr">
        <is>
          <t>A 62273-2025</t>
        </is>
      </c>
      <c r="B109" t="inlineStr">
        <is>
          <t>avverkningsanmälan</t>
        </is>
      </c>
      <c r="C109" t="inlineStr">
        <is>
          <t>Föryngringsavverkning</t>
        </is>
      </c>
      <c r="D109" s="1" t="n">
        <v>46006</v>
      </c>
      <c r="E109" s="1" t="n">
        <v>46259</v>
      </c>
      <c r="F109" t="inlineStr">
        <is>
          <t>JÄMTLANDS LÄN</t>
        </is>
      </c>
      <c r="G109" t="inlineStr">
        <is>
          <t>ÅRE</t>
        </is>
      </c>
      <c r="I109" t="n">
        <v>11</v>
      </c>
      <c r="J109" t="n">
        <v>1</v>
      </c>
      <c r="K109" t="n">
        <v>0</v>
      </c>
      <c r="L109" t="n">
        <v>2</v>
      </c>
      <c r="M109" t="n">
        <v>1</v>
      </c>
      <c r="N109" t="n">
        <v>0</v>
      </c>
      <c r="O109" t="n">
        <v>0</v>
      </c>
      <c r="P109" t="n">
        <v>0</v>
      </c>
      <c r="Q109" t="n">
        <v>3</v>
      </c>
      <c r="R109" t="n">
        <v>1</v>
      </c>
      <c r="S109" t="n">
        <v>3</v>
      </c>
      <c r="T109" t="n">
        <v>38</v>
      </c>
      <c r="U109" t="n">
        <v>38</v>
      </c>
      <c r="V109" s="2" t="inlineStr">
        <is>
          <t>Garnlav
Harticka
Tretåig hackspett</t>
        </is>
      </c>
      <c r="W109">
        <f>HYPERLINK("https://klasma.github.io/Logging_2321/artfynd/A 62273-2025 artfynd.xlsx", "A 62273-2025")</f>
        <v/>
      </c>
      <c r="X109">
        <f>HYPERLINK("https://klasma.github.io/Logging_2321/kartor/A 62273-2025 karta.png", "A 62273-2025")</f>
        <v/>
      </c>
      <c r="Y109">
        <f>HYPERLINK("https://klasma.github.io/Logging_2321/kartor_geotiff/A 62273-2025 georefererad karta.tif", "A 62273-2025")</f>
        <v/>
      </c>
      <c r="AA109">
        <f>HYPERLINK("https://klasma.github.io/Logging_2321/klagomål/A 62273-2025 FSC-klagomål.docx", "A 62273-2025")</f>
        <v/>
      </c>
      <c r="AB109">
        <f>HYPERLINK("https://klasma.github.io/Logging_2321/klagomålsmail/A 62273-2025 FSC-klagomål mail.docx", "A 62273-2025")</f>
        <v/>
      </c>
      <c r="AC109">
        <f>HYPERLINK("https://klasma.github.io/Logging_2321/tillsyn/A 62273-2025 tillsynsbegäran.docx", "A 62273-2025")</f>
        <v/>
      </c>
      <c r="AD109">
        <f>HYPERLINK("https://klasma.github.io/Logging_2321/tillsynsmail/A 62273-2025 tillsynsbegäran mail.docx", "A 62273-2025")</f>
        <v/>
      </c>
      <c r="AE109">
        <f>HYPERLINK("https://klasma.github.io/Logging_2321/fåglar/A 62273-2025 prioriterade fågelarter.docx", "A 62273-2025")</f>
        <v/>
      </c>
    </row>
    <row r="110" ht="15" customHeight="1">
      <c r="A110" t="inlineStr">
        <is>
          <t>A 62522-2025</t>
        </is>
      </c>
      <c r="B110" t="inlineStr">
        <is>
          <t>avverkningsanmälan</t>
        </is>
      </c>
      <c r="C110" t="inlineStr">
        <is>
          <t>Föryngringsavverkning</t>
        </is>
      </c>
      <c r="D110" s="1" t="n">
        <v>46007</v>
      </c>
      <c r="E110" s="1" t="n">
        <v>46259</v>
      </c>
      <c r="F110" t="inlineStr">
        <is>
          <t>JÄMTLANDS LÄN</t>
        </is>
      </c>
      <c r="G110" t="inlineStr">
        <is>
          <t>ÅRE</t>
        </is>
      </c>
      <c r="H110" t="inlineStr">
        <is>
          <t>Övriga Aktiebolag</t>
        </is>
      </c>
      <c r="I110" t="n">
        <v>2</v>
      </c>
      <c r="J110" t="n">
        <v>1</v>
      </c>
      <c r="K110" t="n">
        <v>1</v>
      </c>
      <c r="L110" t="n">
        <v>1</v>
      </c>
      <c r="M110" t="n">
        <v>1</v>
      </c>
      <c r="N110" t="n">
        <v>0</v>
      </c>
      <c r="O110" t="n">
        <v>0</v>
      </c>
      <c r="P110" t="n">
        <v>0</v>
      </c>
      <c r="Q110" t="n">
        <v>2</v>
      </c>
      <c r="R110" t="n">
        <v>1</v>
      </c>
      <c r="S110" t="n">
        <v>3</v>
      </c>
      <c r="T110" t="n">
        <v>3</v>
      </c>
      <c r="U110" t="n">
        <v>0</v>
      </c>
      <c r="V110" s="2" t="inlineStr">
        <is>
          <t>Garnlav
Tretåig hackspett
Blodticka</t>
        </is>
      </c>
      <c r="W110">
        <f>HYPERLINK("https://klasma.github.io/Logging_2321/artfynd/A 62522-2025 artfynd.xlsx", "A 62522-2025")</f>
        <v/>
      </c>
      <c r="X110">
        <f>HYPERLINK("https://klasma.github.io/Logging_2321/kartor/A 62522-2025 karta.png", "A 62522-2025")</f>
        <v/>
      </c>
      <c r="Y110">
        <f>HYPERLINK("https://klasma.github.io/Logging_2321/kartor_geotiff/A 62522-2025 georefererad karta.tif", "A 62522-2025")</f>
        <v/>
      </c>
      <c r="AA110">
        <f>HYPERLINK("https://klasma.github.io/Logging_2321/klagomål/A 62522-2025 FSC-klagomål.docx", "A 62522-2025")</f>
        <v/>
      </c>
      <c r="AB110">
        <f>HYPERLINK("https://klasma.github.io/Logging_2321/klagomålsmail/A 62522-2025 FSC-klagomål mail.docx", "A 62522-2025")</f>
        <v/>
      </c>
      <c r="AC110">
        <f>HYPERLINK("https://klasma.github.io/Logging_2321/tillsyn/A 62522-2025 tillsynsbegäran.docx", "A 62522-2025")</f>
        <v/>
      </c>
      <c r="AD110">
        <f>HYPERLINK("https://klasma.github.io/Logging_2321/tillsynsmail/A 62522-2025 tillsynsbegäran mail.docx", "A 62522-2025")</f>
        <v/>
      </c>
      <c r="AE110">
        <f>HYPERLINK("https://klasma.github.io/Logging_2321/fåglar/A 62522-2025 prioriterade fågelarter.docx", "A 62522-2025")</f>
        <v/>
      </c>
    </row>
    <row r="111" ht="15" customHeight="1">
      <c r="A111" t="inlineStr">
        <is>
          <t>A 57537-2024</t>
        </is>
      </c>
      <c r="B111" t="inlineStr">
        <is>
          <t>avverkningsanmälan</t>
        </is>
      </c>
      <c r="C111" t="inlineStr">
        <is>
          <t>Föryngringsavverkning</t>
        </is>
      </c>
      <c r="D111" s="1" t="n">
        <v>45630</v>
      </c>
      <c r="E111" s="1" t="n">
        <v>46259</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13625-2023</t>
        </is>
      </c>
      <c r="B112" t="inlineStr">
        <is>
          <t>avverkningsanmälan</t>
        </is>
      </c>
      <c r="C112" t="inlineStr">
        <is>
          <t>Föryngringsavverkning</t>
        </is>
      </c>
      <c r="D112" s="1" t="n">
        <v>45006</v>
      </c>
      <c r="E112" s="1" t="n">
        <v>46259</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54376-2025</t>
        </is>
      </c>
      <c r="B113" t="inlineStr">
        <is>
          <t>avverkningsanmälan</t>
        </is>
      </c>
      <c r="C113" t="inlineStr">
        <is>
          <t>Föryngringsavverkning</t>
        </is>
      </c>
      <c r="D113" s="1" t="n">
        <v>45965</v>
      </c>
      <c r="E113" s="1" t="n">
        <v>46259</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62621-2025</t>
        </is>
      </c>
      <c r="B114" t="inlineStr">
        <is>
          <t>avverkningsanmälan</t>
        </is>
      </c>
      <c r="C114" t="inlineStr">
        <is>
          <t>Föryngringsavverkning</t>
        </is>
      </c>
      <c r="D114" s="1" t="n">
        <v>46008</v>
      </c>
      <c r="E114" s="1" t="n">
        <v>46259</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S 39-2025</t>
        </is>
      </c>
      <c r="B115" t="inlineStr">
        <is>
          <t>samrådsanmälan</t>
        </is>
      </c>
      <c r="C115" t="inlineStr">
        <is>
          <t>Annan skogsbruksåtgärd</t>
        </is>
      </c>
      <c r="D115" s="1" t="n">
        <v>45666</v>
      </c>
      <c r="E115" s="1" t="n">
        <v>46259</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46259</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59237-2022</t>
        </is>
      </c>
      <c r="B117" t="inlineStr">
        <is>
          <t>avverkningsanmälan</t>
        </is>
      </c>
      <c r="C117" t="inlineStr">
        <is>
          <t>Föryngringsavverkning</t>
        </is>
      </c>
      <c r="D117" s="1" t="n">
        <v>44904</v>
      </c>
      <c r="E117" s="1" t="n">
        <v>46259</v>
      </c>
      <c r="F117" t="inlineStr">
        <is>
          <t>JÄMTLANDS LÄN</t>
        </is>
      </c>
      <c r="G117" t="inlineStr">
        <is>
          <t>ÅRE</t>
        </is>
      </c>
      <c r="I117" t="n">
        <v>33.7</v>
      </c>
      <c r="J117" t="n">
        <v>1</v>
      </c>
      <c r="K117" t="n">
        <v>0</v>
      </c>
      <c r="L117" t="n">
        <v>2</v>
      </c>
      <c r="M117" t="n">
        <v>0</v>
      </c>
      <c r="N117" t="n">
        <v>0</v>
      </c>
      <c r="O117" t="n">
        <v>0</v>
      </c>
      <c r="P117" t="n">
        <v>0</v>
      </c>
      <c r="Q117" t="n">
        <v>2</v>
      </c>
      <c r="R117" t="n">
        <v>0</v>
      </c>
      <c r="S117" t="n">
        <v>2</v>
      </c>
      <c r="T117" t="n">
        <v>17</v>
      </c>
      <c r="U117" t="n">
        <v>16</v>
      </c>
      <c r="V117" s="2" t="inlineStr">
        <is>
          <t>Tretåig hackspett
Vitgrynig nållav</t>
        </is>
      </c>
      <c r="W117">
        <f>HYPERLINK("https://klasma.github.io/Logging_2321/artfynd/A 59237-2022 artfynd.xlsx", "A 59237-2022")</f>
        <v/>
      </c>
      <c r="X117">
        <f>HYPERLINK("https://klasma.github.io/Logging_2321/kartor/A 59237-2022 karta.png", "A 59237-2022")</f>
        <v/>
      </c>
      <c r="Y117">
        <f>HYPERLINK("https://klasma.github.io/Logging_2321/kartor_geotiff/A 59237-2022 georefererad karta.tif", "A 59237-2022")</f>
        <v/>
      </c>
      <c r="AA117">
        <f>HYPERLINK("https://klasma.github.io/Logging_2321/klagomål/A 59237-2022 FSC-klagomål.docx", "A 59237-2022")</f>
        <v/>
      </c>
      <c r="AB117">
        <f>HYPERLINK("https://klasma.github.io/Logging_2321/klagomålsmail/A 59237-2022 FSC-klagomål mail.docx", "A 59237-2022")</f>
        <v/>
      </c>
      <c r="AC117">
        <f>HYPERLINK("https://klasma.github.io/Logging_2321/tillsyn/A 59237-2022 tillsynsbegäran.docx", "A 59237-2022")</f>
        <v/>
      </c>
      <c r="AD117">
        <f>HYPERLINK("https://klasma.github.io/Logging_2321/tillsynsmail/A 59237-2022 tillsynsbegäran mail.docx", "A 59237-2022")</f>
        <v/>
      </c>
      <c r="AE117">
        <f>HYPERLINK("https://klasma.github.io/Logging_2321/fåglar/A 59237-2022 prioriterade fågelarter.docx", "A 59237-2022")</f>
        <v/>
      </c>
    </row>
    <row r="118" ht="15" customHeight="1">
      <c r="A118" t="inlineStr">
        <is>
          <t>A 32114-2025</t>
        </is>
      </c>
      <c r="B118" t="inlineStr">
        <is>
          <t>avverkningsanmälan</t>
        </is>
      </c>
      <c r="C118" t="inlineStr">
        <is>
          <t>Föryngringsavverkning</t>
        </is>
      </c>
      <c r="D118" s="1" t="n">
        <v>45835</v>
      </c>
      <c r="E118" s="1" t="n">
        <v>46259</v>
      </c>
      <c r="F118" t="inlineStr">
        <is>
          <t>JÄMTLANDS LÄN</t>
        </is>
      </c>
      <c r="G118" t="inlineStr">
        <is>
          <t>ÅRE</t>
        </is>
      </c>
      <c r="I118" t="n">
        <v>1.6</v>
      </c>
      <c r="J118" t="n">
        <v>0</v>
      </c>
      <c r="K118" t="n">
        <v>0</v>
      </c>
      <c r="L118" t="n">
        <v>2</v>
      </c>
      <c r="M118" t="n">
        <v>0</v>
      </c>
      <c r="N118" t="n">
        <v>0</v>
      </c>
      <c r="O118" t="n">
        <v>0</v>
      </c>
      <c r="P118" t="n">
        <v>0</v>
      </c>
      <c r="Q118" t="n">
        <v>2</v>
      </c>
      <c r="R118" t="n">
        <v>0</v>
      </c>
      <c r="S118" t="n">
        <v>2</v>
      </c>
      <c r="T118" t="n">
        <v>2</v>
      </c>
      <c r="U118" t="n">
        <v>2</v>
      </c>
      <c r="V118" s="2" t="inlineStr">
        <is>
          <t>Kolflarnlav
Rosenticka</t>
        </is>
      </c>
      <c r="W118">
        <f>HYPERLINK("https://klasma.github.io/Logging_2321/artfynd/A 32114-2025 artfynd.xlsx", "A 32114-2025")</f>
        <v/>
      </c>
      <c r="X118">
        <f>HYPERLINK("https://klasma.github.io/Logging_2321/kartor/A 32114-2025 karta.png", "A 32114-2025")</f>
        <v/>
      </c>
      <c r="Y118">
        <f>HYPERLINK("https://klasma.github.io/Logging_2321/kartor_geotiff/A 32114-2025 georefererad karta.tif", "A 32114-2025")</f>
        <v/>
      </c>
      <c r="AA118">
        <f>HYPERLINK("https://klasma.github.io/Logging_2321/klagomål/A 32114-2025 FSC-klagomål.docx", "A 32114-2025")</f>
        <v/>
      </c>
      <c r="AB118">
        <f>HYPERLINK("https://klasma.github.io/Logging_2321/klagomålsmail/A 32114-2025 FSC-klagomål mail.docx", "A 32114-2025")</f>
        <v/>
      </c>
      <c r="AC118">
        <f>HYPERLINK("https://klasma.github.io/Logging_2321/tillsyn/A 32114-2025 tillsynsbegäran.docx", "A 32114-2025")</f>
        <v/>
      </c>
      <c r="AD118">
        <f>HYPERLINK("https://klasma.github.io/Logging_2321/tillsynsmail/A 32114-2025 tillsynsbegäran mail.docx", "A 32114-2025")</f>
        <v/>
      </c>
    </row>
    <row r="119" ht="15" customHeight="1">
      <c r="A119" t="inlineStr">
        <is>
          <t>A 58232-2021</t>
        </is>
      </c>
      <c r="B119" t="inlineStr">
        <is>
          <t>avverkningsanmälan</t>
        </is>
      </c>
      <c r="C119" t="inlineStr">
        <is>
          <t>Föryngringsavverkning</t>
        </is>
      </c>
      <c r="D119" s="1" t="n">
        <v>44487</v>
      </c>
      <c r="E119" s="1" t="n">
        <v>46259</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60533-2022</t>
        </is>
      </c>
      <c r="B120" t="inlineStr">
        <is>
          <t>avverkningsanmälan</t>
        </is>
      </c>
      <c r="C120" t="inlineStr">
        <is>
          <t>Föryngringsavverkning</t>
        </is>
      </c>
      <c r="D120" s="1" t="n">
        <v>44904</v>
      </c>
      <c r="E120" s="1" t="n">
        <v>46259</v>
      </c>
      <c r="F120" t="inlineStr">
        <is>
          <t>JÄMTLANDS LÄN</t>
        </is>
      </c>
      <c r="G120" t="inlineStr">
        <is>
          <t>ÅRE</t>
        </is>
      </c>
      <c r="I120" t="n">
        <v>3.6</v>
      </c>
      <c r="J120" t="n">
        <v>2</v>
      </c>
      <c r="K120" t="n">
        <v>0</v>
      </c>
      <c r="L120" t="n">
        <v>2</v>
      </c>
      <c r="M120" t="n">
        <v>0</v>
      </c>
      <c r="N120" t="n">
        <v>0</v>
      </c>
      <c r="O120" t="n">
        <v>0</v>
      </c>
      <c r="P120" t="n">
        <v>0</v>
      </c>
      <c r="Q120" t="n">
        <v>2</v>
      </c>
      <c r="R120" t="n">
        <v>0</v>
      </c>
      <c r="S120" t="n">
        <v>2</v>
      </c>
      <c r="T120" t="n">
        <v>2</v>
      </c>
      <c r="U120" t="n">
        <v>2</v>
      </c>
      <c r="V120" s="2" t="inlineStr">
        <is>
          <t>Talltita
Tretåig hackspett</t>
        </is>
      </c>
      <c r="W120">
        <f>HYPERLINK("https://klasma.github.io/Logging_2321/artfynd/A 60533-2022 artfynd.xlsx", "A 60533-2022")</f>
        <v/>
      </c>
      <c r="X120">
        <f>HYPERLINK("https://klasma.github.io/Logging_2321/kartor/A 60533-2022 karta.png", "A 60533-2022")</f>
        <v/>
      </c>
      <c r="Y120">
        <f>HYPERLINK("https://klasma.github.io/Logging_2321/kartor_geotiff/A 60533-2022 georefererad karta.tif", "A 60533-2022")</f>
        <v/>
      </c>
      <c r="AA120">
        <f>HYPERLINK("https://klasma.github.io/Logging_2321/klagomål/A 60533-2022 FSC-klagomål.docx", "A 60533-2022")</f>
        <v/>
      </c>
      <c r="AB120">
        <f>HYPERLINK("https://klasma.github.io/Logging_2321/klagomålsmail/A 60533-2022 FSC-klagomål mail.docx", "A 60533-2022")</f>
        <v/>
      </c>
      <c r="AC120">
        <f>HYPERLINK("https://klasma.github.io/Logging_2321/tillsyn/A 60533-2022 tillsynsbegäran.docx", "A 60533-2022")</f>
        <v/>
      </c>
      <c r="AD120">
        <f>HYPERLINK("https://klasma.github.io/Logging_2321/tillsynsmail/A 60533-2022 tillsynsbegäran mail.docx", "A 60533-2022")</f>
        <v/>
      </c>
      <c r="AE120">
        <f>HYPERLINK("https://klasma.github.io/Logging_2321/fåglar/A 60533-2022 prioriterade fågelarter.docx", "A 60533-2022")</f>
        <v/>
      </c>
    </row>
    <row r="121" ht="15" customHeight="1">
      <c r="A121" t="inlineStr">
        <is>
          <t>A 55194-2022</t>
        </is>
      </c>
      <c r="B121" t="inlineStr">
        <is>
          <t>avverkningsanmälan</t>
        </is>
      </c>
      <c r="C121" t="inlineStr">
        <is>
          <t>Avverkning för annat ändamål</t>
        </is>
      </c>
      <c r="D121" s="1" t="n">
        <v>44886</v>
      </c>
      <c r="E121" s="1" t="n">
        <v>46259</v>
      </c>
      <c r="F121" t="inlineStr">
        <is>
          <t>JÄMTLANDS LÄN</t>
        </is>
      </c>
      <c r="G121" t="inlineStr">
        <is>
          <t>ÅRE</t>
        </is>
      </c>
      <c r="H121" t="inlineStr">
        <is>
          <t>Övriga Aktiebolag</t>
        </is>
      </c>
      <c r="I121" t="n">
        <v>1.7</v>
      </c>
      <c r="J121" t="n">
        <v>0</v>
      </c>
      <c r="K121" t="n">
        <v>0</v>
      </c>
      <c r="L121" t="n">
        <v>1</v>
      </c>
      <c r="M121" t="n">
        <v>1</v>
      </c>
      <c r="N121" t="n">
        <v>0</v>
      </c>
      <c r="O121" t="n">
        <v>0</v>
      </c>
      <c r="P121" t="n">
        <v>0</v>
      </c>
      <c r="Q121" t="n">
        <v>2</v>
      </c>
      <c r="R121" t="n">
        <v>1</v>
      </c>
      <c r="S121" t="n">
        <v>2</v>
      </c>
      <c r="T121" t="n">
        <v>2</v>
      </c>
      <c r="U121" t="n">
        <v>2</v>
      </c>
      <c r="V121" s="2" t="inlineStr">
        <is>
          <t>Vitskaftad svartspik
Skrovellav</t>
        </is>
      </c>
      <c r="W121">
        <f>HYPERLINK("https://klasma.github.io/Logging_2321/artfynd/A 55194-2022 artfynd.xlsx", "A 55194-2022")</f>
        <v/>
      </c>
      <c r="X121">
        <f>HYPERLINK("https://klasma.github.io/Logging_2321/kartor/A 55194-2022 karta.png", "A 55194-2022")</f>
        <v/>
      </c>
      <c r="Y121">
        <f>HYPERLINK("https://klasma.github.io/Logging_2321/kartor_geotiff/A 55194-2022 georefererad karta.tif", "A 55194-2022")</f>
        <v/>
      </c>
      <c r="AA121">
        <f>HYPERLINK("https://klasma.github.io/Logging_2321/klagomål/A 55194-2022 FSC-klagomål.docx", "A 55194-2022")</f>
        <v/>
      </c>
      <c r="AB121">
        <f>HYPERLINK("https://klasma.github.io/Logging_2321/klagomålsmail/A 55194-2022 FSC-klagomål mail.docx", "A 55194-2022")</f>
        <v/>
      </c>
      <c r="AC121">
        <f>HYPERLINK("https://klasma.github.io/Logging_2321/tillsyn/A 55194-2022 tillsynsbegäran.docx", "A 55194-2022")</f>
        <v/>
      </c>
      <c r="AD121">
        <f>HYPERLINK("https://klasma.github.io/Logging_2321/tillsynsmail/A 55194-2022 tillsynsbegäran mail.docx", "A 55194-2022")</f>
        <v/>
      </c>
    </row>
    <row r="122" ht="15" customHeight="1">
      <c r="A122" t="inlineStr">
        <is>
          <t>A 23729-2023</t>
        </is>
      </c>
      <c r="B122" t="inlineStr">
        <is>
          <t>avverkningsanmälan</t>
        </is>
      </c>
      <c r="C122" t="inlineStr">
        <is>
          <t>Föryngringsavverkning</t>
        </is>
      </c>
      <c r="D122" s="1" t="n">
        <v>45072</v>
      </c>
      <c r="E122" s="1" t="n">
        <v>46259</v>
      </c>
      <c r="F122" t="inlineStr">
        <is>
          <t>JÄMTLANDS LÄN</t>
        </is>
      </c>
      <c r="G122" t="inlineStr">
        <is>
          <t>ÅRE</t>
        </is>
      </c>
      <c r="I122" t="n">
        <v>4.3</v>
      </c>
      <c r="J122" t="n">
        <v>1</v>
      </c>
      <c r="K122" t="n">
        <v>0</v>
      </c>
      <c r="L122" t="n">
        <v>2</v>
      </c>
      <c r="M122" t="n">
        <v>0</v>
      </c>
      <c r="N122" t="n">
        <v>0</v>
      </c>
      <c r="O122" t="n">
        <v>0</v>
      </c>
      <c r="P122" t="n">
        <v>0</v>
      </c>
      <c r="Q122" t="n">
        <v>2</v>
      </c>
      <c r="R122" t="n">
        <v>0</v>
      </c>
      <c r="S122" t="n">
        <v>2</v>
      </c>
      <c r="T122" t="n">
        <v>4</v>
      </c>
      <c r="U122" t="n">
        <v>4</v>
      </c>
      <c r="V122" s="2" t="inlineStr">
        <is>
          <t>Lunglav
Tretåig hackspett</t>
        </is>
      </c>
      <c r="W122">
        <f>HYPERLINK("https://klasma.github.io/Logging_2321/artfynd/A 23729-2023 artfynd.xlsx", "A 23729-2023")</f>
        <v/>
      </c>
      <c r="X122">
        <f>HYPERLINK("https://klasma.github.io/Logging_2321/kartor/A 23729-2023 karta.png", "A 23729-2023")</f>
        <v/>
      </c>
      <c r="Y122">
        <f>HYPERLINK("https://klasma.github.io/Logging_2321/kartor_geotiff/A 23729-2023 georefererad karta.tif", "A 23729-2023")</f>
        <v/>
      </c>
      <c r="AA122">
        <f>HYPERLINK("https://klasma.github.io/Logging_2321/klagomål/A 23729-2023 FSC-klagomål.docx", "A 23729-2023")</f>
        <v/>
      </c>
      <c r="AB122">
        <f>HYPERLINK("https://klasma.github.io/Logging_2321/klagomålsmail/A 23729-2023 FSC-klagomål mail.docx", "A 23729-2023")</f>
        <v/>
      </c>
      <c r="AC122">
        <f>HYPERLINK("https://klasma.github.io/Logging_2321/tillsyn/A 23729-2023 tillsynsbegäran.docx", "A 23729-2023")</f>
        <v/>
      </c>
      <c r="AD122">
        <f>HYPERLINK("https://klasma.github.io/Logging_2321/tillsynsmail/A 23729-2023 tillsynsbegäran mail.docx", "A 23729-2023")</f>
        <v/>
      </c>
      <c r="AE122">
        <f>HYPERLINK("https://klasma.github.io/Logging_2321/fåglar/A 23729-2023 prioriterade fågelarter.docx", "A 23729-2023")</f>
        <v/>
      </c>
    </row>
    <row r="123" ht="15" customHeight="1">
      <c r="A123" t="inlineStr">
        <is>
          <t>A 58226-2021</t>
        </is>
      </c>
      <c r="B123" t="inlineStr">
        <is>
          <t>avverkningsanmälan</t>
        </is>
      </c>
      <c r="C123" t="inlineStr">
        <is>
          <t>Föryngringsavverkning</t>
        </is>
      </c>
      <c r="D123" s="1" t="n">
        <v>44487</v>
      </c>
      <c r="E123" s="1" t="n">
        <v>46259</v>
      </c>
      <c r="F123" t="inlineStr">
        <is>
          <t>JÄMTLANDS LÄN</t>
        </is>
      </c>
      <c r="G123" t="inlineStr">
        <is>
          <t>ÅRE</t>
        </is>
      </c>
      <c r="I123" t="n">
        <v>62.3</v>
      </c>
      <c r="J123" t="n">
        <v>1</v>
      </c>
      <c r="K123" t="n">
        <v>1</v>
      </c>
      <c r="L123" t="n">
        <v>1</v>
      </c>
      <c r="M123" t="n">
        <v>0</v>
      </c>
      <c r="N123" t="n">
        <v>0</v>
      </c>
      <c r="O123" t="n">
        <v>0</v>
      </c>
      <c r="P123" t="n">
        <v>0</v>
      </c>
      <c r="Q123" t="n">
        <v>1</v>
      </c>
      <c r="R123" t="n">
        <v>0</v>
      </c>
      <c r="S123" t="n">
        <v>2</v>
      </c>
      <c r="T123" t="n">
        <v>2</v>
      </c>
      <c r="U123" t="n">
        <v>2</v>
      </c>
      <c r="V123" s="2" t="inlineStr">
        <is>
          <t>Tretåig hackspett
Kambräken</t>
        </is>
      </c>
      <c r="W123">
        <f>HYPERLINK("https://klasma.github.io/Logging_2321/artfynd/A 58226-2021 artfynd.xlsx", "A 58226-2021")</f>
        <v/>
      </c>
      <c r="X123">
        <f>HYPERLINK("https://klasma.github.io/Logging_2321/kartor/A 58226-2021 karta.png", "A 58226-2021")</f>
        <v/>
      </c>
      <c r="Y123">
        <f>HYPERLINK("https://klasma.github.io/Logging_2321/kartor_geotiff/A 58226-2021 georefererad karta.tif", "A 58226-2021")</f>
        <v/>
      </c>
      <c r="AA123">
        <f>HYPERLINK("https://klasma.github.io/Logging_2321/klagomål/A 58226-2021 FSC-klagomål.docx", "A 58226-2021")</f>
        <v/>
      </c>
      <c r="AB123">
        <f>HYPERLINK("https://klasma.github.io/Logging_2321/klagomålsmail/A 58226-2021 FSC-klagomål mail.docx", "A 58226-2021")</f>
        <v/>
      </c>
      <c r="AC123">
        <f>HYPERLINK("https://klasma.github.io/Logging_2321/tillsyn/A 58226-2021 tillsynsbegäran.docx", "A 58226-2021")</f>
        <v/>
      </c>
      <c r="AD123">
        <f>HYPERLINK("https://klasma.github.io/Logging_2321/tillsynsmail/A 58226-2021 tillsynsbegäran mail.docx", "A 58226-2021")</f>
        <v/>
      </c>
      <c r="AE123">
        <f>HYPERLINK("https://klasma.github.io/Logging_2321/fåglar/A 58226-2021 prioriterade fågelarter.docx", "A 58226-2021")</f>
        <v/>
      </c>
    </row>
    <row r="124" ht="15" customHeight="1">
      <c r="A124" t="inlineStr">
        <is>
          <t>A 33625-2022</t>
        </is>
      </c>
      <c r="B124" t="inlineStr">
        <is>
          <t>avverkningsanmälan</t>
        </is>
      </c>
      <c r="C124" t="inlineStr">
        <is>
          <t>Föryngringsavverkning</t>
        </is>
      </c>
      <c r="D124" s="1" t="n">
        <v>44789</v>
      </c>
      <c r="E124" s="1" t="n">
        <v>46259</v>
      </c>
      <c r="F124" t="inlineStr">
        <is>
          <t>JÄMTLANDS LÄN</t>
        </is>
      </c>
      <c r="G124" t="inlineStr">
        <is>
          <t>ÅRE</t>
        </is>
      </c>
      <c r="I124" t="n">
        <v>20.7</v>
      </c>
      <c r="J124" t="n">
        <v>2</v>
      </c>
      <c r="K124" t="n">
        <v>1</v>
      </c>
      <c r="L124" t="n">
        <v>0</v>
      </c>
      <c r="M124" t="n">
        <v>0</v>
      </c>
      <c r="N124" t="n">
        <v>0</v>
      </c>
      <c r="O124" t="n">
        <v>0</v>
      </c>
      <c r="P124" t="n">
        <v>0</v>
      </c>
      <c r="Q124" t="n">
        <v>0</v>
      </c>
      <c r="R124" t="n">
        <v>0</v>
      </c>
      <c r="S124" t="n">
        <v>2</v>
      </c>
      <c r="T124" t="n">
        <v>2</v>
      </c>
      <c r="U124" t="n">
        <v>0</v>
      </c>
      <c r="V124" s="2" t="inlineStr">
        <is>
          <t>Tvåblad
Brudsporre</t>
        </is>
      </c>
      <c r="W124">
        <f>HYPERLINK("https://klasma.github.io/Logging_2321/artfynd/A 33625-2022 artfynd.xlsx", "A 33625-2022")</f>
        <v/>
      </c>
      <c r="X124">
        <f>HYPERLINK("https://klasma.github.io/Logging_2321/kartor/A 33625-2022 karta.png", "A 33625-2022")</f>
        <v/>
      </c>
      <c r="Y124">
        <f>HYPERLINK("https://klasma.github.io/Logging_2321/kartor_geotiff/A 33625-2022 georefererad karta.tif", "A 33625-2022")</f>
        <v/>
      </c>
      <c r="AA124">
        <f>HYPERLINK("https://klasma.github.io/Logging_2321/klagomål/A 33625-2022 FSC-klagomål.docx", "A 33625-2022")</f>
        <v/>
      </c>
      <c r="AB124">
        <f>HYPERLINK("https://klasma.github.io/Logging_2321/klagomålsmail/A 33625-2022 FSC-klagomål mail.docx", "A 33625-2022")</f>
        <v/>
      </c>
      <c r="AC124">
        <f>HYPERLINK("https://klasma.github.io/Logging_2321/tillsyn/A 33625-2022 tillsynsbegäran.docx", "A 33625-2022")</f>
        <v/>
      </c>
      <c r="AD124">
        <f>HYPERLINK("https://klasma.github.io/Logging_2321/tillsynsmail/A 33625-2022 tillsynsbegäran mail.docx", "A 33625-2022")</f>
        <v/>
      </c>
    </row>
    <row r="125" ht="15" customHeight="1">
      <c r="A125" t="inlineStr">
        <is>
          <t>A 54055-2023</t>
        </is>
      </c>
      <c r="B125" t="inlineStr">
        <is>
          <t>avverkningsanmälan</t>
        </is>
      </c>
      <c r="C125" t="inlineStr">
        <is>
          <t>Föryngringsavverkning</t>
        </is>
      </c>
      <c r="D125" s="1" t="n">
        <v>45231</v>
      </c>
      <c r="E125" s="1" t="n">
        <v>46259</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t="n">
        <v>15</v>
      </c>
      <c r="V125" s="2" t="inlineStr">
        <is>
          <t>Tretåig hackspett
Ullticka</t>
        </is>
      </c>
      <c r="W125">
        <f>HYPERLINK("https://klasma.github.io/Logging_2321/artfynd/A 54055-2023 artfynd.xlsx", "A 54055-2023")</f>
        <v/>
      </c>
      <c r="X125">
        <f>HYPERLINK("https://klasma.github.io/Logging_2321/kartor/A 54055-2023 karta.png", "A 54055-2023")</f>
        <v/>
      </c>
      <c r="Y125">
        <f>HYPERLINK("https://klasma.github.io/Logging_2321/kartor_geotiff/A 54055-2023 georefererad karta.tif", "A 54055-2023")</f>
        <v/>
      </c>
      <c r="AA125">
        <f>HYPERLINK("https://klasma.github.io/Logging_2321/klagomål/A 54055-2023 FSC-klagomål.docx", "A 54055-2023")</f>
        <v/>
      </c>
      <c r="AB125">
        <f>HYPERLINK("https://klasma.github.io/Logging_2321/klagomålsmail/A 54055-2023 FSC-klagomål mail.docx", "A 54055-2023")</f>
        <v/>
      </c>
      <c r="AC125">
        <f>HYPERLINK("https://klasma.github.io/Logging_2321/tillsyn/A 54055-2023 tillsynsbegäran.docx", "A 54055-2023")</f>
        <v/>
      </c>
      <c r="AD125">
        <f>HYPERLINK("https://klasma.github.io/Logging_2321/tillsynsmail/A 54055-2023 tillsynsbegäran mail.docx", "A 54055-2023")</f>
        <v/>
      </c>
      <c r="AE125">
        <f>HYPERLINK("https://klasma.github.io/Logging_2321/fåglar/A 54055-2023 prioriterade fågelarter.docx", "A 54055-2023")</f>
        <v/>
      </c>
    </row>
    <row r="126" ht="15" customHeight="1">
      <c r="A126" t="inlineStr">
        <is>
          <t>A 32207-2022</t>
        </is>
      </c>
      <c r="B126" t="inlineStr">
        <is>
          <t>avverkningsanmälan</t>
        </is>
      </c>
      <c r="C126" t="inlineStr">
        <is>
          <t>Föryngringsavverkning</t>
        </is>
      </c>
      <c r="D126" s="1" t="n">
        <v>44781</v>
      </c>
      <c r="E126" s="1" t="n">
        <v>46259</v>
      </c>
      <c r="F126" t="inlineStr">
        <is>
          <t>JÄMTLANDS LÄN</t>
        </is>
      </c>
      <c r="G126" t="inlineStr">
        <is>
          <t>ÅRE</t>
        </is>
      </c>
      <c r="I126" t="n">
        <v>5.5</v>
      </c>
      <c r="J126" t="n">
        <v>1</v>
      </c>
      <c r="K126" t="n">
        <v>2</v>
      </c>
      <c r="L126" t="n">
        <v>0</v>
      </c>
      <c r="M126" t="n">
        <v>0</v>
      </c>
      <c r="N126" t="n">
        <v>0</v>
      </c>
      <c r="O126" t="n">
        <v>0</v>
      </c>
      <c r="P126" t="n">
        <v>0</v>
      </c>
      <c r="Q126" t="n">
        <v>0</v>
      </c>
      <c r="R126" t="n">
        <v>0</v>
      </c>
      <c r="S126" t="n">
        <v>2</v>
      </c>
      <c r="T126" t="n">
        <v>4</v>
      </c>
      <c r="U126" t="n">
        <v>0</v>
      </c>
      <c r="V126" s="2" t="inlineStr">
        <is>
          <t>Korallrot
Ögonpyrola</t>
        </is>
      </c>
      <c r="W126">
        <f>HYPERLINK("https://klasma.github.io/Logging_2321/artfynd/A 32207-2022 artfynd.xlsx", "A 32207-2022")</f>
        <v/>
      </c>
      <c r="X126">
        <f>HYPERLINK("https://klasma.github.io/Logging_2321/kartor/A 32207-2022 karta.png", "A 32207-2022")</f>
        <v/>
      </c>
      <c r="Y126">
        <f>HYPERLINK("https://klasma.github.io/Logging_2321/kartor_geotiff/A 32207-2022 georefererad karta.tif", "A 32207-2022")</f>
        <v/>
      </c>
      <c r="AA126">
        <f>HYPERLINK("https://klasma.github.io/Logging_2321/klagomål/A 32207-2022 FSC-klagomål.docx", "A 32207-2022")</f>
        <v/>
      </c>
      <c r="AB126">
        <f>HYPERLINK("https://klasma.github.io/Logging_2321/klagomålsmail/A 32207-2022 FSC-klagomål mail.docx", "A 32207-2022")</f>
        <v/>
      </c>
      <c r="AC126">
        <f>HYPERLINK("https://klasma.github.io/Logging_2321/tillsyn/A 32207-2022 tillsynsbegäran.docx", "A 32207-2022")</f>
        <v/>
      </c>
      <c r="AD126">
        <f>HYPERLINK("https://klasma.github.io/Logging_2321/tillsynsmail/A 32207-2022 tillsynsbegäran mail.docx", "A 32207-2022")</f>
        <v/>
      </c>
    </row>
    <row r="127" ht="15" customHeight="1">
      <c r="A127" t="inlineStr">
        <is>
          <t>A 17692-2022</t>
        </is>
      </c>
      <c r="B127" t="inlineStr">
        <is>
          <t>avverkningsanmälan</t>
        </is>
      </c>
      <c r="C127" t="inlineStr">
        <is>
          <t>Avverkning för annat ändamål</t>
        </is>
      </c>
      <c r="D127" s="1" t="n">
        <v>44680</v>
      </c>
      <c r="E127" s="1" t="n">
        <v>46259</v>
      </c>
      <c r="F127" t="inlineStr">
        <is>
          <t>JÄMTLANDS LÄN</t>
        </is>
      </c>
      <c r="G127" t="inlineStr">
        <is>
          <t>ÅRE</t>
        </is>
      </c>
      <c r="I127" t="n">
        <v>3.1</v>
      </c>
      <c r="J127" t="n">
        <v>1</v>
      </c>
      <c r="K127" t="n">
        <v>0</v>
      </c>
      <c r="L127" t="n">
        <v>2</v>
      </c>
      <c r="M127" t="n">
        <v>0</v>
      </c>
      <c r="N127" t="n">
        <v>0</v>
      </c>
      <c r="O127" t="n">
        <v>0</v>
      </c>
      <c r="P127" t="n">
        <v>0</v>
      </c>
      <c r="Q127" t="n">
        <v>2</v>
      </c>
      <c r="R127" t="n">
        <v>0</v>
      </c>
      <c r="S127" t="n">
        <v>2</v>
      </c>
      <c r="T127" t="n">
        <v>3</v>
      </c>
      <c r="U127" t="n">
        <v>3</v>
      </c>
      <c r="V127" s="2" t="inlineStr">
        <is>
          <t>Skrovellav
Tretåig hackspett</t>
        </is>
      </c>
      <c r="W127">
        <f>HYPERLINK("https://klasma.github.io/Logging_2321/artfynd/A 17692-2022 artfynd.xlsx", "A 17692-2022")</f>
        <v/>
      </c>
      <c r="X127">
        <f>HYPERLINK("https://klasma.github.io/Logging_2321/kartor/A 17692-2022 karta.png", "A 17692-2022")</f>
        <v/>
      </c>
      <c r="Y127">
        <f>HYPERLINK("https://klasma.github.io/Logging_2321/kartor_geotiff/A 17692-2022 georefererad karta.tif", "A 17692-2022")</f>
        <v/>
      </c>
      <c r="AA127">
        <f>HYPERLINK("https://klasma.github.io/Logging_2321/klagomål/A 17692-2022 FSC-klagomål.docx", "A 17692-2022")</f>
        <v/>
      </c>
      <c r="AB127">
        <f>HYPERLINK("https://klasma.github.io/Logging_2321/klagomålsmail/A 17692-2022 FSC-klagomål mail.docx", "A 17692-2022")</f>
        <v/>
      </c>
      <c r="AC127">
        <f>HYPERLINK("https://klasma.github.io/Logging_2321/tillsyn/A 17692-2022 tillsynsbegäran.docx", "A 17692-2022")</f>
        <v/>
      </c>
      <c r="AD127">
        <f>HYPERLINK("https://klasma.github.io/Logging_2321/tillsynsmail/A 17692-2022 tillsynsbegäran mail.docx", "A 17692-2022")</f>
        <v/>
      </c>
      <c r="AE127">
        <f>HYPERLINK("https://klasma.github.io/Logging_2321/fåglar/A 17692-2022 prioriterade fågelarter.docx", "A 17692-2022")</f>
        <v/>
      </c>
    </row>
    <row r="128" ht="15" customHeight="1">
      <c r="A128" t="inlineStr">
        <is>
          <t>A 18851-2022</t>
        </is>
      </c>
      <c r="B128" t="inlineStr">
        <is>
          <t>avverkningsanmälan</t>
        </is>
      </c>
      <c r="C128" t="inlineStr">
        <is>
          <t>Föryngringsavverkning</t>
        </is>
      </c>
      <c r="D128" s="1" t="n">
        <v>44690</v>
      </c>
      <c r="E128" s="1" t="n">
        <v>46259</v>
      </c>
      <c r="F128" t="inlineStr">
        <is>
          <t>JÄMTLANDS LÄN</t>
        </is>
      </c>
      <c r="G128" t="inlineStr">
        <is>
          <t>ÅRE</t>
        </is>
      </c>
      <c r="I128" t="n">
        <v>10.4</v>
      </c>
      <c r="J128" t="n">
        <v>1</v>
      </c>
      <c r="K128" t="n">
        <v>0</v>
      </c>
      <c r="L128" t="n">
        <v>0</v>
      </c>
      <c r="M128" t="n">
        <v>1</v>
      </c>
      <c r="N128" t="n">
        <v>0</v>
      </c>
      <c r="O128" t="n">
        <v>0</v>
      </c>
      <c r="P128" t="n">
        <v>0</v>
      </c>
      <c r="Q128" t="n">
        <v>1</v>
      </c>
      <c r="R128" t="n">
        <v>1</v>
      </c>
      <c r="S128" t="n">
        <v>2</v>
      </c>
      <c r="T128" t="n">
        <v>2</v>
      </c>
      <c r="U128" t="n">
        <v>1</v>
      </c>
      <c r="V128" s="2" t="inlineStr">
        <is>
          <t>Garnlav
Orre</t>
        </is>
      </c>
      <c r="W128">
        <f>HYPERLINK("https://klasma.github.io/Logging_2321/artfynd/A 18851-2022 artfynd.xlsx", "A 18851-2022")</f>
        <v/>
      </c>
      <c r="X128">
        <f>HYPERLINK("https://klasma.github.io/Logging_2321/kartor/A 18851-2022 karta.png", "A 18851-2022")</f>
        <v/>
      </c>
      <c r="Y128">
        <f>HYPERLINK("https://klasma.github.io/Logging_2321/kartor_geotiff/A 18851-2022 georefererad karta.tif", "A 18851-2022")</f>
        <v/>
      </c>
      <c r="AA128">
        <f>HYPERLINK("https://klasma.github.io/Logging_2321/klagomål/A 18851-2022 FSC-klagomål.docx", "A 18851-2022")</f>
        <v/>
      </c>
      <c r="AB128">
        <f>HYPERLINK("https://klasma.github.io/Logging_2321/klagomålsmail/A 18851-2022 FSC-klagomål mail.docx", "A 18851-2022")</f>
        <v/>
      </c>
      <c r="AC128">
        <f>HYPERLINK("https://klasma.github.io/Logging_2321/tillsyn/A 18851-2022 tillsynsbegäran.docx", "A 18851-2022")</f>
        <v/>
      </c>
      <c r="AD128">
        <f>HYPERLINK("https://klasma.github.io/Logging_2321/tillsynsmail/A 18851-2022 tillsynsbegäran mail.docx", "A 18851-2022")</f>
        <v/>
      </c>
      <c r="AE128">
        <f>HYPERLINK("https://klasma.github.io/Logging_2321/fåglar/A 18851-2022 prioriterade fågelarter.docx", "A 18851-2022")</f>
        <v/>
      </c>
    </row>
    <row r="129" ht="15" customHeight="1">
      <c r="A129" t="inlineStr">
        <is>
          <t>A 10501-2024</t>
        </is>
      </c>
      <c r="B129" t="inlineStr">
        <is>
          <t>avverkningsanmälan</t>
        </is>
      </c>
      <c r="C129" t="inlineStr">
        <is>
          <t>Föryngringsavverkning</t>
        </is>
      </c>
      <c r="D129" s="1" t="n">
        <v>45366</v>
      </c>
      <c r="E129" s="1" t="n">
        <v>46259</v>
      </c>
      <c r="F129" t="inlineStr">
        <is>
          <t>JÄMTLANDS LÄN</t>
        </is>
      </c>
      <c r="G129" t="inlineStr">
        <is>
          <t>ÅRE</t>
        </is>
      </c>
      <c r="I129" t="n">
        <v>4.5</v>
      </c>
      <c r="J129" t="n">
        <v>0</v>
      </c>
      <c r="K129" t="n">
        <v>0</v>
      </c>
      <c r="L129" t="n">
        <v>2</v>
      </c>
      <c r="M129" t="n">
        <v>0</v>
      </c>
      <c r="N129" t="n">
        <v>0</v>
      </c>
      <c r="O129" t="n">
        <v>0</v>
      </c>
      <c r="P129" t="n">
        <v>0</v>
      </c>
      <c r="Q129" t="n">
        <v>2</v>
      </c>
      <c r="R129" t="n">
        <v>0</v>
      </c>
      <c r="S129" t="n">
        <v>2</v>
      </c>
      <c r="T129" t="n">
        <v>2</v>
      </c>
      <c r="U129" t="n">
        <v>0</v>
      </c>
      <c r="V129" s="2" t="inlineStr">
        <is>
          <t>Doftskinn
Harticka</t>
        </is>
      </c>
      <c r="W129">
        <f>HYPERLINK("https://klasma.github.io/Logging_2321/artfynd/A 10501-2024 artfynd.xlsx", "A 10501-2024")</f>
        <v/>
      </c>
      <c r="X129">
        <f>HYPERLINK("https://klasma.github.io/Logging_2321/kartor/A 10501-2024 karta.png", "A 10501-2024")</f>
        <v/>
      </c>
      <c r="Y129">
        <f>HYPERLINK("https://klasma.github.io/Logging_2321/kartor_geotiff/A 10501-2024 georefererad karta.tif", "A 10501-2024")</f>
        <v/>
      </c>
      <c r="AA129">
        <f>HYPERLINK("https://klasma.github.io/Logging_2321/klagomål/A 10501-2024 FSC-klagomål.docx", "A 10501-2024")</f>
        <v/>
      </c>
      <c r="AB129">
        <f>HYPERLINK("https://klasma.github.io/Logging_2321/klagomålsmail/A 10501-2024 FSC-klagomål mail.docx", "A 10501-2024")</f>
        <v/>
      </c>
      <c r="AC129">
        <f>HYPERLINK("https://klasma.github.io/Logging_2321/tillsyn/A 10501-2024 tillsynsbegäran.docx", "A 10501-2024")</f>
        <v/>
      </c>
      <c r="AD129">
        <f>HYPERLINK("https://klasma.github.io/Logging_2321/tillsynsmail/A 10501-2024 tillsynsbegäran mail.docx", "A 10501-2024")</f>
        <v/>
      </c>
    </row>
    <row r="130" ht="15" customHeight="1">
      <c r="A130" t="inlineStr">
        <is>
          <t>A 3147-2023</t>
        </is>
      </c>
      <c r="B130" t="inlineStr">
        <is>
          <t>avverkningsanmälan</t>
        </is>
      </c>
      <c r="C130" t="inlineStr">
        <is>
          <t>Föryngringsavverkning</t>
        </is>
      </c>
      <c r="D130" s="1" t="n">
        <v>44946</v>
      </c>
      <c r="E130" s="1" t="n">
        <v>46259</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11380-2026</t>
        </is>
      </c>
      <c r="B131" t="inlineStr">
        <is>
          <t>avverkningsanmälan</t>
        </is>
      </c>
      <c r="C131" t="inlineStr">
        <is>
          <t>Föryngringsavverkning</t>
        </is>
      </c>
      <c r="D131" s="1" t="n">
        <v>46083</v>
      </c>
      <c r="E131" s="1" t="n">
        <v>46259</v>
      </c>
      <c r="F131" t="inlineStr">
        <is>
          <t>JÄMTLANDS LÄN</t>
        </is>
      </c>
      <c r="G131" t="inlineStr">
        <is>
          <t>ÅRE</t>
        </is>
      </c>
      <c r="I131" t="n">
        <v>50.2</v>
      </c>
      <c r="J131" t="n">
        <v>1</v>
      </c>
      <c r="K131" t="n">
        <v>0</v>
      </c>
      <c r="L131" t="n">
        <v>2</v>
      </c>
      <c r="M131" t="n">
        <v>0</v>
      </c>
      <c r="N131" t="n">
        <v>0</v>
      </c>
      <c r="O131" t="n">
        <v>0</v>
      </c>
      <c r="P131" t="n">
        <v>0</v>
      </c>
      <c r="Q131" t="n">
        <v>2</v>
      </c>
      <c r="R131" t="n">
        <v>0</v>
      </c>
      <c r="S131" t="n">
        <v>2</v>
      </c>
      <c r="T131" t="n">
        <v>95</v>
      </c>
      <c r="U131" t="n">
        <v>53</v>
      </c>
      <c r="V131" s="2" t="inlineStr">
        <is>
          <t>Harticka
Tretåig hackspett</t>
        </is>
      </c>
      <c r="W131">
        <f>HYPERLINK("https://klasma.github.io/Logging_2321/artfynd/A 11380-2026 artfynd.xlsx", "A 11380-2026")</f>
        <v/>
      </c>
      <c r="X131">
        <f>HYPERLINK("https://klasma.github.io/Logging_2321/kartor/A 11380-2026 karta.png", "A 11380-2026")</f>
        <v/>
      </c>
      <c r="Y131">
        <f>HYPERLINK("https://klasma.github.io/Logging_2321/kartor_geotiff/A 11380-2026 georefererad karta.tif", "A 11380-2026")</f>
        <v/>
      </c>
      <c r="AA131">
        <f>HYPERLINK("https://klasma.github.io/Logging_2321/klagomål/A 11380-2026 FSC-klagomål.docx", "A 11380-2026")</f>
        <v/>
      </c>
      <c r="AB131">
        <f>HYPERLINK("https://klasma.github.io/Logging_2321/klagomålsmail/A 11380-2026 FSC-klagomål mail.docx", "A 11380-2026")</f>
        <v/>
      </c>
      <c r="AC131">
        <f>HYPERLINK("https://klasma.github.io/Logging_2321/tillsyn/A 11380-2026 tillsynsbegäran.docx", "A 11380-2026")</f>
        <v/>
      </c>
      <c r="AD131">
        <f>HYPERLINK("https://klasma.github.io/Logging_2321/tillsynsmail/A 11380-2026 tillsynsbegäran mail.docx", "A 11380-2026")</f>
        <v/>
      </c>
      <c r="AE131">
        <f>HYPERLINK("https://klasma.github.io/Logging_2321/fåglar/A 11380-2026 prioriterade fågelarter.docx", "A 11380-2026")</f>
        <v/>
      </c>
    </row>
    <row r="132" ht="15" customHeight="1">
      <c r="A132" t="inlineStr">
        <is>
          <t>A 24576-2026</t>
        </is>
      </c>
      <c r="B132" t="inlineStr">
        <is>
          <t>avverkningsanmälan</t>
        </is>
      </c>
      <c r="C132" t="inlineStr">
        <is>
          <t>Föryngringsavverkning</t>
        </is>
      </c>
      <c r="D132" s="1" t="n">
        <v>46170</v>
      </c>
      <c r="E132" s="1" t="n">
        <v>46259</v>
      </c>
      <c r="F132" t="inlineStr">
        <is>
          <t>JÄMTLANDS LÄN</t>
        </is>
      </c>
      <c r="G132" t="inlineStr">
        <is>
          <t>ÅRE</t>
        </is>
      </c>
      <c r="I132" t="n">
        <v>20.8</v>
      </c>
      <c r="J132" t="n">
        <v>0</v>
      </c>
      <c r="K132" t="n">
        <v>0</v>
      </c>
      <c r="L132" t="n">
        <v>2</v>
      </c>
      <c r="M132" t="n">
        <v>0</v>
      </c>
      <c r="N132" t="n">
        <v>0</v>
      </c>
      <c r="O132" t="n">
        <v>0</v>
      </c>
      <c r="P132" t="n">
        <v>0</v>
      </c>
      <c r="Q132" t="n">
        <v>2</v>
      </c>
      <c r="R132" t="n">
        <v>0</v>
      </c>
      <c r="S132" t="n">
        <v>2</v>
      </c>
      <c r="T132" t="n">
        <v>2</v>
      </c>
      <c r="U132" t="n">
        <v>0</v>
      </c>
      <c r="V132" s="2" t="inlineStr">
        <is>
          <t>Knottrig blåslav
Skarp dropptaggsvamp</t>
        </is>
      </c>
      <c r="W132">
        <f>HYPERLINK("https://klasma.github.io/Logging_2321/artfynd/A 24576-2026 artfynd.xlsx", "A 24576-2026")</f>
        <v/>
      </c>
      <c r="X132">
        <f>HYPERLINK("https://klasma.github.io/Logging_2321/kartor/A 24576-2026 karta.png", "A 24576-2026")</f>
        <v/>
      </c>
      <c r="Y132">
        <f>HYPERLINK("https://klasma.github.io/Logging_2321/kartor_geotiff/A 24576-2026 georefererad karta.tif", "A 24576-2026")</f>
        <v/>
      </c>
      <c r="AA132">
        <f>HYPERLINK("https://klasma.github.io/Logging_2321/klagomål/A 24576-2026 FSC-klagomål.docx", "A 24576-2026")</f>
        <v/>
      </c>
      <c r="AB132">
        <f>HYPERLINK("https://klasma.github.io/Logging_2321/klagomålsmail/A 24576-2026 FSC-klagomål mail.docx", "A 24576-2026")</f>
        <v/>
      </c>
      <c r="AC132">
        <f>HYPERLINK("https://klasma.github.io/Logging_2321/tillsyn/A 24576-2026 tillsynsbegäran.docx", "A 24576-2026")</f>
        <v/>
      </c>
      <c r="AD132">
        <f>HYPERLINK("https://klasma.github.io/Logging_2321/tillsynsmail/A 24576-2026 tillsynsbegäran mail.docx", "A 24576-2026")</f>
        <v/>
      </c>
    </row>
    <row r="133" ht="15" customHeight="1">
      <c r="A133" t="inlineStr">
        <is>
          <t>A 55718-2025</t>
        </is>
      </c>
      <c r="B133" t="inlineStr">
        <is>
          <t>avverkningsanmälan</t>
        </is>
      </c>
      <c r="C133" t="inlineStr">
        <is>
          <t>Föryngringsavverkning</t>
        </is>
      </c>
      <c r="D133" s="1" t="n">
        <v>45972</v>
      </c>
      <c r="E133" s="1" t="n">
        <v>46259</v>
      </c>
      <c r="F133" t="inlineStr">
        <is>
          <t>JÄMTLANDS LÄN</t>
        </is>
      </c>
      <c r="G133" t="inlineStr">
        <is>
          <t>ÅRE</t>
        </is>
      </c>
      <c r="H133" t="inlineStr">
        <is>
          <t>Övriga Aktiebolag</t>
        </is>
      </c>
      <c r="I133" t="n">
        <v>1.1</v>
      </c>
      <c r="J133" t="n">
        <v>2</v>
      </c>
      <c r="K133" t="n">
        <v>0</v>
      </c>
      <c r="L133" t="n">
        <v>2</v>
      </c>
      <c r="M133" t="n">
        <v>0</v>
      </c>
      <c r="N133" t="n">
        <v>0</v>
      </c>
      <c r="O133" t="n">
        <v>0</v>
      </c>
      <c r="P133" t="n">
        <v>0</v>
      </c>
      <c r="Q133" t="n">
        <v>2</v>
      </c>
      <c r="R133" t="n">
        <v>0</v>
      </c>
      <c r="S133" t="n">
        <v>2</v>
      </c>
      <c r="T133" t="n">
        <v>3</v>
      </c>
      <c r="U133" t="n">
        <v>0</v>
      </c>
      <c r="V133" s="2" t="inlineStr">
        <is>
          <t>Sparvuggla
Tretåig hackspett</t>
        </is>
      </c>
      <c r="W133">
        <f>HYPERLINK("https://klasma.github.io/Logging_2321/artfynd/A 55718-2025 artfynd.xlsx", "A 55718-2025")</f>
        <v/>
      </c>
      <c r="X133">
        <f>HYPERLINK("https://klasma.github.io/Logging_2321/kartor/A 55718-2025 karta.png", "A 55718-2025")</f>
        <v/>
      </c>
      <c r="Y133">
        <f>HYPERLINK("https://klasma.github.io/Logging_2321/kartor_geotiff/A 55718-2025 georefererad karta.tif", "A 55718-2025")</f>
        <v/>
      </c>
      <c r="AA133">
        <f>HYPERLINK("https://klasma.github.io/Logging_2321/klagomål/A 55718-2025 FSC-klagomål.docx", "A 55718-2025")</f>
        <v/>
      </c>
      <c r="AB133">
        <f>HYPERLINK("https://klasma.github.io/Logging_2321/klagomålsmail/A 55718-2025 FSC-klagomål mail.docx", "A 55718-2025")</f>
        <v/>
      </c>
      <c r="AC133">
        <f>HYPERLINK("https://klasma.github.io/Logging_2321/tillsyn/A 55718-2025 tillsynsbegäran.docx", "A 55718-2025")</f>
        <v/>
      </c>
      <c r="AD133">
        <f>HYPERLINK("https://klasma.github.io/Logging_2321/tillsynsmail/A 55718-2025 tillsynsbegäran mail.docx", "A 55718-2025")</f>
        <v/>
      </c>
      <c r="AE133">
        <f>HYPERLINK("https://klasma.github.io/Logging_2321/fåglar/A 55718-2025 prioriterade fågelarter.docx", "A 55718-2025")</f>
        <v/>
      </c>
    </row>
    <row r="134" ht="15" customHeight="1">
      <c r="A134" t="inlineStr">
        <is>
          <t>A 23638-2023</t>
        </is>
      </c>
      <c r="B134" t="inlineStr">
        <is>
          <t>avverkningsanmälan</t>
        </is>
      </c>
      <c r="C134" t="inlineStr">
        <is>
          <t>Föryngringsavverkning</t>
        </is>
      </c>
      <c r="D134" s="1" t="n">
        <v>45072</v>
      </c>
      <c r="E134" s="1" t="n">
        <v>46259</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t="n">
        <v>10</v>
      </c>
      <c r="V134" s="2" t="inlineStr">
        <is>
          <t>Garnlav
Tretåig hackspett</t>
        </is>
      </c>
      <c r="W134">
        <f>HYPERLINK("https://klasma.github.io/Logging_2321/artfynd/A 23638-2023 artfynd.xlsx", "A 23638-2023")</f>
        <v/>
      </c>
      <c r="X134">
        <f>HYPERLINK("https://klasma.github.io/Logging_2321/kartor/A 23638-2023 karta.png", "A 23638-2023")</f>
        <v/>
      </c>
      <c r="Y134">
        <f>HYPERLINK("https://klasma.github.io/Logging_2321/kartor_geotiff/A 23638-2023 georefererad karta.tif", "A 23638-2023")</f>
        <v/>
      </c>
      <c r="AA134">
        <f>HYPERLINK("https://klasma.github.io/Logging_2321/klagomål/A 23638-2023 FSC-klagomål.docx", "A 23638-2023")</f>
        <v/>
      </c>
      <c r="AB134">
        <f>HYPERLINK("https://klasma.github.io/Logging_2321/klagomålsmail/A 23638-2023 FSC-klagomål mail.docx", "A 23638-2023")</f>
        <v/>
      </c>
      <c r="AC134">
        <f>HYPERLINK("https://klasma.github.io/Logging_2321/tillsyn/A 23638-2023 tillsynsbegäran.docx", "A 23638-2023")</f>
        <v/>
      </c>
      <c r="AD134">
        <f>HYPERLINK("https://klasma.github.io/Logging_2321/tillsynsmail/A 23638-2023 tillsynsbegäran mail.docx", "A 23638-2023")</f>
        <v/>
      </c>
      <c r="AE134">
        <f>HYPERLINK("https://klasma.github.io/Logging_2321/fåglar/A 23638-2023 prioriterade fågelarter.docx", "A 23638-2023")</f>
        <v/>
      </c>
    </row>
    <row r="135" ht="15" customHeight="1">
      <c r="A135" t="inlineStr">
        <is>
          <t>A 54128-2023</t>
        </is>
      </c>
      <c r="B135" t="inlineStr">
        <is>
          <t>avverkningsanmälan</t>
        </is>
      </c>
      <c r="C135" t="inlineStr">
        <is>
          <t>Föryngringsavverkning</t>
        </is>
      </c>
      <c r="D135" s="1" t="n">
        <v>45232</v>
      </c>
      <c r="E135" s="1" t="n">
        <v>46259</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47993-2025</t>
        </is>
      </c>
      <c r="B136" t="inlineStr">
        <is>
          <t>avverkningsanmälan</t>
        </is>
      </c>
      <c r="C136" t="inlineStr">
        <is>
          <t>Avverkning för att bevara och utveckla /försöksver</t>
        </is>
      </c>
      <c r="D136" s="1" t="n">
        <v>45931</v>
      </c>
      <c r="E136" s="1" t="n">
        <v>46259</v>
      </c>
      <c r="F136" t="inlineStr">
        <is>
          <t>JÄMTLANDS LÄN</t>
        </is>
      </c>
      <c r="G136" t="inlineStr">
        <is>
          <t>ÅRE</t>
        </is>
      </c>
      <c r="I136" t="n">
        <v>2.1</v>
      </c>
      <c r="J136" t="n">
        <v>0</v>
      </c>
      <c r="K136" t="n">
        <v>1</v>
      </c>
      <c r="L136" t="n">
        <v>1</v>
      </c>
      <c r="M136" t="n">
        <v>0</v>
      </c>
      <c r="N136" t="n">
        <v>0</v>
      </c>
      <c r="O136" t="n">
        <v>0</v>
      </c>
      <c r="P136" t="n">
        <v>0</v>
      </c>
      <c r="Q136" t="n">
        <v>1</v>
      </c>
      <c r="R136" t="n">
        <v>0</v>
      </c>
      <c r="S136" t="n">
        <v>2</v>
      </c>
      <c r="T136" t="n">
        <v>2</v>
      </c>
      <c r="U136" t="n">
        <v>2</v>
      </c>
      <c r="V136" s="2" t="inlineStr">
        <is>
          <t>Ullticka
Svart trolldruva</t>
        </is>
      </c>
      <c r="W136">
        <f>HYPERLINK("https://klasma.github.io/Logging_2321/artfynd/A 47993-2025 artfynd.xlsx", "A 47993-2025")</f>
        <v/>
      </c>
      <c r="X136">
        <f>HYPERLINK("https://klasma.github.io/Logging_2321/kartor/A 47993-2025 karta.png", "A 47993-2025")</f>
        <v/>
      </c>
      <c r="Y136">
        <f>HYPERLINK("https://klasma.github.io/Logging_2321/kartor_geotiff/A 47993-2025 georefererad karta.tif", "A 47993-2025")</f>
        <v/>
      </c>
      <c r="AA136">
        <f>HYPERLINK("https://klasma.github.io/Logging_2321/klagomål/A 47993-2025 FSC-klagomål.docx", "A 47993-2025")</f>
        <v/>
      </c>
      <c r="AB136">
        <f>HYPERLINK("https://klasma.github.io/Logging_2321/klagomålsmail/A 47993-2025 FSC-klagomål mail.docx", "A 47993-2025")</f>
        <v/>
      </c>
      <c r="AC136">
        <f>HYPERLINK("https://klasma.github.io/Logging_2321/tillsyn/A 47993-2025 tillsynsbegäran.docx", "A 47993-2025")</f>
        <v/>
      </c>
      <c r="AD136">
        <f>HYPERLINK("https://klasma.github.io/Logging_2321/tillsynsmail/A 47993-2025 tillsynsbegäran mail.docx", "A 47993-2025")</f>
        <v/>
      </c>
    </row>
    <row r="137" ht="15" customHeight="1">
      <c r="A137" t="inlineStr">
        <is>
          <t>A 41280-2025</t>
        </is>
      </c>
      <c r="B137" t="inlineStr">
        <is>
          <t>avverkningsanmälan</t>
        </is>
      </c>
      <c r="C137" t="inlineStr">
        <is>
          <t>Föryngringsavverkning</t>
        </is>
      </c>
      <c r="D137" s="1" t="n">
        <v>45898</v>
      </c>
      <c r="E137" s="1" t="n">
        <v>46259</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46259</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46259</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64668-2021</t>
        </is>
      </c>
      <c r="B140" t="inlineStr">
        <is>
          <t>avverkningsanmälan</t>
        </is>
      </c>
      <c r="C140" t="inlineStr">
        <is>
          <t>Avverkning för annat ändamål</t>
        </is>
      </c>
      <c r="D140" s="1" t="n">
        <v>44512</v>
      </c>
      <c r="E140" s="1" t="n">
        <v>46259</v>
      </c>
      <c r="F140" t="inlineStr">
        <is>
          <t>JÄMTLANDS LÄN</t>
        </is>
      </c>
      <c r="G140" t="inlineStr">
        <is>
          <t>ÅRE</t>
        </is>
      </c>
      <c r="I140" t="n">
        <v>1.9</v>
      </c>
      <c r="J140" t="n">
        <v>1</v>
      </c>
      <c r="K140" t="n">
        <v>0</v>
      </c>
      <c r="L140" t="n">
        <v>1</v>
      </c>
      <c r="M140" t="n">
        <v>0</v>
      </c>
      <c r="N140" t="n">
        <v>0</v>
      </c>
      <c r="O140" t="n">
        <v>0</v>
      </c>
      <c r="P140" t="n">
        <v>0</v>
      </c>
      <c r="Q140" t="n">
        <v>1</v>
      </c>
      <c r="R140" t="n">
        <v>0</v>
      </c>
      <c r="S140" t="n">
        <v>1</v>
      </c>
      <c r="T140" t="n">
        <v>11</v>
      </c>
      <c r="U140" t="n">
        <v>11</v>
      </c>
      <c r="V140" s="2" t="inlineStr">
        <is>
          <t>Tretåig hackspett</t>
        </is>
      </c>
      <c r="W140">
        <f>HYPERLINK("https://klasma.github.io/Logging_2321/artfynd/A 64668-2021 artfynd.xlsx", "A 64668-2021")</f>
        <v/>
      </c>
      <c r="X140">
        <f>HYPERLINK("https://klasma.github.io/Logging_2321/kartor/A 64668-2021 karta.png", "A 64668-2021")</f>
        <v/>
      </c>
      <c r="Y140">
        <f>HYPERLINK("https://klasma.github.io/Logging_2321/kartor_geotiff/A 64668-2021 georefererad karta.tif", "A 64668-2021")</f>
        <v/>
      </c>
      <c r="AA140">
        <f>HYPERLINK("https://klasma.github.io/Logging_2321/klagomål/A 64668-2021 FSC-klagomål.docx", "A 64668-2021")</f>
        <v/>
      </c>
      <c r="AB140">
        <f>HYPERLINK("https://klasma.github.io/Logging_2321/klagomålsmail/A 64668-2021 FSC-klagomål mail.docx", "A 64668-2021")</f>
        <v/>
      </c>
      <c r="AC140">
        <f>HYPERLINK("https://klasma.github.io/Logging_2321/tillsyn/A 64668-2021 tillsynsbegäran.docx", "A 64668-2021")</f>
        <v/>
      </c>
      <c r="AD140">
        <f>HYPERLINK("https://klasma.github.io/Logging_2321/tillsynsmail/A 64668-2021 tillsynsbegäran mail.docx", "A 64668-2021")</f>
        <v/>
      </c>
      <c r="AE140">
        <f>HYPERLINK("https://klasma.github.io/Logging_2321/fåglar/A 64668-2021 prioriterade fågelarter.docx", "A 64668-2021")</f>
        <v/>
      </c>
    </row>
    <row r="141" ht="15" customHeight="1">
      <c r="A141" t="inlineStr">
        <is>
          <t>A 23706-2023</t>
        </is>
      </c>
      <c r="B141" t="inlineStr">
        <is>
          <t>avverkningsanmälan</t>
        </is>
      </c>
      <c r="C141" t="inlineStr">
        <is>
          <t>Föryngringsavverkning</t>
        </is>
      </c>
      <c r="D141" s="1" t="n">
        <v>45072</v>
      </c>
      <c r="E141" s="1" t="n">
        <v>46259</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14245-2025</t>
        </is>
      </c>
      <c r="B142" t="inlineStr">
        <is>
          <t>avverkningsanmälan</t>
        </is>
      </c>
      <c r="C142" t="inlineStr">
        <is>
          <t>Föryngringsavverkning</t>
        </is>
      </c>
      <c r="D142" s="1" t="n">
        <v>45740</v>
      </c>
      <c r="E142" s="1" t="n">
        <v>46259</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10632-2023</t>
        </is>
      </c>
      <c r="B143" t="inlineStr">
        <is>
          <t>avverkningsanmälan</t>
        </is>
      </c>
      <c r="C143" t="inlineStr">
        <is>
          <t>Föryngringsavverkning</t>
        </is>
      </c>
      <c r="D143" s="1" t="n">
        <v>44984</v>
      </c>
      <c r="E143" s="1" t="n">
        <v>46259</v>
      </c>
      <c r="F143" t="inlineStr">
        <is>
          <t>JÄMTLANDS LÄN</t>
        </is>
      </c>
      <c r="G143" t="inlineStr">
        <is>
          <t>ÅRE</t>
        </is>
      </c>
      <c r="I143" t="n">
        <v>5.4</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10632-2023 artfynd.xlsx", "A 10632-2023")</f>
        <v/>
      </c>
      <c r="X143">
        <f>HYPERLINK("https://klasma.github.io/Logging_2321/kartor/A 10632-2023 karta.png", "A 10632-2023")</f>
        <v/>
      </c>
      <c r="Y143">
        <f>HYPERLINK("https://klasma.github.io/Logging_2321/kartor_geotiff/A 10632-2023 georefererad karta.tif", "A 10632-2023")</f>
        <v/>
      </c>
      <c r="AA143">
        <f>HYPERLINK("https://klasma.github.io/Logging_2321/klagomål/A 10632-2023 FSC-klagomål.docx", "A 10632-2023")</f>
        <v/>
      </c>
      <c r="AB143">
        <f>HYPERLINK("https://klasma.github.io/Logging_2321/klagomålsmail/A 10632-2023 FSC-klagomål mail.docx", "A 10632-2023")</f>
        <v/>
      </c>
      <c r="AC143">
        <f>HYPERLINK("https://klasma.github.io/Logging_2321/tillsyn/A 10632-2023 tillsynsbegäran.docx", "A 10632-2023")</f>
        <v/>
      </c>
      <c r="AD143">
        <f>HYPERLINK("https://klasma.github.io/Logging_2321/tillsynsmail/A 10632-2023 tillsynsbegäran mail.docx", "A 10632-2023")</f>
        <v/>
      </c>
      <c r="AE143">
        <f>HYPERLINK("https://klasma.github.io/Logging_2321/fåglar/A 10632-2023 prioriterade fågelarter.docx", "A 10632-2023")</f>
        <v/>
      </c>
    </row>
    <row r="144" ht="15" customHeight="1">
      <c r="A144" t="inlineStr">
        <is>
          <t>A 20305-2026</t>
        </is>
      </c>
      <c r="B144" t="inlineStr">
        <is>
          <t>avverkningsanmälan</t>
        </is>
      </c>
      <c r="C144" t="inlineStr">
        <is>
          <t>Föryngringsavverkning</t>
        </is>
      </c>
      <c r="D144" s="1" t="n">
        <v>46136</v>
      </c>
      <c r="E144" s="1" t="n">
        <v>46259</v>
      </c>
      <c r="F144" t="inlineStr">
        <is>
          <t>JÄMTLANDS LÄN</t>
        </is>
      </c>
      <c r="G144" t="inlineStr">
        <is>
          <t>ÅRE</t>
        </is>
      </c>
      <c r="I144" t="n">
        <v>29.7</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HYPERLINK("https://klasma.github.io/Logging_2321/artfynd/A 20305-2026 artfynd.xlsx", "A 20305-2026")</f>
        <v/>
      </c>
      <c r="X144">
        <f>HYPERLINK("https://klasma.github.io/Logging_2321/kartor/A 20305-2026 karta.png", "A 20305-2026")</f>
        <v/>
      </c>
      <c r="Y144">
        <f>HYPERLINK("https://klasma.github.io/Logging_2321/kartor_geotiff/A 20305-2026 georefererad karta.tif", "A 20305-2026")</f>
        <v/>
      </c>
      <c r="AA144">
        <f>HYPERLINK("https://klasma.github.io/Logging_2321/klagomål/A 20305-2026 FSC-klagomål.docx", "A 20305-2026")</f>
        <v/>
      </c>
      <c r="AB144">
        <f>HYPERLINK("https://klasma.github.io/Logging_2321/klagomålsmail/A 20305-2026 FSC-klagomål mail.docx", "A 20305-2026")</f>
        <v/>
      </c>
      <c r="AC144">
        <f>HYPERLINK("https://klasma.github.io/Logging_2321/tillsyn/A 20305-2026 tillsynsbegäran.docx", "A 20305-2026")</f>
        <v/>
      </c>
      <c r="AD144">
        <f>HYPERLINK("https://klasma.github.io/Logging_2321/tillsynsmail/A 20305-2026 tillsynsbegäran mail.docx", "A 20305-2026")</f>
        <v/>
      </c>
    </row>
    <row r="145" ht="15" customHeight="1">
      <c r="A145" t="inlineStr">
        <is>
          <t>A 74392-2021</t>
        </is>
      </c>
      <c r="B145" t="inlineStr">
        <is>
          <t>avverkningsanmälan</t>
        </is>
      </c>
      <c r="C145" t="inlineStr">
        <is>
          <t>Föryngringsavverkning</t>
        </is>
      </c>
      <c r="D145" s="1" t="n">
        <v>44559</v>
      </c>
      <c r="E145" s="1" t="n">
        <v>46259</v>
      </c>
      <c r="F145" t="inlineStr">
        <is>
          <t>JÄMTLANDS LÄN</t>
        </is>
      </c>
      <c r="G145" t="inlineStr">
        <is>
          <t>ÅRE</t>
        </is>
      </c>
      <c r="I145" t="n">
        <v>11.6</v>
      </c>
      <c r="J145" t="n">
        <v>0</v>
      </c>
      <c r="K145" t="n">
        <v>0</v>
      </c>
      <c r="L145" t="n">
        <v>1</v>
      </c>
      <c r="M145" t="n">
        <v>0</v>
      </c>
      <c r="N145" t="n">
        <v>0</v>
      </c>
      <c r="O145" t="n">
        <v>0</v>
      </c>
      <c r="P145" t="n">
        <v>0</v>
      </c>
      <c r="Q145" t="n">
        <v>1</v>
      </c>
      <c r="R145" t="n">
        <v>0</v>
      </c>
      <c r="S145" t="n">
        <v>1</v>
      </c>
      <c r="T145" t="n">
        <v>1</v>
      </c>
      <c r="U145" t="n">
        <v>0</v>
      </c>
      <c r="V145" s="2" t="inlineStr">
        <is>
          <t>Skrovellav</t>
        </is>
      </c>
      <c r="W145">
        <f>HYPERLINK("https://klasma.github.io/Logging_2321/artfynd/A 74392-2021 artfynd.xlsx", "A 74392-2021")</f>
        <v/>
      </c>
      <c r="X145">
        <f>HYPERLINK("https://klasma.github.io/Logging_2321/kartor/A 74392-2021 karta.png", "A 74392-2021")</f>
        <v/>
      </c>
      <c r="Y145">
        <f>HYPERLINK("https://klasma.github.io/Logging_2321/kartor_geotiff/A 74392-2021 georefererad karta.tif", "A 74392-2021")</f>
        <v/>
      </c>
      <c r="AA145">
        <f>HYPERLINK("https://klasma.github.io/Logging_2321/klagomål/A 74392-2021 FSC-klagomål.docx", "A 74392-2021")</f>
        <v/>
      </c>
      <c r="AB145">
        <f>HYPERLINK("https://klasma.github.io/Logging_2321/klagomålsmail/A 74392-2021 FSC-klagomål mail.docx", "A 74392-2021")</f>
        <v/>
      </c>
      <c r="AC145">
        <f>HYPERLINK("https://klasma.github.io/Logging_2321/tillsyn/A 74392-2021 tillsynsbegäran.docx", "A 74392-2021")</f>
        <v/>
      </c>
      <c r="AD145">
        <f>HYPERLINK("https://klasma.github.io/Logging_2321/tillsynsmail/A 74392-2021 tillsynsbegäran mail.docx", "A 74392-2021")</f>
        <v/>
      </c>
    </row>
    <row r="146" ht="15" customHeight="1">
      <c r="A146" t="inlineStr">
        <is>
          <t>A 4777-2025</t>
        </is>
      </c>
      <c r="B146" t="inlineStr">
        <is>
          <t>avverkningsanmälan</t>
        </is>
      </c>
      <c r="C146" t="inlineStr">
        <is>
          <t>Föryngringsavverkning</t>
        </is>
      </c>
      <c r="D146" s="1" t="n">
        <v>45688</v>
      </c>
      <c r="E146" s="1" t="n">
        <v>46259</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8131-2024</t>
        </is>
      </c>
      <c r="B147" t="inlineStr">
        <is>
          <t>avverkningsanmälan</t>
        </is>
      </c>
      <c r="C147" t="inlineStr">
        <is>
          <t>Föryngringsavverkning</t>
        </is>
      </c>
      <c r="D147" s="1" t="n">
        <v>45351</v>
      </c>
      <c r="E147" s="1" t="n">
        <v>46259</v>
      </c>
      <c r="F147" t="inlineStr">
        <is>
          <t>JÄMTLANDS LÄN</t>
        </is>
      </c>
      <c r="G147" t="inlineStr">
        <is>
          <t>ÅRE</t>
        </is>
      </c>
      <c r="H147" t="inlineStr">
        <is>
          <t>Övriga Aktiebolag</t>
        </is>
      </c>
      <c r="I147" t="n">
        <v>3.1</v>
      </c>
      <c r="J147" t="n">
        <v>0</v>
      </c>
      <c r="K147" t="n">
        <v>0</v>
      </c>
      <c r="L147" t="n">
        <v>0</v>
      </c>
      <c r="M147" t="n">
        <v>1</v>
      </c>
      <c r="N147" t="n">
        <v>0</v>
      </c>
      <c r="O147" t="n">
        <v>0</v>
      </c>
      <c r="P147" t="n">
        <v>0</v>
      </c>
      <c r="Q147" t="n">
        <v>1</v>
      </c>
      <c r="R147" t="n">
        <v>1</v>
      </c>
      <c r="S147" t="n">
        <v>1</v>
      </c>
      <c r="T147" t="n">
        <v>1</v>
      </c>
      <c r="U147" t="n">
        <v>1</v>
      </c>
      <c r="V147" s="2" t="inlineStr">
        <is>
          <t>Gräddporing</t>
        </is>
      </c>
      <c r="W147">
        <f>HYPERLINK("https://klasma.github.io/Logging_2321/artfynd/A 8131-2024 artfynd.xlsx", "A 8131-2024")</f>
        <v/>
      </c>
      <c r="X147">
        <f>HYPERLINK("https://klasma.github.io/Logging_2321/kartor/A 8131-2024 karta.png", "A 8131-2024")</f>
        <v/>
      </c>
      <c r="Y147">
        <f>HYPERLINK("https://klasma.github.io/Logging_2321/kartor_geotiff/A 8131-2024 georefererad karta.tif", "A 8131-2024")</f>
        <v/>
      </c>
      <c r="AA147">
        <f>HYPERLINK("https://klasma.github.io/Logging_2321/klagomål/A 8131-2024 FSC-klagomål.docx", "A 8131-2024")</f>
        <v/>
      </c>
      <c r="AB147">
        <f>HYPERLINK("https://klasma.github.io/Logging_2321/klagomålsmail/A 8131-2024 FSC-klagomål mail.docx", "A 8131-2024")</f>
        <v/>
      </c>
      <c r="AC147">
        <f>HYPERLINK("https://klasma.github.io/Logging_2321/tillsyn/A 8131-2024 tillsynsbegäran.docx", "A 8131-2024")</f>
        <v/>
      </c>
      <c r="AD147">
        <f>HYPERLINK("https://klasma.github.io/Logging_2321/tillsynsmail/A 8131-2024 tillsynsbegäran mail.docx", "A 8131-2024")</f>
        <v/>
      </c>
    </row>
    <row r="148" ht="15" customHeight="1">
      <c r="A148" t="inlineStr">
        <is>
          <t>A 45144-2024</t>
        </is>
      </c>
      <c r="B148" t="inlineStr">
        <is>
          <t>avverkningsanmälan</t>
        </is>
      </c>
      <c r="C148" t="inlineStr">
        <is>
          <t>Föryngringsavverkning</t>
        </is>
      </c>
      <c r="D148" s="1" t="n">
        <v>45575</v>
      </c>
      <c r="E148" s="1" t="n">
        <v>46259</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44889-2023</t>
        </is>
      </c>
      <c r="B149" t="inlineStr">
        <is>
          <t>avverkningsanmälan</t>
        </is>
      </c>
      <c r="C149" t="inlineStr">
        <is>
          <t>Avverkning för annat ändamål</t>
        </is>
      </c>
      <c r="D149" s="1" t="n">
        <v>45190</v>
      </c>
      <c r="E149" s="1" t="n">
        <v>46259</v>
      </c>
      <c r="F149" t="inlineStr">
        <is>
          <t>JÄMTLANDS LÄN</t>
        </is>
      </c>
      <c r="G149" t="inlineStr">
        <is>
          <t>ÅRE</t>
        </is>
      </c>
      <c r="I149" t="n">
        <v>1.3</v>
      </c>
      <c r="J149" t="n">
        <v>1</v>
      </c>
      <c r="K149" t="n">
        <v>0</v>
      </c>
      <c r="L149" t="n">
        <v>1</v>
      </c>
      <c r="M149" t="n">
        <v>0</v>
      </c>
      <c r="N149" t="n">
        <v>0</v>
      </c>
      <c r="O149" t="n">
        <v>0</v>
      </c>
      <c r="P149" t="n">
        <v>0</v>
      </c>
      <c r="Q149" t="n">
        <v>1</v>
      </c>
      <c r="R149" t="n">
        <v>0</v>
      </c>
      <c r="S149" t="n">
        <v>1</v>
      </c>
      <c r="T149" t="n">
        <v>1</v>
      </c>
      <c r="U149" t="n">
        <v>1</v>
      </c>
      <c r="V149" s="2" t="inlineStr">
        <is>
          <t>Tretåig hackspett</t>
        </is>
      </c>
      <c r="W149">
        <f>HYPERLINK("https://klasma.github.io/Logging_2321/artfynd/A 44889-2023 artfynd.xlsx", "A 44889-2023")</f>
        <v/>
      </c>
      <c r="X149">
        <f>HYPERLINK("https://klasma.github.io/Logging_2321/kartor/A 44889-2023 karta.png", "A 44889-2023")</f>
        <v/>
      </c>
      <c r="Y149">
        <f>HYPERLINK("https://klasma.github.io/Logging_2321/kartor_geotiff/A 44889-2023 georefererad karta.tif", "A 44889-2023")</f>
        <v/>
      </c>
      <c r="AA149">
        <f>HYPERLINK("https://klasma.github.io/Logging_2321/klagomål/A 44889-2023 FSC-klagomål.docx", "A 44889-2023")</f>
        <v/>
      </c>
      <c r="AB149">
        <f>HYPERLINK("https://klasma.github.io/Logging_2321/klagomålsmail/A 44889-2023 FSC-klagomål mail.docx", "A 44889-2023")</f>
        <v/>
      </c>
      <c r="AC149">
        <f>HYPERLINK("https://klasma.github.io/Logging_2321/tillsyn/A 44889-2023 tillsynsbegäran.docx", "A 44889-2023")</f>
        <v/>
      </c>
      <c r="AD149">
        <f>HYPERLINK("https://klasma.github.io/Logging_2321/tillsynsmail/A 44889-2023 tillsynsbegäran mail.docx", "A 44889-2023")</f>
        <v/>
      </c>
      <c r="AE149">
        <f>HYPERLINK("https://klasma.github.io/Logging_2321/fåglar/A 44889-2023 prioriterade fågelarter.docx", "A 44889-2023")</f>
        <v/>
      </c>
    </row>
    <row r="150" ht="15" customHeight="1">
      <c r="A150" t="inlineStr">
        <is>
          <t>A 40653-2022</t>
        </is>
      </c>
      <c r="B150" t="inlineStr">
        <is>
          <t>avverkningsanmälan</t>
        </is>
      </c>
      <c r="C150" t="inlineStr">
        <is>
          <t>Avverkning för annat ändamål</t>
        </is>
      </c>
      <c r="D150" s="1" t="n">
        <v>44818</v>
      </c>
      <c r="E150" s="1" t="n">
        <v>46259</v>
      </c>
      <c r="F150" t="inlineStr">
        <is>
          <t>JÄMTLANDS LÄN</t>
        </is>
      </c>
      <c r="G150" t="inlineStr">
        <is>
          <t>ÅRE</t>
        </is>
      </c>
      <c r="I150" t="n">
        <v>1.4</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HYPERLINK("https://klasma.github.io/Logging_2321/artfynd/A 40653-2022 artfynd.xlsx", "A 40653-2022")</f>
        <v/>
      </c>
      <c r="X150">
        <f>HYPERLINK("https://klasma.github.io/Logging_2321/kartor/A 40653-2022 karta.png", "A 40653-2022")</f>
        <v/>
      </c>
      <c r="Y150">
        <f>HYPERLINK("https://klasma.github.io/Logging_2321/kartor_geotiff/A 40653-2022 georefererad karta.tif", "A 40653-2022")</f>
        <v/>
      </c>
      <c r="AA150">
        <f>HYPERLINK("https://klasma.github.io/Logging_2321/klagomål/A 40653-2022 FSC-klagomål.docx", "A 40653-2022")</f>
        <v/>
      </c>
      <c r="AB150">
        <f>HYPERLINK("https://klasma.github.io/Logging_2321/klagomålsmail/A 40653-2022 FSC-klagomål mail.docx", "A 40653-2022")</f>
        <v/>
      </c>
      <c r="AC150">
        <f>HYPERLINK("https://klasma.github.io/Logging_2321/tillsyn/A 40653-2022 tillsynsbegäran.docx", "A 40653-2022")</f>
        <v/>
      </c>
      <c r="AD150">
        <f>HYPERLINK("https://klasma.github.io/Logging_2321/tillsynsmail/A 40653-2022 tillsynsbegäran mail.docx", "A 40653-2022")</f>
        <v/>
      </c>
      <c r="AE150">
        <f>HYPERLINK("https://klasma.github.io/Logging_2321/fåglar/A 40653-2022 prioriterade fågelarter.docx", "A 40653-2022")</f>
        <v/>
      </c>
    </row>
    <row r="151" ht="15" customHeight="1">
      <c r="A151" t="inlineStr">
        <is>
          <t>A 32216-2022</t>
        </is>
      </c>
      <c r="B151" t="inlineStr">
        <is>
          <t>avverkningsanmälan</t>
        </is>
      </c>
      <c r="C151" t="inlineStr">
        <is>
          <t>Föryngringsavverkning</t>
        </is>
      </c>
      <c r="D151" s="1" t="n">
        <v>44781</v>
      </c>
      <c r="E151" s="1" t="n">
        <v>46259</v>
      </c>
      <c r="F151" t="inlineStr">
        <is>
          <t>JÄMTLANDS LÄN</t>
        </is>
      </c>
      <c r="G151" t="inlineStr">
        <is>
          <t>ÅRE</t>
        </is>
      </c>
      <c r="I151" t="n">
        <v>27.3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HYPERLINK("https://klasma.github.io/Logging_2321/artfynd/A 32216-2022 artfynd.xlsx", "A 32216-2022")</f>
        <v/>
      </c>
      <c r="X151">
        <f>HYPERLINK("https://klasma.github.io/Logging_2321/kartor/A 32216-2022 karta.png", "A 32216-2022")</f>
        <v/>
      </c>
      <c r="Y151">
        <f>HYPERLINK("https://klasma.github.io/Logging_2321/kartor_geotiff/A 32216-2022 georefererad karta.tif", "A 32216-2022")</f>
        <v/>
      </c>
      <c r="AA151">
        <f>HYPERLINK("https://klasma.github.io/Logging_2321/klagomål/A 32216-2022 FSC-klagomål.docx", "A 32216-2022")</f>
        <v/>
      </c>
      <c r="AB151">
        <f>HYPERLINK("https://klasma.github.io/Logging_2321/klagomålsmail/A 32216-2022 FSC-klagomål mail.docx", "A 32216-2022")</f>
        <v/>
      </c>
      <c r="AC151">
        <f>HYPERLINK("https://klasma.github.io/Logging_2321/tillsyn/A 32216-2022 tillsynsbegäran.docx", "A 32216-2022")</f>
        <v/>
      </c>
      <c r="AD151">
        <f>HYPERLINK("https://klasma.github.io/Logging_2321/tillsynsmail/A 32216-2022 tillsynsbegäran mail.docx", "A 32216-2022")</f>
        <v/>
      </c>
      <c r="AE151">
        <f>HYPERLINK("https://klasma.github.io/Logging_2321/fåglar/A 32216-2022 prioriterade fågelarter.docx", "A 32216-2022")</f>
        <v/>
      </c>
    </row>
    <row r="152" ht="15" customHeight="1">
      <c r="A152" t="inlineStr">
        <is>
          <t>A 27630-2025</t>
        </is>
      </c>
      <c r="B152" t="inlineStr">
        <is>
          <t>avverkningsanmälan</t>
        </is>
      </c>
      <c r="C152" t="inlineStr">
        <is>
          <t>Föryngringsavverkning</t>
        </is>
      </c>
      <c r="D152" s="1" t="n">
        <v>45813</v>
      </c>
      <c r="E152" s="1" t="n">
        <v>46259</v>
      </c>
      <c r="F152" t="inlineStr">
        <is>
          <t>JÄMTLANDS LÄN</t>
        </is>
      </c>
      <c r="G152" t="inlineStr">
        <is>
          <t>ÅRE</t>
        </is>
      </c>
      <c r="I152" t="n">
        <v>8.4</v>
      </c>
      <c r="J152" t="n">
        <v>0</v>
      </c>
      <c r="K152" t="n">
        <v>0</v>
      </c>
      <c r="L152" t="n">
        <v>0</v>
      </c>
      <c r="M152" t="n">
        <v>1</v>
      </c>
      <c r="N152" t="n">
        <v>0</v>
      </c>
      <c r="O152" t="n">
        <v>0</v>
      </c>
      <c r="P152" t="n">
        <v>0</v>
      </c>
      <c r="Q152" t="n">
        <v>1</v>
      </c>
      <c r="R152" t="n">
        <v>1</v>
      </c>
      <c r="S152" t="n">
        <v>1</v>
      </c>
      <c r="T152" t="n">
        <v>1</v>
      </c>
      <c r="U152" t="n">
        <v>0</v>
      </c>
      <c r="V152" s="2" t="inlineStr">
        <is>
          <t>Gränsticka</t>
        </is>
      </c>
      <c r="W152">
        <f>HYPERLINK("https://klasma.github.io/Logging_2321/artfynd/A 27630-2025 artfynd.xlsx", "A 27630-2025")</f>
        <v/>
      </c>
      <c r="X152">
        <f>HYPERLINK("https://klasma.github.io/Logging_2321/kartor/A 27630-2025 karta.png", "A 27630-2025")</f>
        <v/>
      </c>
      <c r="Y152">
        <f>HYPERLINK("https://klasma.github.io/Logging_2321/kartor_geotiff/A 27630-2025 georefererad karta.tif", "A 27630-2025")</f>
        <v/>
      </c>
      <c r="AA152">
        <f>HYPERLINK("https://klasma.github.io/Logging_2321/klagomål/A 27630-2025 FSC-klagomål.docx", "A 27630-2025")</f>
        <v/>
      </c>
      <c r="AB152">
        <f>HYPERLINK("https://klasma.github.io/Logging_2321/klagomålsmail/A 27630-2025 FSC-klagomål mail.docx", "A 27630-2025")</f>
        <v/>
      </c>
      <c r="AC152">
        <f>HYPERLINK("https://klasma.github.io/Logging_2321/tillsyn/A 27630-2025 tillsynsbegäran.docx", "A 27630-2025")</f>
        <v/>
      </c>
      <c r="AD152">
        <f>HYPERLINK("https://klasma.github.io/Logging_2321/tillsynsmail/A 27630-2025 tillsynsbegäran mail.docx", "A 27630-2025")</f>
        <v/>
      </c>
    </row>
    <row r="153" ht="15" customHeight="1">
      <c r="A153" t="inlineStr">
        <is>
          <t>A 911-2022</t>
        </is>
      </c>
      <c r="B153" t="inlineStr">
        <is>
          <t>avverkningsanmälan</t>
        </is>
      </c>
      <c r="C153" t="inlineStr">
        <is>
          <t>Avverkning för annat ändamål</t>
        </is>
      </c>
      <c r="D153" s="1" t="n">
        <v>44570</v>
      </c>
      <c r="E153" s="1" t="n">
        <v>46259</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911-2022 artfynd.xlsx", "A 911-2022")</f>
        <v/>
      </c>
      <c r="X153">
        <f>HYPERLINK("https://klasma.github.io/Logging_2321/kartor/A 911-2022 karta.png", "A 911-2022")</f>
        <v/>
      </c>
      <c r="Y153">
        <f>HYPERLINK("https://klasma.github.io/Logging_2321/kartor_geotiff/A 911-2022 georefererad karta.tif", "A 911-2022")</f>
        <v/>
      </c>
      <c r="AA153">
        <f>HYPERLINK("https://klasma.github.io/Logging_2321/klagomål/A 911-2022 FSC-klagomål.docx", "A 911-2022")</f>
        <v/>
      </c>
      <c r="AB153">
        <f>HYPERLINK("https://klasma.github.io/Logging_2321/klagomålsmail/A 911-2022 FSC-klagomål mail.docx", "A 911-2022")</f>
        <v/>
      </c>
      <c r="AC153">
        <f>HYPERLINK("https://klasma.github.io/Logging_2321/tillsyn/A 911-2022 tillsynsbegäran.docx", "A 911-2022")</f>
        <v/>
      </c>
      <c r="AD153">
        <f>HYPERLINK("https://klasma.github.io/Logging_2321/tillsynsmail/A 911-2022 tillsynsbegäran mail.docx", "A 911-2022")</f>
        <v/>
      </c>
    </row>
    <row r="154" ht="15" customHeight="1">
      <c r="A154" t="inlineStr">
        <is>
          <t>A 53014-2023</t>
        </is>
      </c>
      <c r="B154" t="inlineStr">
        <is>
          <t>avverkningsanmälan</t>
        </is>
      </c>
      <c r="C154" t="inlineStr">
        <is>
          <t>Föryngringsavverkning</t>
        </is>
      </c>
      <c r="D154" s="1" t="n">
        <v>45226</v>
      </c>
      <c r="E154" s="1" t="n">
        <v>46259</v>
      </c>
      <c r="F154" t="inlineStr">
        <is>
          <t>JÄMTLANDS LÄN</t>
        </is>
      </c>
      <c r="G154" t="inlineStr">
        <is>
          <t>ÅRE</t>
        </is>
      </c>
      <c r="H154" t="inlineStr">
        <is>
          <t>Övriga Aktiebolag</t>
        </is>
      </c>
      <c r="I154" t="n">
        <v>7.5</v>
      </c>
      <c r="J154" t="n">
        <v>1</v>
      </c>
      <c r="K154" t="n">
        <v>1</v>
      </c>
      <c r="L154" t="n">
        <v>0</v>
      </c>
      <c r="M154" t="n">
        <v>0</v>
      </c>
      <c r="N154" t="n">
        <v>0</v>
      </c>
      <c r="O154" t="n">
        <v>0</v>
      </c>
      <c r="P154" t="n">
        <v>0</v>
      </c>
      <c r="Q154" t="n">
        <v>0</v>
      </c>
      <c r="R154" t="n">
        <v>0</v>
      </c>
      <c r="S154" t="n">
        <v>1</v>
      </c>
      <c r="T154" t="n">
        <v>1</v>
      </c>
      <c r="U154" t="n">
        <v>0</v>
      </c>
      <c r="V154" s="2" t="inlineStr">
        <is>
          <t>Spindelblomster</t>
        </is>
      </c>
      <c r="W154">
        <f>HYPERLINK("https://klasma.github.io/Logging_2321/artfynd/A 53014-2023 artfynd.xlsx", "A 53014-2023")</f>
        <v/>
      </c>
      <c r="X154">
        <f>HYPERLINK("https://klasma.github.io/Logging_2321/kartor/A 53014-2023 karta.png", "A 53014-2023")</f>
        <v/>
      </c>
      <c r="Y154">
        <f>HYPERLINK("https://klasma.github.io/Logging_2321/kartor_geotiff/A 53014-2023 georefererad karta.tif", "A 53014-2023")</f>
        <v/>
      </c>
      <c r="AA154">
        <f>HYPERLINK("https://klasma.github.io/Logging_2321/klagomål/A 53014-2023 FSC-klagomål.docx", "A 53014-2023")</f>
        <v/>
      </c>
      <c r="AB154">
        <f>HYPERLINK("https://klasma.github.io/Logging_2321/klagomålsmail/A 53014-2023 FSC-klagomål mail.docx", "A 53014-2023")</f>
        <v/>
      </c>
      <c r="AC154">
        <f>HYPERLINK("https://klasma.github.io/Logging_2321/tillsyn/A 53014-2023 tillsynsbegäran.docx", "A 53014-2023")</f>
        <v/>
      </c>
      <c r="AD154">
        <f>HYPERLINK("https://klasma.github.io/Logging_2321/tillsynsmail/A 53014-2023 tillsynsbegäran mail.docx", "A 53014-2023")</f>
        <v/>
      </c>
    </row>
    <row r="155" ht="15" customHeight="1">
      <c r="A155" t="inlineStr">
        <is>
          <t>A 46444-2024</t>
        </is>
      </c>
      <c r="B155" t="inlineStr">
        <is>
          <t>avverkningsanmälan</t>
        </is>
      </c>
      <c r="C155" t="inlineStr">
        <is>
          <t>Föryngringsavverkning</t>
        </is>
      </c>
      <c r="D155" s="1" t="n">
        <v>45582</v>
      </c>
      <c r="E155" s="1" t="n">
        <v>46259</v>
      </c>
      <c r="F155" t="inlineStr">
        <is>
          <t>JÄMTLANDS LÄN</t>
        </is>
      </c>
      <c r="G155" t="inlineStr">
        <is>
          <t>ÅRE</t>
        </is>
      </c>
      <c r="I155" t="n">
        <v>19.6</v>
      </c>
      <c r="J155" t="n">
        <v>0</v>
      </c>
      <c r="K155" t="n">
        <v>0</v>
      </c>
      <c r="L155" t="n">
        <v>1</v>
      </c>
      <c r="M155" t="n">
        <v>0</v>
      </c>
      <c r="N155" t="n">
        <v>0</v>
      </c>
      <c r="O155" t="n">
        <v>0</v>
      </c>
      <c r="P155" t="n">
        <v>0</v>
      </c>
      <c r="Q155" t="n">
        <v>1</v>
      </c>
      <c r="R155" t="n">
        <v>0</v>
      </c>
      <c r="S155" t="n">
        <v>1</v>
      </c>
      <c r="T155" t="n">
        <v>1</v>
      </c>
      <c r="U155" t="n">
        <v>0</v>
      </c>
      <c r="V155" s="2" t="inlineStr">
        <is>
          <t>Doftskinn</t>
        </is>
      </c>
      <c r="W155">
        <f>HYPERLINK("https://klasma.github.io/Logging_2321/artfynd/A 46444-2024 artfynd.xlsx", "A 46444-2024")</f>
        <v/>
      </c>
      <c r="X155">
        <f>HYPERLINK("https://klasma.github.io/Logging_2321/kartor/A 46444-2024 karta.png", "A 46444-2024")</f>
        <v/>
      </c>
      <c r="Y155">
        <f>HYPERLINK("https://klasma.github.io/Logging_2321/kartor_geotiff/A 46444-2024 georefererad karta.tif", "A 46444-2024")</f>
        <v/>
      </c>
      <c r="AA155">
        <f>HYPERLINK("https://klasma.github.io/Logging_2321/klagomål/A 46444-2024 FSC-klagomål.docx", "A 46444-2024")</f>
        <v/>
      </c>
      <c r="AB155">
        <f>HYPERLINK("https://klasma.github.io/Logging_2321/klagomålsmail/A 46444-2024 FSC-klagomål mail.docx", "A 46444-2024")</f>
        <v/>
      </c>
      <c r="AC155">
        <f>HYPERLINK("https://klasma.github.io/Logging_2321/tillsyn/A 46444-2024 tillsynsbegäran.docx", "A 46444-2024")</f>
        <v/>
      </c>
      <c r="AD155">
        <f>HYPERLINK("https://klasma.github.io/Logging_2321/tillsynsmail/A 46444-2024 tillsynsbegäran mail.docx", "A 46444-2024")</f>
        <v/>
      </c>
    </row>
    <row r="156" ht="15" customHeight="1">
      <c r="A156" t="inlineStr">
        <is>
          <t>A 59014-2025</t>
        </is>
      </c>
      <c r="B156" t="inlineStr">
        <is>
          <t>avverkningsanmälan</t>
        </is>
      </c>
      <c r="C156" t="inlineStr">
        <is>
          <t>Avverkning för annat ändamål</t>
        </is>
      </c>
      <c r="D156" s="1" t="n">
        <v>45987</v>
      </c>
      <c r="E156" s="1" t="n">
        <v>46259</v>
      </c>
      <c r="F156" t="inlineStr">
        <is>
          <t>JÄMTLANDS LÄN</t>
        </is>
      </c>
      <c r="G156" t="inlineStr">
        <is>
          <t>ÅRE</t>
        </is>
      </c>
      <c r="I156" t="n">
        <v>2.1</v>
      </c>
      <c r="J156" t="n">
        <v>0</v>
      </c>
      <c r="K156" t="n">
        <v>1</v>
      </c>
      <c r="L156" t="n">
        <v>0</v>
      </c>
      <c r="M156" t="n">
        <v>0</v>
      </c>
      <c r="N156" t="n">
        <v>0</v>
      </c>
      <c r="O156" t="n">
        <v>0</v>
      </c>
      <c r="P156" t="n">
        <v>0</v>
      </c>
      <c r="Q156" t="n">
        <v>0</v>
      </c>
      <c r="R156" t="n">
        <v>0</v>
      </c>
      <c r="S156" t="n">
        <v>1</v>
      </c>
      <c r="T156" t="n">
        <v>1</v>
      </c>
      <c r="U156" t="n">
        <v>0</v>
      </c>
      <c r="V156" s="2" t="inlineStr">
        <is>
          <t>Kransrams</t>
        </is>
      </c>
      <c r="W156">
        <f>HYPERLINK("https://klasma.github.io/Logging_2321/artfynd/A 59014-2025 artfynd.xlsx", "A 59014-2025")</f>
        <v/>
      </c>
      <c r="X156">
        <f>HYPERLINK("https://klasma.github.io/Logging_2321/kartor/A 59014-2025 karta.png", "A 59014-2025")</f>
        <v/>
      </c>
      <c r="Y156">
        <f>HYPERLINK("https://klasma.github.io/Logging_2321/kartor_geotiff/A 59014-2025 georefererad karta.tif", "A 59014-2025")</f>
        <v/>
      </c>
      <c r="AA156">
        <f>HYPERLINK("https://klasma.github.io/Logging_2321/klagomål/A 59014-2025 FSC-klagomål.docx", "A 59014-2025")</f>
        <v/>
      </c>
      <c r="AB156">
        <f>HYPERLINK("https://klasma.github.io/Logging_2321/klagomålsmail/A 59014-2025 FSC-klagomål mail.docx", "A 59014-2025")</f>
        <v/>
      </c>
      <c r="AC156">
        <f>HYPERLINK("https://klasma.github.io/Logging_2321/tillsyn/A 59014-2025 tillsynsbegäran.docx", "A 59014-2025")</f>
        <v/>
      </c>
      <c r="AD156">
        <f>HYPERLINK("https://klasma.github.io/Logging_2321/tillsynsmail/A 59014-2025 tillsynsbegäran mail.docx", "A 59014-2025")</f>
        <v/>
      </c>
    </row>
    <row r="157" ht="15" customHeight="1">
      <c r="A157" t="inlineStr">
        <is>
          <t>A 58872-2025</t>
        </is>
      </c>
      <c r="B157" t="inlineStr">
        <is>
          <t>avverkningsanmälan</t>
        </is>
      </c>
      <c r="C157" t="inlineStr">
        <is>
          <t>Föryngringsavverkning</t>
        </is>
      </c>
      <c r="D157" s="1" t="n">
        <v>45987</v>
      </c>
      <c r="E157" s="1" t="n">
        <v>46259</v>
      </c>
      <c r="F157" t="inlineStr">
        <is>
          <t>JÄMTLANDS LÄN</t>
        </is>
      </c>
      <c r="G157" t="inlineStr">
        <is>
          <t>ÅRE</t>
        </is>
      </c>
      <c r="I157" t="n">
        <v>8</v>
      </c>
      <c r="J157" t="n">
        <v>0</v>
      </c>
      <c r="K157" t="n">
        <v>1</v>
      </c>
      <c r="L157" t="n">
        <v>0</v>
      </c>
      <c r="M157" t="n">
        <v>0</v>
      </c>
      <c r="N157" t="n">
        <v>0</v>
      </c>
      <c r="O157" t="n">
        <v>0</v>
      </c>
      <c r="P157" t="n">
        <v>0</v>
      </c>
      <c r="Q157" t="n">
        <v>0</v>
      </c>
      <c r="R157" t="n">
        <v>0</v>
      </c>
      <c r="S157" t="n">
        <v>1</v>
      </c>
      <c r="T157" t="n">
        <v>1</v>
      </c>
      <c r="U157" t="n">
        <v>1</v>
      </c>
      <c r="V157" s="2" t="inlineStr">
        <is>
          <t>Ögonpyrola</t>
        </is>
      </c>
      <c r="W157">
        <f>HYPERLINK("https://klasma.github.io/Logging_2321/artfynd/A 58872-2025 artfynd.xlsx", "A 58872-2025")</f>
        <v/>
      </c>
      <c r="X157">
        <f>HYPERLINK("https://klasma.github.io/Logging_2321/kartor/A 58872-2025 karta.png", "A 58872-2025")</f>
        <v/>
      </c>
      <c r="Y157">
        <f>HYPERLINK("https://klasma.github.io/Logging_2321/kartor_geotiff/A 58872-2025 georefererad karta.tif", "A 58872-2025")</f>
        <v/>
      </c>
      <c r="AA157">
        <f>HYPERLINK("https://klasma.github.io/Logging_2321/klagomål/A 58872-2025 FSC-klagomål.docx", "A 58872-2025")</f>
        <v/>
      </c>
      <c r="AB157">
        <f>HYPERLINK("https://klasma.github.io/Logging_2321/klagomålsmail/A 58872-2025 FSC-klagomål mail.docx", "A 58872-2025")</f>
        <v/>
      </c>
      <c r="AC157">
        <f>HYPERLINK("https://klasma.github.io/Logging_2321/tillsyn/A 58872-2025 tillsynsbegäran.docx", "A 58872-2025")</f>
        <v/>
      </c>
      <c r="AD157">
        <f>HYPERLINK("https://klasma.github.io/Logging_2321/tillsynsmail/A 58872-2025 tillsynsbegäran mail.docx", "A 58872-2025")</f>
        <v/>
      </c>
    </row>
    <row r="158" ht="15" customHeight="1">
      <c r="A158" t="inlineStr">
        <is>
          <t>A 48223-2025</t>
        </is>
      </c>
      <c r="B158" t="inlineStr">
        <is>
          <t>avverkningsanmälan</t>
        </is>
      </c>
      <c r="C158" t="inlineStr">
        <is>
          <t>Avverkning för att bevara och utveckla /försöksver</t>
        </is>
      </c>
      <c r="D158" s="1" t="n">
        <v>45931</v>
      </c>
      <c r="E158" s="1" t="n">
        <v>46259</v>
      </c>
      <c r="F158" t="inlineStr">
        <is>
          <t>JÄMTLANDS LÄN</t>
        </is>
      </c>
      <c r="G158" t="inlineStr">
        <is>
          <t>ÅRE</t>
        </is>
      </c>
      <c r="I158" t="n">
        <v>2.1</v>
      </c>
      <c r="J158" t="n">
        <v>1</v>
      </c>
      <c r="K158" t="n">
        <v>0</v>
      </c>
      <c r="L158" t="n">
        <v>0</v>
      </c>
      <c r="M158" t="n">
        <v>1</v>
      </c>
      <c r="N158" t="n">
        <v>0</v>
      </c>
      <c r="O158" t="n">
        <v>0</v>
      </c>
      <c r="P158" t="n">
        <v>0</v>
      </c>
      <c r="Q158" t="n">
        <v>1</v>
      </c>
      <c r="R158" t="n">
        <v>1</v>
      </c>
      <c r="S158" t="n">
        <v>1</v>
      </c>
      <c r="T158" t="n">
        <v>1</v>
      </c>
      <c r="U158" t="n">
        <v>0</v>
      </c>
      <c r="V158" s="2" t="inlineStr">
        <is>
          <t>Knärot</t>
        </is>
      </c>
      <c r="W158">
        <f>HYPERLINK("https://klasma.github.io/Logging_2321/artfynd/A 48223-2025 artfynd.xlsx", "A 48223-2025")</f>
        <v/>
      </c>
      <c r="X158">
        <f>HYPERLINK("https://klasma.github.io/Logging_2321/kartor/A 48223-2025 karta.png", "A 48223-2025")</f>
        <v/>
      </c>
      <c r="Y158">
        <f>HYPERLINK("https://klasma.github.io/Logging_2321/kartor_geotiff/A 48223-2025 georefererad karta.tif", "A 48223-2025")</f>
        <v/>
      </c>
      <c r="Z158">
        <f>HYPERLINK("https://klasma.github.io/Logging_2321/knärot/A 48223-2025 karta knärot.png", "A 48223-2025")</f>
        <v/>
      </c>
      <c r="AA158">
        <f>HYPERLINK("https://klasma.github.io/Logging_2321/klagomål/A 48223-2025 FSC-klagomål.docx", "A 48223-2025")</f>
        <v/>
      </c>
      <c r="AB158">
        <f>HYPERLINK("https://klasma.github.io/Logging_2321/klagomålsmail/A 48223-2025 FSC-klagomål mail.docx", "A 48223-2025")</f>
        <v/>
      </c>
      <c r="AC158">
        <f>HYPERLINK("https://klasma.github.io/Logging_2321/tillsyn/A 48223-2025 tillsynsbegäran.docx", "A 48223-2025")</f>
        <v/>
      </c>
      <c r="AD158">
        <f>HYPERLINK("https://klasma.github.io/Logging_2321/tillsynsmail/A 48223-2025 tillsynsbegäran mail.docx", "A 48223-2025")</f>
        <v/>
      </c>
    </row>
    <row r="159" ht="15" customHeight="1">
      <c r="A159" t="inlineStr">
        <is>
          <t>A 61471-2023</t>
        </is>
      </c>
      <c r="B159" t="inlineStr">
        <is>
          <t>avverkningsanmälan</t>
        </is>
      </c>
      <c r="C159" t="inlineStr">
        <is>
          <t>Föryngringsavverkning</t>
        </is>
      </c>
      <c r="D159" s="1" t="n">
        <v>45264</v>
      </c>
      <c r="E159" s="1" t="n">
        <v>46259</v>
      </c>
      <c r="F159" t="inlineStr">
        <is>
          <t>JÄMTLANDS LÄN</t>
        </is>
      </c>
      <c r="G159" t="inlineStr">
        <is>
          <t>ÅRE</t>
        </is>
      </c>
      <c r="I159" t="n">
        <v>1</v>
      </c>
      <c r="J159" t="n">
        <v>0</v>
      </c>
      <c r="K159" t="n">
        <v>0</v>
      </c>
      <c r="L159" t="n">
        <v>1</v>
      </c>
      <c r="M159" t="n">
        <v>0</v>
      </c>
      <c r="N159" t="n">
        <v>0</v>
      </c>
      <c r="O159" t="n">
        <v>0</v>
      </c>
      <c r="P159" t="n">
        <v>0</v>
      </c>
      <c r="Q159" t="n">
        <v>1</v>
      </c>
      <c r="R159" t="n">
        <v>0</v>
      </c>
      <c r="S159" t="n">
        <v>1</v>
      </c>
      <c r="T159" t="n">
        <v>2</v>
      </c>
      <c r="U159" t="n">
        <v>0</v>
      </c>
      <c r="V159" s="2" t="inlineStr">
        <is>
          <t>Skrovellav</t>
        </is>
      </c>
      <c r="W159">
        <f>HYPERLINK("https://klasma.github.io/Logging_2321/artfynd/A 61471-2023 artfynd.xlsx", "A 61471-2023")</f>
        <v/>
      </c>
      <c r="X159">
        <f>HYPERLINK("https://klasma.github.io/Logging_2321/kartor/A 61471-2023 karta.png", "A 61471-2023")</f>
        <v/>
      </c>
      <c r="Y159">
        <f>HYPERLINK("https://klasma.github.io/Logging_2321/kartor_geotiff/A 61471-2023 georefererad karta.tif", "A 61471-2023")</f>
        <v/>
      </c>
      <c r="AA159">
        <f>HYPERLINK("https://klasma.github.io/Logging_2321/klagomål/A 61471-2023 FSC-klagomål.docx", "A 61471-2023")</f>
        <v/>
      </c>
      <c r="AB159">
        <f>HYPERLINK("https://klasma.github.io/Logging_2321/klagomålsmail/A 61471-2023 FSC-klagomål mail.docx", "A 61471-2023")</f>
        <v/>
      </c>
      <c r="AC159">
        <f>HYPERLINK("https://klasma.github.io/Logging_2321/tillsyn/A 61471-2023 tillsynsbegäran.docx", "A 61471-2023")</f>
        <v/>
      </c>
      <c r="AD159">
        <f>HYPERLINK("https://klasma.github.io/Logging_2321/tillsynsmail/A 61471-2023 tillsynsbegäran mail.docx", "A 61471-2023")</f>
        <v/>
      </c>
    </row>
    <row r="160" ht="15" customHeight="1">
      <c r="A160" t="inlineStr">
        <is>
          <t>A 63225-2025</t>
        </is>
      </c>
      <c r="B160" t="inlineStr">
        <is>
          <t>avverkningsanmälan</t>
        </is>
      </c>
      <c r="C160" t="inlineStr">
        <is>
          <t>Föryngringsavverkning</t>
        </is>
      </c>
      <c r="D160" s="1" t="n">
        <v>46010</v>
      </c>
      <c r="E160" s="1" t="n">
        <v>46259</v>
      </c>
      <c r="F160" t="inlineStr">
        <is>
          <t>JÄMTLANDS LÄN</t>
        </is>
      </c>
      <c r="G160" t="inlineStr">
        <is>
          <t>ÅRE</t>
        </is>
      </c>
      <c r="H160" t="inlineStr">
        <is>
          <t>Övriga Aktiebolag</t>
        </is>
      </c>
      <c r="I160" t="n">
        <v>12.1</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HYPERLINK("https://klasma.github.io/Logging_2321/artfynd/A 63225-2025 artfynd.xlsx", "A 63225-2025")</f>
        <v/>
      </c>
      <c r="X160">
        <f>HYPERLINK("https://klasma.github.io/Logging_2321/kartor/A 63225-2025 karta.png", "A 63225-2025")</f>
        <v/>
      </c>
      <c r="Y160">
        <f>HYPERLINK("https://klasma.github.io/Logging_2321/kartor_geotiff/A 63225-2025 georefererad karta.tif", "A 63225-2025")</f>
        <v/>
      </c>
      <c r="AA160">
        <f>HYPERLINK("https://klasma.github.io/Logging_2321/klagomål/A 63225-2025 FSC-klagomål.docx", "A 63225-2025")</f>
        <v/>
      </c>
      <c r="AB160">
        <f>HYPERLINK("https://klasma.github.io/Logging_2321/klagomålsmail/A 63225-2025 FSC-klagomål mail.docx", "A 63225-2025")</f>
        <v/>
      </c>
      <c r="AC160">
        <f>HYPERLINK("https://klasma.github.io/Logging_2321/tillsyn/A 63225-2025 tillsynsbegäran.docx", "A 63225-2025")</f>
        <v/>
      </c>
      <c r="AD160">
        <f>HYPERLINK("https://klasma.github.io/Logging_2321/tillsynsmail/A 63225-2025 tillsynsbegäran mail.docx", "A 63225-2025")</f>
        <v/>
      </c>
    </row>
    <row r="161" ht="15" customHeight="1">
      <c r="A161" t="inlineStr">
        <is>
          <t>A 6141-2026</t>
        </is>
      </c>
      <c r="B161" t="inlineStr">
        <is>
          <t>avverkningsanmälan</t>
        </is>
      </c>
      <c r="C161" t="inlineStr">
        <is>
          <t>Föryngringsavverkning</t>
        </is>
      </c>
      <c r="D161" s="1" t="n">
        <v>46054</v>
      </c>
      <c r="E161" s="1" t="n">
        <v>46259</v>
      </c>
      <c r="F161" t="inlineStr">
        <is>
          <t>JÄMTLANDS LÄN</t>
        </is>
      </c>
      <c r="G161" t="inlineStr">
        <is>
          <t>ÅRE</t>
        </is>
      </c>
      <c r="I161" t="n">
        <v>3</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6141-2026 artfynd.xlsx", "A 6141-2026")</f>
        <v/>
      </c>
      <c r="X161">
        <f>HYPERLINK("https://klasma.github.io/Logging_2321/kartor/A 6141-2026 karta.png", "A 6141-2026")</f>
        <v/>
      </c>
      <c r="Y161">
        <f>HYPERLINK("https://klasma.github.io/Logging_2321/kartor_geotiff/A 6141-2026 georefererad karta.tif", "A 6141-2026")</f>
        <v/>
      </c>
      <c r="AA161">
        <f>HYPERLINK("https://klasma.github.io/Logging_2321/klagomål/A 6141-2026 FSC-klagomål.docx", "A 6141-2026")</f>
        <v/>
      </c>
      <c r="AB161">
        <f>HYPERLINK("https://klasma.github.io/Logging_2321/klagomålsmail/A 6141-2026 FSC-klagomål mail.docx", "A 6141-2026")</f>
        <v/>
      </c>
      <c r="AC161">
        <f>HYPERLINK("https://klasma.github.io/Logging_2321/tillsyn/A 6141-2026 tillsynsbegäran.docx", "A 6141-2026")</f>
        <v/>
      </c>
      <c r="AD161">
        <f>HYPERLINK("https://klasma.github.io/Logging_2321/tillsynsmail/A 6141-2026 tillsynsbegäran mail.docx", "A 6141-2026")</f>
        <v/>
      </c>
      <c r="AE161">
        <f>HYPERLINK("https://klasma.github.io/Logging_2321/fåglar/A 6141-2026 prioriterade fågelarter.docx", "A 6141-2026")</f>
        <v/>
      </c>
    </row>
    <row r="162" ht="15" customHeight="1">
      <c r="A162" t="inlineStr">
        <is>
          <t>A 29239-2026</t>
        </is>
      </c>
      <c r="B162" t="inlineStr">
        <is>
          <t>avverkningsanmälan</t>
        </is>
      </c>
      <c r="C162" t="inlineStr">
        <is>
          <t>Avverkning för annat ändamål</t>
        </is>
      </c>
      <c r="D162" s="1" t="n">
        <v>46202</v>
      </c>
      <c r="E162" s="1" t="n">
        <v>46259</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6628-2026</t>
        </is>
      </c>
      <c r="B163" t="inlineStr">
        <is>
          <t>avverkningsanmälan</t>
        </is>
      </c>
      <c r="C163" t="inlineStr">
        <is>
          <t>Föryngringsavverkning</t>
        </is>
      </c>
      <c r="D163" s="1" t="n">
        <v>46056</v>
      </c>
      <c r="E163" s="1" t="n">
        <v>46259</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HYPERLINK("https://klasma.github.io/Logging_2321/artfynd/A 6628-2026 artfynd.xlsx", "A 6628-2026")</f>
        <v/>
      </c>
      <c r="X163">
        <f>HYPERLINK("https://klasma.github.io/Logging_2321/kartor/A 6628-2026 karta.png", "A 6628-2026")</f>
        <v/>
      </c>
      <c r="Y163">
        <f>HYPERLINK("https://klasma.github.io/Logging_2321/kartor_geotiff/A 6628-2026 georefererad karta.tif", "A 6628-2026")</f>
        <v/>
      </c>
      <c r="AA163">
        <f>HYPERLINK("https://klasma.github.io/Logging_2321/klagomål/A 6628-2026 FSC-klagomål.docx", "A 6628-2026")</f>
        <v/>
      </c>
      <c r="AB163">
        <f>HYPERLINK("https://klasma.github.io/Logging_2321/klagomålsmail/A 6628-2026 FSC-klagomål mail.docx", "A 6628-2026")</f>
        <v/>
      </c>
      <c r="AC163">
        <f>HYPERLINK("https://klasma.github.io/Logging_2321/tillsyn/A 6628-2026 tillsynsbegäran.docx", "A 6628-2026")</f>
        <v/>
      </c>
      <c r="AD163">
        <f>HYPERLINK("https://klasma.github.io/Logging_2321/tillsynsmail/A 6628-2026 tillsynsbegäran mail.docx", "A 6628-2026")</f>
        <v/>
      </c>
    </row>
    <row r="164" ht="15" customHeight="1">
      <c r="A164" t="inlineStr">
        <is>
          <t>A 4754-2026</t>
        </is>
      </c>
      <c r="B164" t="inlineStr">
        <is>
          <t>avverkningsanmälan</t>
        </is>
      </c>
      <c r="C164" t="inlineStr">
        <is>
          <t>Föryngringsavverkning</t>
        </is>
      </c>
      <c r="D164" s="1" t="n">
        <v>46048</v>
      </c>
      <c r="E164" s="1" t="n">
        <v>46259</v>
      </c>
      <c r="F164" t="inlineStr">
        <is>
          <t>JÄMTLANDS LÄN</t>
        </is>
      </c>
      <c r="G164" t="inlineStr">
        <is>
          <t>ÅRE</t>
        </is>
      </c>
      <c r="I164" t="n">
        <v>8.9</v>
      </c>
      <c r="J164" t="n">
        <v>1</v>
      </c>
      <c r="K164" t="n">
        <v>0</v>
      </c>
      <c r="L164" t="n">
        <v>1</v>
      </c>
      <c r="M164" t="n">
        <v>0</v>
      </c>
      <c r="N164" t="n">
        <v>0</v>
      </c>
      <c r="O164" t="n">
        <v>0</v>
      </c>
      <c r="P164" t="n">
        <v>0</v>
      </c>
      <c r="Q164" t="n">
        <v>1</v>
      </c>
      <c r="R164" t="n">
        <v>0</v>
      </c>
      <c r="S164" t="n">
        <v>1</v>
      </c>
      <c r="T164" t="n">
        <v>1</v>
      </c>
      <c r="U164" t="n">
        <v>0</v>
      </c>
      <c r="V164" s="2" t="inlineStr">
        <is>
          <t>Lavskrika</t>
        </is>
      </c>
      <c r="W164">
        <f>HYPERLINK("https://klasma.github.io/Logging_2321/artfynd/A 4754-2026 artfynd.xlsx", "A 4754-2026")</f>
        <v/>
      </c>
      <c r="X164">
        <f>HYPERLINK("https://klasma.github.io/Logging_2321/kartor/A 4754-2026 karta.png", "A 4754-2026")</f>
        <v/>
      </c>
      <c r="Y164">
        <f>HYPERLINK("https://klasma.github.io/Logging_2321/kartor_geotiff/A 4754-2026 georefererad karta.tif", "A 4754-2026")</f>
        <v/>
      </c>
      <c r="AA164">
        <f>HYPERLINK("https://klasma.github.io/Logging_2321/klagomål/A 4754-2026 FSC-klagomål.docx", "A 4754-2026")</f>
        <v/>
      </c>
      <c r="AB164">
        <f>HYPERLINK("https://klasma.github.io/Logging_2321/klagomålsmail/A 4754-2026 FSC-klagomål mail.docx", "A 4754-2026")</f>
        <v/>
      </c>
      <c r="AC164">
        <f>HYPERLINK("https://klasma.github.io/Logging_2321/tillsyn/A 4754-2026 tillsynsbegäran.docx", "A 4754-2026")</f>
        <v/>
      </c>
      <c r="AD164">
        <f>HYPERLINK("https://klasma.github.io/Logging_2321/tillsynsmail/A 4754-2026 tillsynsbegäran mail.docx", "A 4754-2026")</f>
        <v/>
      </c>
      <c r="AE164">
        <f>HYPERLINK("https://klasma.github.io/Logging_2321/fåglar/A 4754-2026 prioriterade fågelarter.docx", "A 4754-2026")</f>
        <v/>
      </c>
    </row>
    <row r="165" ht="15" customHeight="1">
      <c r="A165" t="inlineStr">
        <is>
          <t>A 15909-2025</t>
        </is>
      </c>
      <c r="B165" t="inlineStr">
        <is>
          <t>avverkningsanmälan</t>
        </is>
      </c>
      <c r="C165" t="inlineStr">
        <is>
          <t>Föryngringsavverkning</t>
        </is>
      </c>
      <c r="D165" s="1" t="n">
        <v>45749</v>
      </c>
      <c r="E165" s="1" t="n">
        <v>46259</v>
      </c>
      <c r="F165" t="inlineStr">
        <is>
          <t>JÄMTLANDS LÄN</t>
        </is>
      </c>
      <c r="G165" t="inlineStr">
        <is>
          <t>ÅRE</t>
        </is>
      </c>
      <c r="I165" t="n">
        <v>23.8</v>
      </c>
      <c r="J165" t="n">
        <v>0</v>
      </c>
      <c r="K165" t="n">
        <v>0</v>
      </c>
      <c r="L165" t="n">
        <v>0</v>
      </c>
      <c r="M165" t="n">
        <v>1</v>
      </c>
      <c r="N165" t="n">
        <v>0</v>
      </c>
      <c r="O165" t="n">
        <v>0</v>
      </c>
      <c r="P165" t="n">
        <v>0</v>
      </c>
      <c r="Q165" t="n">
        <v>1</v>
      </c>
      <c r="R165" t="n">
        <v>1</v>
      </c>
      <c r="S165" t="n">
        <v>1</v>
      </c>
      <c r="T165" t="n">
        <v>1</v>
      </c>
      <c r="U165" t="n">
        <v>1</v>
      </c>
      <c r="V165" s="2" t="inlineStr">
        <is>
          <t>Garnlav</t>
        </is>
      </c>
      <c r="W165">
        <f>HYPERLINK("https://klasma.github.io/Logging_2321/artfynd/A 15909-2025 artfynd.xlsx", "A 15909-2025")</f>
        <v/>
      </c>
      <c r="X165">
        <f>HYPERLINK("https://klasma.github.io/Logging_2321/kartor/A 15909-2025 karta.png", "A 15909-2025")</f>
        <v/>
      </c>
      <c r="Y165">
        <f>HYPERLINK("https://klasma.github.io/Logging_2321/kartor_geotiff/A 15909-2025 georefererad karta.tif", "A 15909-2025")</f>
        <v/>
      </c>
      <c r="AA165">
        <f>HYPERLINK("https://klasma.github.io/Logging_2321/klagomål/A 15909-2025 FSC-klagomål.docx", "A 15909-2025")</f>
        <v/>
      </c>
      <c r="AB165">
        <f>HYPERLINK("https://klasma.github.io/Logging_2321/klagomålsmail/A 15909-2025 FSC-klagomål mail.docx", "A 15909-2025")</f>
        <v/>
      </c>
      <c r="AC165">
        <f>HYPERLINK("https://klasma.github.io/Logging_2321/tillsyn/A 15909-2025 tillsynsbegäran.docx", "A 15909-2025")</f>
        <v/>
      </c>
      <c r="AD165">
        <f>HYPERLINK("https://klasma.github.io/Logging_2321/tillsynsmail/A 15909-2025 tillsynsbegäran mail.docx", "A 15909-2025")</f>
        <v/>
      </c>
    </row>
    <row r="166" ht="15" customHeight="1">
      <c r="A166" t="inlineStr">
        <is>
          <t>A 5888-2026</t>
        </is>
      </c>
      <c r="B166" t="inlineStr">
        <is>
          <t>avverkningsanmälan</t>
        </is>
      </c>
      <c r="C166" t="inlineStr">
        <is>
          <t>Föryngringsavverkning</t>
        </is>
      </c>
      <c r="D166" s="1" t="n">
        <v>46052</v>
      </c>
      <c r="E166" s="1" t="n">
        <v>46259</v>
      </c>
      <c r="F166" t="inlineStr">
        <is>
          <t>JÄMTLANDS LÄN</t>
        </is>
      </c>
      <c r="G166" t="inlineStr">
        <is>
          <t>ÅRE</t>
        </is>
      </c>
      <c r="I166" t="n">
        <v>2.4</v>
      </c>
      <c r="J166" t="n">
        <v>0</v>
      </c>
      <c r="K166" t="n">
        <v>0</v>
      </c>
      <c r="L166" t="n">
        <v>1</v>
      </c>
      <c r="M166" t="n">
        <v>0</v>
      </c>
      <c r="N166" t="n">
        <v>0</v>
      </c>
      <c r="O166" t="n">
        <v>0</v>
      </c>
      <c r="P166" t="n">
        <v>0</v>
      </c>
      <c r="Q166" t="n">
        <v>1</v>
      </c>
      <c r="R166" t="n">
        <v>0</v>
      </c>
      <c r="S166" t="n">
        <v>1</v>
      </c>
      <c r="T166" t="n">
        <v>1</v>
      </c>
      <c r="U166" t="n">
        <v>0</v>
      </c>
      <c r="V166" s="2" t="inlineStr">
        <is>
          <t>Harticka</t>
        </is>
      </c>
      <c r="W166">
        <f>HYPERLINK("https://klasma.github.io/Logging_2321/artfynd/A 5888-2026 artfynd.xlsx", "A 5888-2026")</f>
        <v/>
      </c>
      <c r="X166">
        <f>HYPERLINK("https://klasma.github.io/Logging_2321/kartor/A 5888-2026 karta.png", "A 5888-2026")</f>
        <v/>
      </c>
      <c r="Y166">
        <f>HYPERLINK("https://klasma.github.io/Logging_2321/kartor_geotiff/A 5888-2026 georefererad karta.tif", "A 5888-2026")</f>
        <v/>
      </c>
      <c r="AA166">
        <f>HYPERLINK("https://klasma.github.io/Logging_2321/klagomål/A 5888-2026 FSC-klagomål.docx", "A 5888-2026")</f>
        <v/>
      </c>
      <c r="AB166">
        <f>HYPERLINK("https://klasma.github.io/Logging_2321/klagomålsmail/A 5888-2026 FSC-klagomål mail.docx", "A 5888-2026")</f>
        <v/>
      </c>
      <c r="AC166">
        <f>HYPERLINK("https://klasma.github.io/Logging_2321/tillsyn/A 5888-2026 tillsynsbegäran.docx", "A 5888-2026")</f>
        <v/>
      </c>
      <c r="AD166">
        <f>HYPERLINK("https://klasma.github.io/Logging_2321/tillsynsmail/A 5888-2026 tillsynsbegäran mail.docx", "A 5888-2026")</f>
        <v/>
      </c>
    </row>
    <row r="167" ht="15" customHeight="1">
      <c r="A167" t="inlineStr">
        <is>
          <t>A 1112-2025</t>
        </is>
      </c>
      <c r="B167" t="inlineStr">
        <is>
          <t>avverkningsanmälan</t>
        </is>
      </c>
      <c r="C167" t="inlineStr">
        <is>
          <t>Föryngringsavverkning</t>
        </is>
      </c>
      <c r="D167" s="1" t="n">
        <v>45666</v>
      </c>
      <c r="E167" s="1" t="n">
        <v>46259</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7854-2026</t>
        </is>
      </c>
      <c r="B168" t="inlineStr">
        <is>
          <t>avverkningsanmälan</t>
        </is>
      </c>
      <c r="C168" t="inlineStr">
        <is>
          <t>Föryngringsavverkning</t>
        </is>
      </c>
      <c r="D168" s="1" t="n">
        <v>46062</v>
      </c>
      <c r="E168" s="1" t="n">
        <v>46259</v>
      </c>
      <c r="F168" t="inlineStr">
        <is>
          <t>JÄMTLANDS LÄN</t>
        </is>
      </c>
      <c r="G168" t="inlineStr">
        <is>
          <t>ÅRE</t>
        </is>
      </c>
      <c r="I168" t="n">
        <v>6.5</v>
      </c>
      <c r="J168" t="n">
        <v>1</v>
      </c>
      <c r="K168" t="n">
        <v>0</v>
      </c>
      <c r="L168" t="n">
        <v>1</v>
      </c>
      <c r="M168" t="n">
        <v>0</v>
      </c>
      <c r="N168" t="n">
        <v>0</v>
      </c>
      <c r="O168" t="n">
        <v>0</v>
      </c>
      <c r="P168" t="n">
        <v>0</v>
      </c>
      <c r="Q168" t="n">
        <v>1</v>
      </c>
      <c r="R168" t="n">
        <v>0</v>
      </c>
      <c r="S168" t="n">
        <v>1</v>
      </c>
      <c r="T168" t="n">
        <v>3</v>
      </c>
      <c r="U168" t="n">
        <v>0</v>
      </c>
      <c r="V168" s="2" t="inlineStr">
        <is>
          <t>Tretåig hackspett</t>
        </is>
      </c>
      <c r="W168">
        <f>HYPERLINK("https://klasma.github.io/Logging_2321/artfynd/A 7854-2026 artfynd.xlsx", "A 7854-2026")</f>
        <v/>
      </c>
      <c r="X168">
        <f>HYPERLINK("https://klasma.github.io/Logging_2321/kartor/A 7854-2026 karta.png", "A 7854-2026")</f>
        <v/>
      </c>
      <c r="Y168">
        <f>HYPERLINK("https://klasma.github.io/Logging_2321/kartor_geotiff/A 7854-2026 georefererad karta.tif", "A 7854-2026")</f>
        <v/>
      </c>
      <c r="AA168">
        <f>HYPERLINK("https://klasma.github.io/Logging_2321/klagomål/A 7854-2026 FSC-klagomål.docx", "A 7854-2026")</f>
        <v/>
      </c>
      <c r="AB168">
        <f>HYPERLINK("https://klasma.github.io/Logging_2321/klagomålsmail/A 7854-2026 FSC-klagomål mail.docx", "A 7854-2026")</f>
        <v/>
      </c>
      <c r="AC168">
        <f>HYPERLINK("https://klasma.github.io/Logging_2321/tillsyn/A 7854-2026 tillsynsbegäran.docx", "A 7854-2026")</f>
        <v/>
      </c>
      <c r="AD168">
        <f>HYPERLINK("https://klasma.github.io/Logging_2321/tillsynsmail/A 7854-2026 tillsynsbegäran mail.docx", "A 7854-2026")</f>
        <v/>
      </c>
      <c r="AE168">
        <f>HYPERLINK("https://klasma.github.io/Logging_2321/fåglar/A 7854-2026 prioriterade fågelarter.docx", "A 7854-2026")</f>
        <v/>
      </c>
    </row>
    <row r="169" ht="15" customHeight="1">
      <c r="A169" t="inlineStr">
        <is>
          <t>A 30032-2024</t>
        </is>
      </c>
      <c r="B169" t="inlineStr">
        <is>
          <t>avverkningsanmälan</t>
        </is>
      </c>
      <c r="C169" t="inlineStr">
        <is>
          <t>Föryngringsavverkning</t>
        </is>
      </c>
      <c r="D169" s="1" t="n">
        <v>45485</v>
      </c>
      <c r="E169" s="1" t="n">
        <v>46259</v>
      </c>
      <c r="F169" t="inlineStr">
        <is>
          <t>JÄMTLANDS LÄN</t>
        </is>
      </c>
      <c r="G169" t="inlineStr">
        <is>
          <t>ÅRE</t>
        </is>
      </c>
      <c r="I169" t="n">
        <v>20.5</v>
      </c>
      <c r="J169" t="n">
        <v>1</v>
      </c>
      <c r="K169" t="n">
        <v>1</v>
      </c>
      <c r="L169" t="n">
        <v>0</v>
      </c>
      <c r="M169" t="n">
        <v>0</v>
      </c>
      <c r="N169" t="n">
        <v>0</v>
      </c>
      <c r="O169" t="n">
        <v>0</v>
      </c>
      <c r="P169" t="n">
        <v>0</v>
      </c>
      <c r="Q169" t="n">
        <v>0</v>
      </c>
      <c r="R169" t="n">
        <v>0</v>
      </c>
      <c r="S169" t="n">
        <v>1</v>
      </c>
      <c r="T169" t="n">
        <v>1</v>
      </c>
      <c r="U169" t="n">
        <v>0</v>
      </c>
      <c r="V169" s="2" t="inlineStr">
        <is>
          <t>Spindelblomster</t>
        </is>
      </c>
      <c r="W169">
        <f>HYPERLINK("https://klasma.github.io/Logging_2321/artfynd/A 30032-2024 artfynd.xlsx", "A 30032-2024")</f>
        <v/>
      </c>
      <c r="X169">
        <f>HYPERLINK("https://klasma.github.io/Logging_2321/kartor/A 30032-2024 karta.png", "A 30032-2024")</f>
        <v/>
      </c>
      <c r="Y169">
        <f>HYPERLINK("https://klasma.github.io/Logging_2321/kartor_geotiff/A 30032-2024 georefererad karta.tif", "A 30032-2024")</f>
        <v/>
      </c>
      <c r="AA169">
        <f>HYPERLINK("https://klasma.github.io/Logging_2321/klagomål/A 30032-2024 FSC-klagomål.docx", "A 30032-2024")</f>
        <v/>
      </c>
      <c r="AB169">
        <f>HYPERLINK("https://klasma.github.io/Logging_2321/klagomålsmail/A 30032-2024 FSC-klagomål mail.docx", "A 30032-2024")</f>
        <v/>
      </c>
      <c r="AC169">
        <f>HYPERLINK("https://klasma.github.io/Logging_2321/tillsyn/A 30032-2024 tillsynsbegäran.docx", "A 30032-2024")</f>
        <v/>
      </c>
      <c r="AD169">
        <f>HYPERLINK("https://klasma.github.io/Logging_2321/tillsynsmail/A 30032-2024 tillsynsbegäran mail.docx", "A 30032-2024")</f>
        <v/>
      </c>
    </row>
    <row r="170" ht="15" customHeight="1">
      <c r="A170" t="inlineStr">
        <is>
          <t>A 17260-2026</t>
        </is>
      </c>
      <c r="B170" t="inlineStr">
        <is>
          <t>avverkningsanmälan</t>
        </is>
      </c>
      <c r="C170" t="inlineStr">
        <is>
          <t>Föryngringsavverkning</t>
        </is>
      </c>
      <c r="D170" s="1" t="n">
        <v>46119</v>
      </c>
      <c r="E170" s="1" t="n">
        <v>46259</v>
      </c>
      <c r="F170" t="inlineStr">
        <is>
          <t>JÄMTLANDS LÄN</t>
        </is>
      </c>
      <c r="G170" t="inlineStr">
        <is>
          <t>ÅRE</t>
        </is>
      </c>
      <c r="H170" t="inlineStr">
        <is>
          <t>Övriga Aktiebolag</t>
        </is>
      </c>
      <c r="I170" t="n">
        <v>12.4</v>
      </c>
      <c r="J170" t="n">
        <v>1</v>
      </c>
      <c r="K170" t="n">
        <v>0</v>
      </c>
      <c r="L170" t="n">
        <v>1</v>
      </c>
      <c r="M170" t="n">
        <v>0</v>
      </c>
      <c r="N170" t="n">
        <v>0</v>
      </c>
      <c r="O170" t="n">
        <v>0</v>
      </c>
      <c r="P170" t="n">
        <v>0</v>
      </c>
      <c r="Q170" t="n">
        <v>1</v>
      </c>
      <c r="R170" t="n">
        <v>0</v>
      </c>
      <c r="S170" t="n">
        <v>1</v>
      </c>
      <c r="T170" t="n">
        <v>2</v>
      </c>
      <c r="U170" t="n">
        <v>0</v>
      </c>
      <c r="V170" s="2" t="inlineStr">
        <is>
          <t>Tretåig hackspett</t>
        </is>
      </c>
      <c r="W170">
        <f>HYPERLINK("https://klasma.github.io/Logging_2321/artfynd/A 17260-2026 artfynd.xlsx", "A 17260-2026")</f>
        <v/>
      </c>
      <c r="X170">
        <f>HYPERLINK("https://klasma.github.io/Logging_2321/kartor/A 17260-2026 karta.png", "A 17260-2026")</f>
        <v/>
      </c>
      <c r="Y170">
        <f>HYPERLINK("https://klasma.github.io/Logging_2321/kartor_geotiff/A 17260-2026 georefererad karta.tif", "A 17260-2026")</f>
        <v/>
      </c>
      <c r="AA170">
        <f>HYPERLINK("https://klasma.github.io/Logging_2321/klagomål/A 17260-2026 FSC-klagomål.docx", "A 17260-2026")</f>
        <v/>
      </c>
      <c r="AB170">
        <f>HYPERLINK("https://klasma.github.io/Logging_2321/klagomålsmail/A 17260-2026 FSC-klagomål mail.docx", "A 17260-2026")</f>
        <v/>
      </c>
      <c r="AC170">
        <f>HYPERLINK("https://klasma.github.io/Logging_2321/tillsyn/A 17260-2026 tillsynsbegäran.docx", "A 17260-2026")</f>
        <v/>
      </c>
      <c r="AD170">
        <f>HYPERLINK("https://klasma.github.io/Logging_2321/tillsynsmail/A 17260-2026 tillsynsbegäran mail.docx", "A 17260-2026")</f>
        <v/>
      </c>
      <c r="AE170">
        <f>HYPERLINK("https://klasma.github.io/Logging_2321/fåglar/A 17260-2026 prioriterade fågelarter.docx", "A 17260-2026")</f>
        <v/>
      </c>
    </row>
    <row r="171" ht="15" customHeight="1">
      <c r="A171" t="inlineStr">
        <is>
          <t>A 69801-2021</t>
        </is>
      </c>
      <c r="B171" t="inlineStr">
        <is>
          <t>avverkningsanmälan</t>
        </is>
      </c>
      <c r="C171" t="inlineStr">
        <is>
          <t>Föryngringsavverkning</t>
        </is>
      </c>
      <c r="D171" s="1" t="n">
        <v>44532</v>
      </c>
      <c r="E171" s="1" t="n">
        <v>46259</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46259</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46259</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46259</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46259</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46259</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46259</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46259</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46259</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46259</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46259</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46259</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46259</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46259</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46259</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46259</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46259</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46259</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46259</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46259</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46259</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46259</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56910-2022</t>
        </is>
      </c>
      <c r="B193" t="inlineStr">
        <is>
          <t>avverkningsanmälan</t>
        </is>
      </c>
      <c r="C193" t="inlineStr">
        <is>
          <t>Föryngringsavverkning</t>
        </is>
      </c>
      <c r="D193" s="1" t="n">
        <v>44894</v>
      </c>
      <c r="E193" s="1" t="n">
        <v>46259</v>
      </c>
      <c r="F193" t="inlineStr">
        <is>
          <t>JÄMTLANDS LÄN</t>
        </is>
      </c>
      <c r="G193" t="inlineStr">
        <is>
          <t>ÅRE</t>
        </is>
      </c>
      <c r="H193" t="inlineStr">
        <is>
          <t>Övriga Aktiebolag</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46259</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56976-2023</t>
        </is>
      </c>
      <c r="B195" t="inlineStr">
        <is>
          <t>avverkningsanmälan</t>
        </is>
      </c>
      <c r="C195" t="inlineStr">
        <is>
          <t>Föryngringsavverkning</t>
        </is>
      </c>
      <c r="D195" s="1" t="n">
        <v>45244</v>
      </c>
      <c r="E195" s="1" t="n">
        <v>46259</v>
      </c>
      <c r="F195" t="inlineStr">
        <is>
          <t>JÄMTLANDS LÄN</t>
        </is>
      </c>
      <c r="G195" t="inlineStr">
        <is>
          <t>ÅRE</t>
        </is>
      </c>
      <c r="H195" t="inlineStr">
        <is>
          <t>Övriga Aktiebolag</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25224-2025</t>
        </is>
      </c>
      <c r="B196" t="inlineStr">
        <is>
          <t>avverkningsanmälan</t>
        </is>
      </c>
      <c r="C196" t="inlineStr">
        <is>
          <t>Föryngringsavverkning</t>
        </is>
      </c>
      <c r="D196" s="1" t="n">
        <v>45800</v>
      </c>
      <c r="E196" s="1" t="n">
        <v>46259</v>
      </c>
      <c r="F196" t="inlineStr">
        <is>
          <t>JÄMTLANDS LÄN</t>
        </is>
      </c>
      <c r="G196" t="inlineStr">
        <is>
          <t>ÅRE</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70522-2021</t>
        </is>
      </c>
      <c r="B197" t="inlineStr">
        <is>
          <t>avverkningsanmälan</t>
        </is>
      </c>
      <c r="C197" t="inlineStr">
        <is>
          <t>Föryngringsavverkning</t>
        </is>
      </c>
      <c r="D197" s="1" t="n">
        <v>44536</v>
      </c>
      <c r="E197" s="1" t="n">
        <v>46259</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70523-2021</t>
        </is>
      </c>
      <c r="B198" t="inlineStr">
        <is>
          <t>avverkningsanmälan</t>
        </is>
      </c>
      <c r="C198" t="inlineStr">
        <is>
          <t>Föryngringsavverkning</t>
        </is>
      </c>
      <c r="D198" s="1" t="n">
        <v>44536</v>
      </c>
      <c r="E198" s="1" t="n">
        <v>46259</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45834-2024</t>
        </is>
      </c>
      <c r="B199" t="inlineStr">
        <is>
          <t>avverkningsanmälan</t>
        </is>
      </c>
      <c r="C199" t="inlineStr">
        <is>
          <t>Föryngringsavverkning</t>
        </is>
      </c>
      <c r="D199" s="1" t="n">
        <v>45579</v>
      </c>
      <c r="E199" s="1" t="n">
        <v>46259</v>
      </c>
      <c r="F199" t="inlineStr">
        <is>
          <t>JÄMTLANDS LÄN</t>
        </is>
      </c>
      <c r="G199" t="inlineStr">
        <is>
          <t>ÅRE</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10567-2025</t>
        </is>
      </c>
      <c r="B200" t="inlineStr">
        <is>
          <t>avverkningsanmälan</t>
        </is>
      </c>
      <c r="C200" t="inlineStr">
        <is>
          <t>Föryngringsavverkning</t>
        </is>
      </c>
      <c r="D200" s="1" t="n">
        <v>45714</v>
      </c>
      <c r="E200" s="1" t="n">
        <v>46259</v>
      </c>
      <c r="F200" t="inlineStr">
        <is>
          <t>JÄMTLANDS LÄN</t>
        </is>
      </c>
      <c r="G200" t="inlineStr">
        <is>
          <t>ÅRE</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52470-2022</t>
        </is>
      </c>
      <c r="B201" t="inlineStr">
        <is>
          <t>avverkningsanmälan</t>
        </is>
      </c>
      <c r="C201" t="inlineStr">
        <is>
          <t>Föryngringsavverkning</t>
        </is>
      </c>
      <c r="D201" s="1" t="n">
        <v>44874</v>
      </c>
      <c r="E201" s="1" t="n">
        <v>46259</v>
      </c>
      <c r="F201" t="inlineStr">
        <is>
          <t>JÄMTLANDS LÄN</t>
        </is>
      </c>
      <c r="G201" t="inlineStr">
        <is>
          <t>ÅRE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5651-2023</t>
        </is>
      </c>
      <c r="B202" t="inlineStr">
        <is>
          <t>avverkningsanmälan</t>
        </is>
      </c>
      <c r="C202" t="inlineStr">
        <is>
          <t>Föryngringsavverkning</t>
        </is>
      </c>
      <c r="D202" s="1" t="n">
        <v>44958</v>
      </c>
      <c r="E202" s="1" t="n">
        <v>46259</v>
      </c>
      <c r="F202" t="inlineStr">
        <is>
          <t>JÄMTLANDS LÄN</t>
        </is>
      </c>
      <c r="G202" t="inlineStr">
        <is>
          <t>ÅRE</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3066-2023</t>
        </is>
      </c>
      <c r="B203" t="inlineStr">
        <is>
          <t>avverkningsanmälan</t>
        </is>
      </c>
      <c r="C203" t="inlineStr">
        <is>
          <t>Föryngringsavverkning</t>
        </is>
      </c>
      <c r="D203" s="1" t="n">
        <v>44946</v>
      </c>
      <c r="E203" s="1" t="n">
        <v>46259</v>
      </c>
      <c r="F203" t="inlineStr">
        <is>
          <t>JÄMTLANDS LÄN</t>
        </is>
      </c>
      <c r="G203" t="inlineStr">
        <is>
          <t>ÅRE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3149-2023</t>
        </is>
      </c>
      <c r="B204" t="inlineStr">
        <is>
          <t>avverkningsanmälan</t>
        </is>
      </c>
      <c r="C204" t="inlineStr">
        <is>
          <t>Föryngringsavverkning</t>
        </is>
      </c>
      <c r="D204" s="1" t="n">
        <v>44946</v>
      </c>
      <c r="E204" s="1" t="n">
        <v>46259</v>
      </c>
      <c r="F204" t="inlineStr">
        <is>
          <t>JÄMTLANDS LÄN</t>
        </is>
      </c>
      <c r="G204" t="inlineStr">
        <is>
          <t>ÅRE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54164-2023</t>
        </is>
      </c>
      <c r="B205" t="inlineStr">
        <is>
          <t>avverkningsanmälan</t>
        </is>
      </c>
      <c r="C205" t="inlineStr">
        <is>
          <t>Föryngringsavverkning</t>
        </is>
      </c>
      <c r="D205" s="1" t="n">
        <v>45232</v>
      </c>
      <c r="E205" s="1" t="n">
        <v>46259</v>
      </c>
      <c r="F205" t="inlineStr">
        <is>
          <t>JÄMTLANDS LÄN</t>
        </is>
      </c>
      <c r="G205" t="inlineStr">
        <is>
          <t>ÅRE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39071-2024</t>
        </is>
      </c>
      <c r="B206" t="inlineStr">
        <is>
          <t>avverkningsanmälan</t>
        </is>
      </c>
      <c r="C206" t="inlineStr">
        <is>
          <t>Föryngringsavverkning</t>
        </is>
      </c>
      <c r="D206" s="1" t="n">
        <v>45548</v>
      </c>
      <c r="E206" s="1" t="n">
        <v>46259</v>
      </c>
      <c r="F206" t="inlineStr">
        <is>
          <t>JÄMTLANDS LÄN</t>
        </is>
      </c>
      <c r="G206" t="inlineStr">
        <is>
          <t>ÅRE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8576-2024</t>
        </is>
      </c>
      <c r="B207" t="inlineStr">
        <is>
          <t>avverkningsanmälan</t>
        </is>
      </c>
      <c r="C207" t="inlineStr">
        <is>
          <t>Föryngringsavverkning</t>
        </is>
      </c>
      <c r="D207" s="1" t="n">
        <v>45355</v>
      </c>
      <c r="E207" s="1" t="n">
        <v>46259</v>
      </c>
      <c r="F207" t="inlineStr">
        <is>
          <t>JÄMTLANDS LÄN</t>
        </is>
      </c>
      <c r="G207" t="inlineStr">
        <is>
          <t>ÅRE</t>
        </is>
      </c>
      <c r="I207" t="n">
        <v>21.7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54615-2022</t>
        </is>
      </c>
      <c r="B208" t="inlineStr">
        <is>
          <t>avverkningsanmälan</t>
        </is>
      </c>
      <c r="C208" t="inlineStr">
        <is>
          <t>Föryngringsavverkning</t>
        </is>
      </c>
      <c r="D208" s="1" t="n">
        <v>44883</v>
      </c>
      <c r="E208" s="1" t="n">
        <v>46259</v>
      </c>
      <c r="F208" t="inlineStr">
        <is>
          <t>JÄMTLANDS LÄN</t>
        </is>
      </c>
      <c r="G208" t="inlineStr">
        <is>
          <t>ÅRE</t>
        </is>
      </c>
      <c r="H208" t="inlineStr">
        <is>
          <t>Övriga Aktiebolag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36219-2022</t>
        </is>
      </c>
      <c r="B209" t="inlineStr">
        <is>
          <t>avverkningsanmälan</t>
        </is>
      </c>
      <c r="C209" t="inlineStr">
        <is>
          <t>Avverkning för annat ändamål</t>
        </is>
      </c>
      <c r="D209" s="1" t="n">
        <v>44803</v>
      </c>
      <c r="E209" s="1" t="n">
        <v>46259</v>
      </c>
      <c r="F209" t="inlineStr">
        <is>
          <t>JÄMTLANDS LÄN</t>
        </is>
      </c>
      <c r="G209" t="inlineStr">
        <is>
          <t>ÅRE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33239-2024</t>
        </is>
      </c>
      <c r="B210" t="inlineStr">
        <is>
          <t>avverkningsanmälan</t>
        </is>
      </c>
      <c r="C210" t="inlineStr">
        <is>
          <t>Avverkning för annat ändamål</t>
        </is>
      </c>
      <c r="D210" s="1" t="n">
        <v>45518</v>
      </c>
      <c r="E210" s="1" t="n">
        <v>46259</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54175-2023</t>
        </is>
      </c>
      <c r="B211" t="inlineStr">
        <is>
          <t>avverkningsanmälan</t>
        </is>
      </c>
      <c r="C211" t="inlineStr">
        <is>
          <t>Avverkning för annat ändamål</t>
        </is>
      </c>
      <c r="D211" s="1" t="n">
        <v>45232</v>
      </c>
      <c r="E211" s="1" t="n">
        <v>46259</v>
      </c>
      <c r="F211" t="inlineStr">
        <is>
          <t>JÄMTLANDS LÄN</t>
        </is>
      </c>
      <c r="G211" t="inlineStr">
        <is>
          <t>ÅRE</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49818-2022</t>
        </is>
      </c>
      <c r="B212" t="inlineStr">
        <is>
          <t>avverkningsanmälan</t>
        </is>
      </c>
      <c r="C212" t="inlineStr">
        <is>
          <t>Föryngringsavverkning</t>
        </is>
      </c>
      <c r="D212" s="1" t="n">
        <v>44859</v>
      </c>
      <c r="E212" s="1" t="n">
        <v>46259</v>
      </c>
      <c r="F212" t="inlineStr">
        <is>
          <t>JÄMTLANDS LÄN</t>
        </is>
      </c>
      <c r="G212" t="inlineStr">
        <is>
          <t>ÅRE</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34231-2023</t>
        </is>
      </c>
      <c r="B213" t="inlineStr">
        <is>
          <t>avverkningsanmälan</t>
        </is>
      </c>
      <c r="C213" t="inlineStr">
        <is>
          <t>Föryngringsavverkning</t>
        </is>
      </c>
      <c r="D213" s="1" t="n">
        <v>45127</v>
      </c>
      <c r="E213" s="1" t="n">
        <v>46259</v>
      </c>
      <c r="F213" t="inlineStr">
        <is>
          <t>JÄMTLANDS LÄN</t>
        </is>
      </c>
      <c r="G213" t="inlineStr">
        <is>
          <t>ÅRE</t>
        </is>
      </c>
      <c r="I213" t="n">
        <v>18.3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57710-2021</t>
        </is>
      </c>
      <c r="B214" t="inlineStr">
        <is>
          <t>avverkningsanmälan</t>
        </is>
      </c>
      <c r="C214" t="inlineStr">
        <is>
          <t>Föryngringsavverkning</t>
        </is>
      </c>
      <c r="D214" s="1" t="n">
        <v>44484</v>
      </c>
      <c r="E214" s="1" t="n">
        <v>46259</v>
      </c>
      <c r="F214" t="inlineStr">
        <is>
          <t>JÄMTLANDS LÄN</t>
        </is>
      </c>
      <c r="G214" t="inlineStr">
        <is>
          <t>ÅRE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56576-2022</t>
        </is>
      </c>
      <c r="B215" t="inlineStr">
        <is>
          <t>avverkningsanmälan</t>
        </is>
      </c>
      <c r="C215" t="inlineStr">
        <is>
          <t>Föryngringsavverkning</t>
        </is>
      </c>
      <c r="D215" s="1" t="n">
        <v>44893</v>
      </c>
      <c r="E215" s="1" t="n">
        <v>46259</v>
      </c>
      <c r="F215" t="inlineStr">
        <is>
          <t>JÄMTLANDS LÄN</t>
        </is>
      </c>
      <c r="G215" t="inlineStr">
        <is>
          <t>ÅRE</t>
        </is>
      </c>
      <c r="H215" t="inlineStr">
        <is>
          <t>Övriga Aktiebolag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55944-2022</t>
        </is>
      </c>
      <c r="B216" t="inlineStr">
        <is>
          <t>avverkningsanmälan</t>
        </is>
      </c>
      <c r="C216" t="inlineStr">
        <is>
          <t>Föryngringsavverkning</t>
        </is>
      </c>
      <c r="D216" s="1" t="n">
        <v>44889</v>
      </c>
      <c r="E216" s="1" t="n">
        <v>46259</v>
      </c>
      <c r="F216" t="inlineStr">
        <is>
          <t>JÄMTLANDS LÄN</t>
        </is>
      </c>
      <c r="G216" t="inlineStr">
        <is>
          <t>ÅRE</t>
        </is>
      </c>
      <c r="I216" t="n">
        <v>11.1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15482-2024</t>
        </is>
      </c>
      <c r="B217" t="inlineStr">
        <is>
          <t>avverkningsanmälan</t>
        </is>
      </c>
      <c r="C217" t="inlineStr">
        <is>
          <t>Föryngringsavverkning</t>
        </is>
      </c>
      <c r="D217" s="1" t="n">
        <v>45401</v>
      </c>
      <c r="E217" s="1" t="n">
        <v>46259</v>
      </c>
      <c r="F217" t="inlineStr">
        <is>
          <t>JÄMTLANDS LÄN</t>
        </is>
      </c>
      <c r="G217" t="inlineStr">
        <is>
          <t>ÅRE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53899-2023</t>
        </is>
      </c>
      <c r="B218" t="inlineStr">
        <is>
          <t>avverkningsanmälan</t>
        </is>
      </c>
      <c r="C218" t="inlineStr">
        <is>
          <t>Föryngringsavverkning</t>
        </is>
      </c>
      <c r="D218" s="1" t="n">
        <v>45231</v>
      </c>
      <c r="E218" s="1" t="n">
        <v>46259</v>
      </c>
      <c r="F218" t="inlineStr">
        <is>
          <t>JÄMTLANDS LÄN</t>
        </is>
      </c>
      <c r="G218" t="inlineStr">
        <is>
          <t>ÅRE</t>
        </is>
      </c>
      <c r="I218" t="n">
        <v>20.4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20170-2025</t>
        </is>
      </c>
      <c r="B219" t="inlineStr">
        <is>
          <t>avverkningsanmälan</t>
        </is>
      </c>
      <c r="C219" t="inlineStr">
        <is>
          <t>Avverkning för annat ändamål</t>
        </is>
      </c>
      <c r="D219" s="1" t="n">
        <v>45772</v>
      </c>
      <c r="E219" s="1" t="n">
        <v>46259</v>
      </c>
      <c r="F219" t="inlineStr">
        <is>
          <t>JÄMTLANDS LÄN</t>
        </is>
      </c>
      <c r="G219" t="inlineStr">
        <is>
          <t>ÅRE</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34538-2023</t>
        </is>
      </c>
      <c r="B220" t="inlineStr">
        <is>
          <t>avverkningsanmälan</t>
        </is>
      </c>
      <c r="C220" t="inlineStr">
        <is>
          <t>Föryngringsavverkning</t>
        </is>
      </c>
      <c r="D220" s="1" t="n">
        <v>45134</v>
      </c>
      <c r="E220" s="1" t="n">
        <v>46259</v>
      </c>
      <c r="F220" t="inlineStr">
        <is>
          <t>JÄMTLANDS LÄN</t>
        </is>
      </c>
      <c r="G220" t="inlineStr">
        <is>
          <t>ÅRE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58889-2022</t>
        </is>
      </c>
      <c r="B221" t="inlineStr">
        <is>
          <t>avverkningsanmälan</t>
        </is>
      </c>
      <c r="C221" t="inlineStr">
        <is>
          <t>Föryngringsavverkning</t>
        </is>
      </c>
      <c r="D221" s="1" t="n">
        <v>44896</v>
      </c>
      <c r="E221" s="1" t="n">
        <v>46259</v>
      </c>
      <c r="F221" t="inlineStr">
        <is>
          <t>JÄMTLANDS LÄN</t>
        </is>
      </c>
      <c r="G221" t="inlineStr">
        <is>
          <t>ÅRE</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69170-2021</t>
        </is>
      </c>
      <c r="B222" t="inlineStr">
        <is>
          <t>avverkningsanmälan</t>
        </is>
      </c>
      <c r="C222" t="inlineStr">
        <is>
          <t>Föryngringsavverkning</t>
        </is>
      </c>
      <c r="D222" s="1" t="n">
        <v>44529</v>
      </c>
      <c r="E222" s="1" t="n">
        <v>46259</v>
      </c>
      <c r="F222" t="inlineStr">
        <is>
          <t>JÄMTLANDS LÄN</t>
        </is>
      </c>
      <c r="G222" t="inlineStr">
        <is>
          <t>ÅRE</t>
        </is>
      </c>
      <c r="I222" t="n">
        <v>114.4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61815-2021</t>
        </is>
      </c>
      <c r="B223" t="inlineStr">
        <is>
          <t>avverkningsanmälan</t>
        </is>
      </c>
      <c r="C223" t="inlineStr">
        <is>
          <t>Föryngringsavverkning</t>
        </is>
      </c>
      <c r="D223" s="1" t="n">
        <v>44498</v>
      </c>
      <c r="E223" s="1" t="n">
        <v>46259</v>
      </c>
      <c r="F223" t="inlineStr">
        <is>
          <t>JÄMTLANDS LÄN</t>
        </is>
      </c>
      <c r="G223" t="inlineStr">
        <is>
          <t>ÅRE</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30263-2023</t>
        </is>
      </c>
      <c r="B224" t="inlineStr">
        <is>
          <t>avverkningsanmälan</t>
        </is>
      </c>
      <c r="C224" t="inlineStr">
        <is>
          <t>Föryngringsavverkning</t>
        </is>
      </c>
      <c r="D224" s="1" t="n">
        <v>45099</v>
      </c>
      <c r="E224" s="1" t="n">
        <v>46259</v>
      </c>
      <c r="F224" t="inlineStr">
        <is>
          <t>JÄMTLANDS LÄN</t>
        </is>
      </c>
      <c r="G224" t="inlineStr">
        <is>
          <t>ÅRE</t>
        </is>
      </c>
      <c r="I224" t="n">
        <v>15.9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59387-2022</t>
        </is>
      </c>
      <c r="B225" t="inlineStr">
        <is>
          <t>avverkningsanmälan</t>
        </is>
      </c>
      <c r="C225" t="inlineStr">
        <is>
          <t>Avverkning för annat ändamål</t>
        </is>
      </c>
      <c r="D225" s="1" t="n">
        <v>44905</v>
      </c>
      <c r="E225" s="1" t="n">
        <v>46259</v>
      </c>
      <c r="F225" t="inlineStr">
        <is>
          <t>JÄMTLANDS LÄN</t>
        </is>
      </c>
      <c r="G225" t="inlineStr">
        <is>
          <t>ÅRE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59968-2023</t>
        </is>
      </c>
      <c r="B226" t="inlineStr">
        <is>
          <t>avverkningsanmälan</t>
        </is>
      </c>
      <c r="C226" t="inlineStr">
        <is>
          <t>Föryngringsavverkning</t>
        </is>
      </c>
      <c r="D226" s="1" t="n">
        <v>45254</v>
      </c>
      <c r="E226" s="1" t="n">
        <v>46259</v>
      </c>
      <c r="F226" t="inlineStr">
        <is>
          <t>JÄMTLANDS LÄN</t>
        </is>
      </c>
      <c r="G226" t="inlineStr">
        <is>
          <t>ÅRE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34897-2025</t>
        </is>
      </c>
      <c r="B227" t="inlineStr">
        <is>
          <t>avverkningsanmälan</t>
        </is>
      </c>
      <c r="C227" t="inlineStr">
        <is>
          <t>Föryngringsavverkning</t>
        </is>
      </c>
      <c r="D227" s="1" t="n">
        <v>45849</v>
      </c>
      <c r="E227" s="1" t="n">
        <v>46259</v>
      </c>
      <c r="F227" t="inlineStr">
        <is>
          <t>JÄMTLANDS LÄN</t>
        </is>
      </c>
      <c r="G227" t="inlineStr">
        <is>
          <t>ÅRE</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35054-2025</t>
        </is>
      </c>
      <c r="B228" t="inlineStr">
        <is>
          <t>avverkningsanmälan</t>
        </is>
      </c>
      <c r="C228" t="inlineStr">
        <is>
          <t>Föryngringsavverkning</t>
        </is>
      </c>
      <c r="D228" s="1" t="n">
        <v>45849</v>
      </c>
      <c r="E228" s="1" t="n">
        <v>46259</v>
      </c>
      <c r="F228" t="inlineStr">
        <is>
          <t>JÄMTLANDS LÄN</t>
        </is>
      </c>
      <c r="G228" t="inlineStr">
        <is>
          <t>ÅRE</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73800-2021</t>
        </is>
      </c>
      <c r="B229" t="inlineStr">
        <is>
          <t>avverkningsanmälan</t>
        </is>
      </c>
      <c r="C229" t="inlineStr">
        <is>
          <t>Föryngringsavverkning</t>
        </is>
      </c>
      <c r="D229" s="1" t="n">
        <v>44552</v>
      </c>
      <c r="E229" s="1" t="n">
        <v>46259</v>
      </c>
      <c r="F229" t="inlineStr">
        <is>
          <t>JÄMTLANDS LÄN</t>
        </is>
      </c>
      <c r="G229" t="inlineStr">
        <is>
          <t>ÅRE</t>
        </is>
      </c>
      <c r="I229" t="n">
        <v>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64237-2021</t>
        </is>
      </c>
      <c r="B230" t="inlineStr">
        <is>
          <t>avverkningsanmälan</t>
        </is>
      </c>
      <c r="C230" t="inlineStr">
        <is>
          <t>Föryngringsavverkning</t>
        </is>
      </c>
      <c r="D230" s="1" t="n">
        <v>44510</v>
      </c>
      <c r="E230" s="1" t="n">
        <v>46259</v>
      </c>
      <c r="F230" t="inlineStr">
        <is>
          <t>JÄMTLANDS LÄN</t>
        </is>
      </c>
      <c r="G230" t="inlineStr">
        <is>
          <t>ÅRE</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64758-2023</t>
        </is>
      </c>
      <c r="B231" t="inlineStr">
        <is>
          <t>avverkningsanmälan</t>
        </is>
      </c>
      <c r="C231" t="inlineStr">
        <is>
          <t>Föryngringsavverkning</t>
        </is>
      </c>
      <c r="D231" s="1" t="n">
        <v>45281</v>
      </c>
      <c r="E231" s="1" t="n">
        <v>46259</v>
      </c>
      <c r="F231" t="inlineStr">
        <is>
          <t>JÄMTLANDS LÄN</t>
        </is>
      </c>
      <c r="G231" t="inlineStr">
        <is>
          <t>ÅRE</t>
        </is>
      </c>
      <c r="H231" t="inlineStr">
        <is>
          <t>Övriga Aktiebolag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64245-2021</t>
        </is>
      </c>
      <c r="B232" t="inlineStr">
        <is>
          <t>avverkningsanmälan</t>
        </is>
      </c>
      <c r="C232" t="inlineStr">
        <is>
          <t>Föryngringsavverkning</t>
        </is>
      </c>
      <c r="D232" s="1" t="n">
        <v>44510</v>
      </c>
      <c r="E232" s="1" t="n">
        <v>46259</v>
      </c>
      <c r="F232" t="inlineStr">
        <is>
          <t>JÄMTLANDS LÄN</t>
        </is>
      </c>
      <c r="G232" t="inlineStr">
        <is>
          <t>ÅRE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43324-2022</t>
        </is>
      </c>
      <c r="B233" t="inlineStr">
        <is>
          <t>avverkningsanmälan</t>
        </is>
      </c>
      <c r="C233" t="inlineStr">
        <is>
          <t>Föryngringsavverkning</t>
        </is>
      </c>
      <c r="D233" s="1" t="n">
        <v>44834</v>
      </c>
      <c r="E233" s="1" t="n">
        <v>46259</v>
      </c>
      <c r="F233" t="inlineStr">
        <is>
          <t>JÄMTLANDS LÄN</t>
        </is>
      </c>
      <c r="G233" t="inlineStr">
        <is>
          <t>ÅRE</t>
        </is>
      </c>
      <c r="H233" t="inlineStr">
        <is>
          <t>Bergvik skog öst AB</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7970-2023</t>
        </is>
      </c>
      <c r="B234" t="inlineStr">
        <is>
          <t>avverkningsanmälan</t>
        </is>
      </c>
      <c r="C234" t="inlineStr">
        <is>
          <t>Föryngringsavverkning</t>
        </is>
      </c>
      <c r="D234" s="1" t="n">
        <v>44970</v>
      </c>
      <c r="E234" s="1" t="n">
        <v>46259</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61924-2022</t>
        </is>
      </c>
      <c r="B235" t="inlineStr">
        <is>
          <t>avverkningsanmälan</t>
        </is>
      </c>
      <c r="C235" t="inlineStr">
        <is>
          <t>Föryngringsavverkning</t>
        </is>
      </c>
      <c r="D235" s="1" t="n">
        <v>44917</v>
      </c>
      <c r="E235" s="1" t="n">
        <v>46259</v>
      </c>
      <c r="F235" t="inlineStr">
        <is>
          <t>JÄMTLANDS LÄN</t>
        </is>
      </c>
      <c r="G235" t="inlineStr">
        <is>
          <t>ÅRE</t>
        </is>
      </c>
      <c r="I235" t="n">
        <v>39.8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36015-2025</t>
        </is>
      </c>
      <c r="B236" t="inlineStr">
        <is>
          <t>avverkningsanmälan</t>
        </is>
      </c>
      <c r="C236" t="inlineStr">
        <is>
          <t>Avverkning för annat ändamål</t>
        </is>
      </c>
      <c r="D236" s="1" t="n">
        <v>45863</v>
      </c>
      <c r="E236" s="1" t="n">
        <v>46259</v>
      </c>
      <c r="F236" t="inlineStr">
        <is>
          <t>JÄMTLANDS LÄN</t>
        </is>
      </c>
      <c r="G236" t="inlineStr">
        <is>
          <t>ÅRE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61622-2023</t>
        </is>
      </c>
      <c r="B237" t="inlineStr">
        <is>
          <t>avverkningsanmälan</t>
        </is>
      </c>
      <c r="C237" t="inlineStr">
        <is>
          <t>Avverkning för annat ändamål</t>
        </is>
      </c>
      <c r="D237" s="1" t="n">
        <v>45261</v>
      </c>
      <c r="E237" s="1" t="n">
        <v>46259</v>
      </c>
      <c r="F237" t="inlineStr">
        <is>
          <t>JÄMTLANDS LÄN</t>
        </is>
      </c>
      <c r="G237" t="inlineStr">
        <is>
          <t>ÅRE</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37729-2023</t>
        </is>
      </c>
      <c r="B238" t="inlineStr">
        <is>
          <t>avverkningsanmälan</t>
        </is>
      </c>
      <c r="C238" t="inlineStr">
        <is>
          <t>Avverkning för annat ändamål</t>
        </is>
      </c>
      <c r="D238" s="1" t="n">
        <v>45159</v>
      </c>
      <c r="E238" s="1" t="n">
        <v>46259</v>
      </c>
      <c r="F238" t="inlineStr">
        <is>
          <t>JÄMTLANDS LÄN</t>
        </is>
      </c>
      <c r="G238" t="inlineStr">
        <is>
          <t>ÅRE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50099-2021</t>
        </is>
      </c>
      <c r="B239" t="inlineStr">
        <is>
          <t>avverkningsanmälan</t>
        </is>
      </c>
      <c r="C239" t="inlineStr">
        <is>
          <t>Föryngringsavverkning</t>
        </is>
      </c>
      <c r="D239" s="1" t="n">
        <v>44456</v>
      </c>
      <c r="E239" s="1" t="n">
        <v>46259</v>
      </c>
      <c r="F239" t="inlineStr">
        <is>
          <t>JÄMTLANDS LÄN</t>
        </is>
      </c>
      <c r="G239" t="inlineStr">
        <is>
          <t>ÅRE</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34931-2025</t>
        </is>
      </c>
      <c r="B240" t="inlineStr">
        <is>
          <t>avverkningsanmälan</t>
        </is>
      </c>
      <c r="C240" t="inlineStr">
        <is>
          <t>Föryngringsavverkning</t>
        </is>
      </c>
      <c r="D240" s="1" t="n">
        <v>45849</v>
      </c>
      <c r="E240" s="1" t="n">
        <v>46259</v>
      </c>
      <c r="F240" t="inlineStr">
        <is>
          <t>JÄMTLANDS LÄN</t>
        </is>
      </c>
      <c r="G240" t="inlineStr">
        <is>
          <t>ÅRE</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20480-2024</t>
        </is>
      </c>
      <c r="B241" t="inlineStr">
        <is>
          <t>avverkningsanmälan</t>
        </is>
      </c>
      <c r="C241" t="inlineStr">
        <is>
          <t>Föryngringsavverkning</t>
        </is>
      </c>
      <c r="D241" s="1" t="n">
        <v>45435</v>
      </c>
      <c r="E241" s="1" t="n">
        <v>46259</v>
      </c>
      <c r="F241" t="inlineStr">
        <is>
          <t>JÄMTLANDS LÄN</t>
        </is>
      </c>
      <c r="G241" t="inlineStr">
        <is>
          <t>ÅRE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56736-2023</t>
        </is>
      </c>
      <c r="B242" t="inlineStr">
        <is>
          <t>avverkningsanmälan</t>
        </is>
      </c>
      <c r="C242" t="inlineStr">
        <is>
          <t>Föryngringsavverkning</t>
        </is>
      </c>
      <c r="D242" s="1" t="n">
        <v>45244</v>
      </c>
      <c r="E242" s="1" t="n">
        <v>46259</v>
      </c>
      <c r="F242" t="inlineStr">
        <is>
          <t>JÄMTLANDS LÄN</t>
        </is>
      </c>
      <c r="G242" t="inlineStr">
        <is>
          <t>ÅRE</t>
        </is>
      </c>
      <c r="H242" t="inlineStr">
        <is>
          <t>Övriga Aktiebolag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59666-2023</t>
        </is>
      </c>
      <c r="B243" t="inlineStr">
        <is>
          <t>avverkningsanmälan</t>
        </is>
      </c>
      <c r="C243" t="inlineStr">
        <is>
          <t>Avverkning för att bevara och utveckla /försöksver</t>
        </is>
      </c>
      <c r="D243" s="1" t="n">
        <v>45254</v>
      </c>
      <c r="E243" s="1" t="n">
        <v>46259</v>
      </c>
      <c r="F243" t="inlineStr">
        <is>
          <t>JÄMTLANDS LÄN</t>
        </is>
      </c>
      <c r="G243" t="inlineStr">
        <is>
          <t>ÅRE</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37178-2025</t>
        </is>
      </c>
      <c r="B244" t="inlineStr">
        <is>
          <t>avverkningsanmälan</t>
        </is>
      </c>
      <c r="C244" t="inlineStr">
        <is>
          <t>Föryngringsavverkning</t>
        </is>
      </c>
      <c r="D244" s="1" t="n">
        <v>45875</v>
      </c>
      <c r="E244" s="1" t="n">
        <v>46259</v>
      </c>
      <c r="F244" t="inlineStr">
        <is>
          <t>JÄMTLANDS LÄN</t>
        </is>
      </c>
      <c r="G244" t="inlineStr">
        <is>
          <t>ÅRE</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37158-2025</t>
        </is>
      </c>
      <c r="B245" t="inlineStr">
        <is>
          <t>avverkningsanmälan</t>
        </is>
      </c>
      <c r="C245" t="inlineStr">
        <is>
          <t>Föryngringsavverkning</t>
        </is>
      </c>
      <c r="D245" s="1" t="n">
        <v>45875</v>
      </c>
      <c r="E245" s="1" t="n">
        <v>46259</v>
      </c>
      <c r="F245" t="inlineStr">
        <is>
          <t>JÄMTLANDS LÄN</t>
        </is>
      </c>
      <c r="G245" t="inlineStr">
        <is>
          <t>ÅRE</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37118-2025</t>
        </is>
      </c>
      <c r="B246" t="inlineStr">
        <is>
          <t>avverkningsanmälan</t>
        </is>
      </c>
      <c r="C246" t="inlineStr">
        <is>
          <t>Avverkning för att bevara och utveckla /försöksver</t>
        </is>
      </c>
      <c r="D246" s="1" t="n">
        <v>45875</v>
      </c>
      <c r="E246" s="1" t="n">
        <v>46259</v>
      </c>
      <c r="F246" t="inlineStr">
        <is>
          <t>JÄMTLANDS LÄN</t>
        </is>
      </c>
      <c r="G246" t="inlineStr">
        <is>
          <t>ÅRE</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36048-2023</t>
        </is>
      </c>
      <c r="B247" t="inlineStr">
        <is>
          <t>avverkningsanmälan</t>
        </is>
      </c>
      <c r="C247" t="inlineStr">
        <is>
          <t>Föryngringsavverkning</t>
        </is>
      </c>
      <c r="D247" s="1" t="n">
        <v>45149</v>
      </c>
      <c r="E247" s="1" t="n">
        <v>46259</v>
      </c>
      <c r="F247" t="inlineStr">
        <is>
          <t>JÄMTLANDS LÄN</t>
        </is>
      </c>
      <c r="G247" t="inlineStr">
        <is>
          <t>ÅRE</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37159-2025</t>
        </is>
      </c>
      <c r="B248" t="inlineStr">
        <is>
          <t>avverkningsanmälan</t>
        </is>
      </c>
      <c r="C248" t="inlineStr">
        <is>
          <t>Föryngringsavverkning</t>
        </is>
      </c>
      <c r="D248" s="1" t="n">
        <v>45875</v>
      </c>
      <c r="E248" s="1" t="n">
        <v>46259</v>
      </c>
      <c r="F248" t="inlineStr">
        <is>
          <t>JÄMTLANDS LÄN</t>
        </is>
      </c>
      <c r="G248" t="inlineStr">
        <is>
          <t>ÅRE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3154-2023</t>
        </is>
      </c>
      <c r="B249" t="inlineStr">
        <is>
          <t>avverkningsanmälan</t>
        </is>
      </c>
      <c r="C249" t="inlineStr">
        <is>
          <t>Föryngringsavverkning</t>
        </is>
      </c>
      <c r="D249" s="1" t="n">
        <v>44946</v>
      </c>
      <c r="E249" s="1" t="n">
        <v>46259</v>
      </c>
      <c r="F249" t="inlineStr">
        <is>
          <t>JÄMTLANDS LÄN</t>
        </is>
      </c>
      <c r="G249" t="inlineStr">
        <is>
          <t>ÅRE</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3204-2023</t>
        </is>
      </c>
      <c r="B250" t="inlineStr">
        <is>
          <t>avverkningsanmälan</t>
        </is>
      </c>
      <c r="C250" t="inlineStr">
        <is>
          <t>Föryngringsavverkning</t>
        </is>
      </c>
      <c r="D250" s="1" t="n">
        <v>44946</v>
      </c>
      <c r="E250" s="1" t="n">
        <v>46259</v>
      </c>
      <c r="F250" t="inlineStr">
        <is>
          <t>JÄMTLANDS LÄN</t>
        </is>
      </c>
      <c r="G250" t="inlineStr">
        <is>
          <t>ÅRE</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41266-2024</t>
        </is>
      </c>
      <c r="B251" t="inlineStr">
        <is>
          <t>avverkningsanmälan</t>
        </is>
      </c>
      <c r="C251" t="inlineStr">
        <is>
          <t>Föryngringsavverkning</t>
        </is>
      </c>
      <c r="D251" s="1" t="n">
        <v>45559</v>
      </c>
      <c r="E251" s="1" t="n">
        <v>46259</v>
      </c>
      <c r="F251" t="inlineStr">
        <is>
          <t>JÄMTLANDS LÄN</t>
        </is>
      </c>
      <c r="G251" t="inlineStr">
        <is>
          <t>ÅRE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9775-2023</t>
        </is>
      </c>
      <c r="B252" t="inlineStr">
        <is>
          <t>avverkningsanmälan</t>
        </is>
      </c>
      <c r="C252" t="inlineStr">
        <is>
          <t>Föryngringsavverkning</t>
        </is>
      </c>
      <c r="D252" s="1" t="n">
        <v>44984</v>
      </c>
      <c r="E252" s="1" t="n">
        <v>46259</v>
      </c>
      <c r="F252" t="inlineStr">
        <is>
          <t>JÄMTLANDS LÄN</t>
        </is>
      </c>
      <c r="G252" t="inlineStr">
        <is>
          <t>ÅRE</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49313-2024</t>
        </is>
      </c>
      <c r="B253" t="inlineStr">
        <is>
          <t>avverkningsanmälan</t>
        </is>
      </c>
      <c r="C253" t="inlineStr">
        <is>
          <t>Föryngringsavverkning</t>
        </is>
      </c>
      <c r="D253" s="1" t="n">
        <v>45595</v>
      </c>
      <c r="E253" s="1" t="n">
        <v>46259</v>
      </c>
      <c r="F253" t="inlineStr">
        <is>
          <t>JÄMTLANDS LÄN</t>
        </is>
      </c>
      <c r="G253" t="inlineStr">
        <is>
          <t>ÅRE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54904-2022</t>
        </is>
      </c>
      <c r="B254" t="inlineStr">
        <is>
          <t>avverkningsanmälan</t>
        </is>
      </c>
      <c r="C254" t="inlineStr">
        <is>
          <t>Föryngringsavverkning</t>
        </is>
      </c>
      <c r="D254" s="1" t="n">
        <v>44886</v>
      </c>
      <c r="E254" s="1" t="n">
        <v>46259</v>
      </c>
      <c r="F254" t="inlineStr">
        <is>
          <t>JÄMTLANDS LÄN</t>
        </is>
      </c>
      <c r="G254" t="inlineStr">
        <is>
          <t>ÅRE</t>
        </is>
      </c>
      <c r="H254" t="inlineStr">
        <is>
          <t>Övriga Aktiebolag</t>
        </is>
      </c>
      <c r="I254" t="n">
        <v>12.2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54247-2024</t>
        </is>
      </c>
      <c r="B255" t="inlineStr">
        <is>
          <t>avverkningsanmälan</t>
        </is>
      </c>
      <c r="C255" t="inlineStr">
        <is>
          <t>Föryngringsavverkning</t>
        </is>
      </c>
      <c r="D255" s="1" t="n">
        <v>45616</v>
      </c>
      <c r="E255" s="1" t="n">
        <v>46259</v>
      </c>
      <c r="F255" t="inlineStr">
        <is>
          <t>JÄMTLANDS LÄN</t>
        </is>
      </c>
      <c r="G255" t="inlineStr">
        <is>
          <t>ÅRE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1460-2024</t>
        </is>
      </c>
      <c r="B256" t="inlineStr">
        <is>
          <t>avverkningsanmälan</t>
        </is>
      </c>
      <c r="C256" t="inlineStr">
        <is>
          <t>Föryngringsavverkning</t>
        </is>
      </c>
      <c r="D256" s="1" t="n">
        <v>45303</v>
      </c>
      <c r="E256" s="1" t="n">
        <v>46259</v>
      </c>
      <c r="F256" t="inlineStr">
        <is>
          <t>JÄMTLANDS LÄN</t>
        </is>
      </c>
      <c r="G256" t="inlineStr">
        <is>
          <t>ÅRE</t>
        </is>
      </c>
      <c r="H256" t="inlineStr">
        <is>
          <t>Övriga Aktiebolag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60426-2022</t>
        </is>
      </c>
      <c r="B257" t="inlineStr">
        <is>
          <t>avverkningsanmälan</t>
        </is>
      </c>
      <c r="C257" t="inlineStr">
        <is>
          <t>Föryngringsavverkning</t>
        </is>
      </c>
      <c r="D257" s="1" t="n">
        <v>44911</v>
      </c>
      <c r="E257" s="1" t="n">
        <v>46259</v>
      </c>
      <c r="F257" t="inlineStr">
        <is>
          <t>JÄMTLANDS LÄN</t>
        </is>
      </c>
      <c r="G257" t="inlineStr">
        <is>
          <t>ÅRE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56556-2022</t>
        </is>
      </c>
      <c r="B258" t="inlineStr">
        <is>
          <t>avverkningsanmälan</t>
        </is>
      </c>
      <c r="C258" t="inlineStr">
        <is>
          <t>Föryngringsavverkning</t>
        </is>
      </c>
      <c r="D258" s="1" t="n">
        <v>44893</v>
      </c>
      <c r="E258" s="1" t="n">
        <v>46259</v>
      </c>
      <c r="F258" t="inlineStr">
        <is>
          <t>JÄMTLANDS LÄN</t>
        </is>
      </c>
      <c r="G258" t="inlineStr">
        <is>
          <t>ÅRE</t>
        </is>
      </c>
      <c r="H258" t="inlineStr">
        <is>
          <t>Övriga Aktiebolag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38268-2024</t>
        </is>
      </c>
      <c r="B259" t="inlineStr">
        <is>
          <t>avverkningsanmälan</t>
        </is>
      </c>
      <c r="C259" t="inlineStr">
        <is>
          <t>Föryngringsavverkning</t>
        </is>
      </c>
      <c r="D259" s="1" t="n">
        <v>45545</v>
      </c>
      <c r="E259" s="1" t="n">
        <v>46259</v>
      </c>
      <c r="F259" t="inlineStr">
        <is>
          <t>JÄMTLANDS LÄN</t>
        </is>
      </c>
      <c r="G259" t="inlineStr">
        <is>
          <t>ÅRE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12242-2022</t>
        </is>
      </c>
      <c r="B260" t="inlineStr">
        <is>
          <t>avverkningsanmälan</t>
        </is>
      </c>
      <c r="C260" t="inlineStr">
        <is>
          <t>Föryngringsavverkning</t>
        </is>
      </c>
      <c r="D260" s="1" t="n">
        <v>44637</v>
      </c>
      <c r="E260" s="1" t="n">
        <v>46259</v>
      </c>
      <c r="F260" t="inlineStr">
        <is>
          <t>JÄMTLANDS LÄN</t>
        </is>
      </c>
      <c r="G260" t="inlineStr">
        <is>
          <t>ÅRE</t>
        </is>
      </c>
      <c r="I260" t="n">
        <v>53.4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59352-2021</t>
        </is>
      </c>
      <c r="B261" t="inlineStr">
        <is>
          <t>avverkningsanmälan</t>
        </is>
      </c>
      <c r="C261" t="inlineStr">
        <is>
          <t>Avverkning för annat ändamål</t>
        </is>
      </c>
      <c r="D261" s="1" t="n">
        <v>44490</v>
      </c>
      <c r="E261" s="1" t="n">
        <v>46259</v>
      </c>
      <c r="F261" t="inlineStr">
        <is>
          <t>JÄMTLANDS LÄN</t>
        </is>
      </c>
      <c r="G261" t="inlineStr">
        <is>
          <t>ÅRE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20312-2026</t>
        </is>
      </c>
      <c r="B262" t="inlineStr">
        <is>
          <t>avverkningsanmälan</t>
        </is>
      </c>
      <c r="C262" t="inlineStr">
        <is>
          <t>Föryngringsavverkning</t>
        </is>
      </c>
      <c r="D262" s="1" t="n">
        <v>46139</v>
      </c>
      <c r="E262" s="1" t="n">
        <v>46259</v>
      </c>
      <c r="F262" t="inlineStr">
        <is>
          <t>JÄMTLANDS LÄN</t>
        </is>
      </c>
      <c r="G262" t="inlineStr">
        <is>
          <t>ÅRE</t>
        </is>
      </c>
      <c r="I262" t="n">
        <v>59.7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15884-2023</t>
        </is>
      </c>
      <c r="B263" t="inlineStr">
        <is>
          <t>avverkningsanmälan</t>
        </is>
      </c>
      <c r="C263" t="inlineStr">
        <is>
          <t>Avverkning för annat ändamål</t>
        </is>
      </c>
      <c r="D263" s="1" t="n">
        <v>45022</v>
      </c>
      <c r="E263" s="1" t="n">
        <v>46259</v>
      </c>
      <c r="F263" t="inlineStr">
        <is>
          <t>JÄMTLANDS LÄN</t>
        </is>
      </c>
      <c r="G263" t="inlineStr">
        <is>
          <t>ÅRE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61331-2021</t>
        </is>
      </c>
      <c r="B264" t="inlineStr">
        <is>
          <t>avverkningsanmälan</t>
        </is>
      </c>
      <c r="C264" t="inlineStr">
        <is>
          <t>Föryngringsavverkning</t>
        </is>
      </c>
      <c r="D264" s="1" t="n">
        <v>44498</v>
      </c>
      <c r="E264" s="1" t="n">
        <v>46259</v>
      </c>
      <c r="F264" t="inlineStr">
        <is>
          <t>JÄMTLANDS LÄN</t>
        </is>
      </c>
      <c r="G264" t="inlineStr">
        <is>
          <t>ÅRE</t>
        </is>
      </c>
      <c r="I264" t="n">
        <v>8.4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6358-2025</t>
        </is>
      </c>
      <c r="B265" t="inlineStr">
        <is>
          <t>avverkningsanmälan</t>
        </is>
      </c>
      <c r="C265" t="inlineStr">
        <is>
          <t>Föryngringsavverkning</t>
        </is>
      </c>
      <c r="D265" s="1" t="n">
        <v>45699</v>
      </c>
      <c r="E265" s="1" t="n">
        <v>46259</v>
      </c>
      <c r="F265" t="inlineStr">
        <is>
          <t>JÄMTLANDS LÄN</t>
        </is>
      </c>
      <c r="G265" t="inlineStr">
        <is>
          <t>ÅRE</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18253-2023</t>
        </is>
      </c>
      <c r="B266" t="inlineStr">
        <is>
          <t>avverkningsanmälan</t>
        </is>
      </c>
      <c r="C266" t="inlineStr">
        <is>
          <t>Föryngringsavverkning</t>
        </is>
      </c>
      <c r="D266" s="1" t="n">
        <v>45041</v>
      </c>
      <c r="E266" s="1" t="n">
        <v>46259</v>
      </c>
      <c r="F266" t="inlineStr">
        <is>
          <t>JÄMTLANDS LÄN</t>
        </is>
      </c>
      <c r="G266" t="inlineStr">
        <is>
          <t>ÅRE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21381-2026</t>
        </is>
      </c>
      <c r="B267" t="inlineStr">
        <is>
          <t>avverkningsanmälan</t>
        </is>
      </c>
      <c r="C267" t="inlineStr">
        <is>
          <t>Föryngringsavverkning</t>
        </is>
      </c>
      <c r="D267" s="1" t="n">
        <v>46147</v>
      </c>
      <c r="E267" s="1" t="n">
        <v>46259</v>
      </c>
      <c r="F267" t="inlineStr">
        <is>
          <t>JÄMTLANDS LÄN</t>
        </is>
      </c>
      <c r="G267" t="inlineStr">
        <is>
          <t>ÅRE</t>
        </is>
      </c>
      <c r="I267" t="n">
        <v>13.7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21373-2026</t>
        </is>
      </c>
      <c r="B268" t="inlineStr">
        <is>
          <t>avverkningsanmälan</t>
        </is>
      </c>
      <c r="C268" t="inlineStr">
        <is>
          <t>Föryngringsavverkning</t>
        </is>
      </c>
      <c r="D268" s="1" t="n">
        <v>46147</v>
      </c>
      <c r="E268" s="1" t="n">
        <v>46259</v>
      </c>
      <c r="F268" t="inlineStr">
        <is>
          <t>JÄMTLANDS LÄN</t>
        </is>
      </c>
      <c r="G268" t="inlineStr">
        <is>
          <t>ÅRE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33230-2024</t>
        </is>
      </c>
      <c r="B269" t="inlineStr">
        <is>
          <t>avverkningsanmälan</t>
        </is>
      </c>
      <c r="C269" t="inlineStr">
        <is>
          <t>Avverkning för annat ändamål</t>
        </is>
      </c>
      <c r="D269" s="1" t="n">
        <v>45518</v>
      </c>
      <c r="E269" s="1" t="n">
        <v>46259</v>
      </c>
      <c r="F269" t="inlineStr">
        <is>
          <t>JÄMTLANDS LÄN</t>
        </is>
      </c>
      <c r="G269" t="inlineStr">
        <is>
          <t>ÅRE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12286-2023</t>
        </is>
      </c>
      <c r="B270" t="inlineStr">
        <is>
          <t>avverkningsanmälan</t>
        </is>
      </c>
      <c r="C270" t="inlineStr">
        <is>
          <t>Föryngringsavverkning</t>
        </is>
      </c>
      <c r="D270" s="1" t="n">
        <v>44998</v>
      </c>
      <c r="E270" s="1" t="n">
        <v>46259</v>
      </c>
      <c r="F270" t="inlineStr">
        <is>
          <t>JÄMTLANDS LÄN</t>
        </is>
      </c>
      <c r="G270" t="inlineStr">
        <is>
          <t>ÅRE</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45105-2024</t>
        </is>
      </c>
      <c r="B271" t="inlineStr">
        <is>
          <t>avverkningsanmälan</t>
        </is>
      </c>
      <c r="C271" t="inlineStr">
        <is>
          <t>Föryngringsavverkning</t>
        </is>
      </c>
      <c r="D271" s="1" t="n">
        <v>45575</v>
      </c>
      <c r="E271" s="1" t="n">
        <v>46259</v>
      </c>
      <c r="F271" t="inlineStr">
        <is>
          <t>JÄMTLANDS LÄN</t>
        </is>
      </c>
      <c r="G271" t="inlineStr">
        <is>
          <t>ÅRE</t>
        </is>
      </c>
      <c r="H271" t="inlineStr">
        <is>
          <t>Övriga Aktiebolag</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42244-2024</t>
        </is>
      </c>
      <c r="B272" t="inlineStr">
        <is>
          <t>avverkningsanmälan</t>
        </is>
      </c>
      <c r="C272" t="inlineStr">
        <is>
          <t>Föryngringsavverkning</t>
        </is>
      </c>
      <c r="D272" s="1" t="n">
        <v>45562</v>
      </c>
      <c r="E272" s="1" t="n">
        <v>46259</v>
      </c>
      <c r="F272" t="inlineStr">
        <is>
          <t>JÄMTLANDS LÄN</t>
        </is>
      </c>
      <c r="G272" t="inlineStr">
        <is>
          <t>ÅRE</t>
        </is>
      </c>
      <c r="H272" t="inlineStr">
        <is>
          <t>Övriga Aktiebolag</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11112-2022</t>
        </is>
      </c>
      <c r="B273" t="inlineStr">
        <is>
          <t>avverkningsanmälan</t>
        </is>
      </c>
      <c r="C273" t="inlineStr">
        <is>
          <t>Föryngringsavverkning</t>
        </is>
      </c>
      <c r="D273" s="1" t="n">
        <v>44628</v>
      </c>
      <c r="E273" s="1" t="n">
        <v>46259</v>
      </c>
      <c r="F273" t="inlineStr">
        <is>
          <t>JÄMTLANDS LÄN</t>
        </is>
      </c>
      <c r="G273" t="inlineStr">
        <is>
          <t>ÅRE</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39195-2024</t>
        </is>
      </c>
      <c r="B274" t="inlineStr">
        <is>
          <t>avverkningsanmälan</t>
        </is>
      </c>
      <c r="C274" t="inlineStr">
        <is>
          <t>Avverkning för annat ändamål</t>
        </is>
      </c>
      <c r="D274" s="1" t="n">
        <v>45548</v>
      </c>
      <c r="E274" s="1" t="n">
        <v>46259</v>
      </c>
      <c r="F274" t="inlineStr">
        <is>
          <t>JÄMTLANDS LÄN</t>
        </is>
      </c>
      <c r="G274" t="inlineStr">
        <is>
          <t>ÅRE</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17703-2023</t>
        </is>
      </c>
      <c r="B275" t="inlineStr">
        <is>
          <t>avverkningsanmälan</t>
        </is>
      </c>
      <c r="C275" t="inlineStr">
        <is>
          <t>Föryngringsavverkning</t>
        </is>
      </c>
      <c r="D275" s="1" t="n">
        <v>45037</v>
      </c>
      <c r="E275" s="1" t="n">
        <v>46259</v>
      </c>
      <c r="F275" t="inlineStr">
        <is>
          <t>JÄMTLANDS LÄN</t>
        </is>
      </c>
      <c r="G275" t="inlineStr">
        <is>
          <t>ÅRE</t>
        </is>
      </c>
      <c r="H275" t="inlineStr">
        <is>
          <t>Övriga Aktiebolag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14283-2025</t>
        </is>
      </c>
      <c r="B276" t="inlineStr">
        <is>
          <t>avverkningsanmälan</t>
        </is>
      </c>
      <c r="C276" t="inlineStr">
        <is>
          <t>Föryngringsavverkning</t>
        </is>
      </c>
      <c r="D276" s="1" t="n">
        <v>45740</v>
      </c>
      <c r="E276" s="1" t="n">
        <v>46259</v>
      </c>
      <c r="F276" t="inlineStr">
        <is>
          <t>JÄMTLANDS LÄN</t>
        </is>
      </c>
      <c r="G276" t="inlineStr">
        <is>
          <t>ÅRE</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73798-2021</t>
        </is>
      </c>
      <c r="B277" t="inlineStr">
        <is>
          <t>avverkningsanmälan</t>
        </is>
      </c>
      <c r="C277" t="inlineStr">
        <is>
          <t>Föryngringsavverkning</t>
        </is>
      </c>
      <c r="D277" s="1" t="n">
        <v>44552</v>
      </c>
      <c r="E277" s="1" t="n">
        <v>46259</v>
      </c>
      <c r="F277" t="inlineStr">
        <is>
          <t>JÄMTLANDS LÄN</t>
        </is>
      </c>
      <c r="G277" t="inlineStr">
        <is>
          <t>ÅRE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45453-2024</t>
        </is>
      </c>
      <c r="B278" t="inlineStr">
        <is>
          <t>avverkningsanmälan</t>
        </is>
      </c>
      <c r="C278" t="inlineStr">
        <is>
          <t>Avverkning för annat ändamål</t>
        </is>
      </c>
      <c r="D278" s="1" t="n">
        <v>45576</v>
      </c>
      <c r="E278" s="1" t="n">
        <v>46259</v>
      </c>
      <c r="F278" t="inlineStr">
        <is>
          <t>JÄMTLANDS LÄN</t>
        </is>
      </c>
      <c r="G278" t="inlineStr">
        <is>
          <t>ÅRE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71043-2021</t>
        </is>
      </c>
      <c r="B279" t="inlineStr">
        <is>
          <t>avverkningsanmälan</t>
        </is>
      </c>
      <c r="C279" t="inlineStr">
        <is>
          <t>Avverkning för annat ändamål</t>
        </is>
      </c>
      <c r="D279" s="1" t="n">
        <v>44538</v>
      </c>
      <c r="E279" s="1" t="n">
        <v>46259</v>
      </c>
      <c r="F279" t="inlineStr">
        <is>
          <t>JÄMTLANDS LÄN</t>
        </is>
      </c>
      <c r="G279" t="inlineStr">
        <is>
          <t>ÅRE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44251-2025</t>
        </is>
      </c>
      <c r="B280" t="inlineStr">
        <is>
          <t>avverkningsanmälan</t>
        </is>
      </c>
      <c r="C280" t="inlineStr">
        <is>
          <t>Avverkning för annat ändamål</t>
        </is>
      </c>
      <c r="D280" s="1" t="n">
        <v>45915</v>
      </c>
      <c r="E280" s="1" t="n">
        <v>46259</v>
      </c>
      <c r="F280" t="inlineStr">
        <is>
          <t>JÄMTLANDS LÄN</t>
        </is>
      </c>
      <c r="G280" t="inlineStr">
        <is>
          <t>ÅRE</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47075-2024</t>
        </is>
      </c>
      <c r="B281" t="inlineStr">
        <is>
          <t>avverkningsanmälan</t>
        </is>
      </c>
      <c r="C281" t="inlineStr">
        <is>
          <t>Föryngringsavverkning</t>
        </is>
      </c>
      <c r="D281" s="1" t="n">
        <v>45586</v>
      </c>
      <c r="E281" s="1" t="n">
        <v>46259</v>
      </c>
      <c r="F281" t="inlineStr">
        <is>
          <t>JÄMTLANDS LÄN</t>
        </is>
      </c>
      <c r="G281" t="inlineStr">
        <is>
          <t>ÅRE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4937-2025</t>
        </is>
      </c>
      <c r="B282" t="inlineStr">
        <is>
          <t>avverkningsanmälan</t>
        </is>
      </c>
      <c r="C282" t="inlineStr">
        <is>
          <t>Föryngringsavverkning</t>
        </is>
      </c>
      <c r="D282" s="1" t="n">
        <v>45688</v>
      </c>
      <c r="E282" s="1" t="n">
        <v>46259</v>
      </c>
      <c r="F282" t="inlineStr">
        <is>
          <t>JÄMTLANDS LÄN</t>
        </is>
      </c>
      <c r="G282" t="inlineStr">
        <is>
          <t>ÅRE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15480-2024</t>
        </is>
      </c>
      <c r="B283" t="inlineStr">
        <is>
          <t>avverkningsanmälan</t>
        </is>
      </c>
      <c r="C283" t="inlineStr">
        <is>
          <t>Föryngringsavverkning</t>
        </is>
      </c>
      <c r="D283" s="1" t="n">
        <v>45401</v>
      </c>
      <c r="E283" s="1" t="n">
        <v>46259</v>
      </c>
      <c r="F283" t="inlineStr">
        <is>
          <t>JÄMTLANDS LÄN</t>
        </is>
      </c>
      <c r="G283" t="inlineStr">
        <is>
          <t>ÅRE</t>
        </is>
      </c>
      <c r="I283" t="n">
        <v>11.8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52676-2023</t>
        </is>
      </c>
      <c r="B284" t="inlineStr">
        <is>
          <t>avverkningsanmälan</t>
        </is>
      </c>
      <c r="C284" t="inlineStr">
        <is>
          <t>Föryngringsavverkning</t>
        </is>
      </c>
      <c r="D284" s="1" t="n">
        <v>45225</v>
      </c>
      <c r="E284" s="1" t="n">
        <v>46259</v>
      </c>
      <c r="F284" t="inlineStr">
        <is>
          <t>JÄMTLANDS LÄN</t>
        </is>
      </c>
      <c r="G284" t="inlineStr">
        <is>
          <t>ÅRE</t>
        </is>
      </c>
      <c r="H284" t="inlineStr">
        <is>
          <t>Övriga Aktiebolag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44685-2025</t>
        </is>
      </c>
      <c r="B285" t="inlineStr">
        <is>
          <t>avverkningsanmälan</t>
        </is>
      </c>
      <c r="C285" t="inlineStr">
        <is>
          <t>Föryngringsavverkning</t>
        </is>
      </c>
      <c r="D285" s="1" t="n">
        <v>45917</v>
      </c>
      <c r="E285" s="1" t="n">
        <v>46259</v>
      </c>
      <c r="F285" t="inlineStr">
        <is>
          <t>JÄMTLANDS LÄN</t>
        </is>
      </c>
      <c r="G285" t="inlineStr">
        <is>
          <t>ÅRE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18805-2026</t>
        </is>
      </c>
      <c r="B286" t="inlineStr">
        <is>
          <t>avverkningsanmälan</t>
        </is>
      </c>
      <c r="C286" t="inlineStr">
        <is>
          <t>Föryngringsavverkning</t>
        </is>
      </c>
      <c r="D286" s="1" t="n">
        <v>46128</v>
      </c>
      <c r="E286" s="1" t="n">
        <v>46259</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43342-2024</t>
        </is>
      </c>
      <c r="B287" t="inlineStr">
        <is>
          <t>avverkningsanmälan</t>
        </is>
      </c>
      <c r="C287" t="inlineStr">
        <is>
          <t>Föryngringsavverkning</t>
        </is>
      </c>
      <c r="D287" s="1" t="n">
        <v>45568</v>
      </c>
      <c r="E287" s="1" t="n">
        <v>46259</v>
      </c>
      <c r="F287" t="inlineStr">
        <is>
          <t>JÄMTLANDS LÄN</t>
        </is>
      </c>
      <c r="G287" t="inlineStr">
        <is>
          <t>ÅRE</t>
        </is>
      </c>
      <c r="H287" t="inlineStr">
        <is>
          <t>Övriga Aktiebolag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12216-2023</t>
        </is>
      </c>
      <c r="B288" t="inlineStr">
        <is>
          <t>avverkningsanmälan</t>
        </is>
      </c>
      <c r="C288" t="inlineStr">
        <is>
          <t>Föryngringsavverkning</t>
        </is>
      </c>
      <c r="D288" s="1" t="n">
        <v>44998</v>
      </c>
      <c r="E288" s="1" t="n">
        <v>46259</v>
      </c>
      <c r="F288" t="inlineStr">
        <is>
          <t>JÄMTLANDS LÄN</t>
        </is>
      </c>
      <c r="G288" t="inlineStr">
        <is>
          <t>ÅRE</t>
        </is>
      </c>
      <c r="I288" t="n">
        <v>11.8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55033-2024</t>
        </is>
      </c>
      <c r="B289" t="inlineStr">
        <is>
          <t>avverkningsanmälan</t>
        </is>
      </c>
      <c r="C289" t="inlineStr">
        <is>
          <t>Föryngringsavverkning</t>
        </is>
      </c>
      <c r="D289" s="1" t="n">
        <v>45621</v>
      </c>
      <c r="E289" s="1" t="n">
        <v>46259</v>
      </c>
      <c r="F289" t="inlineStr">
        <is>
          <t>JÄMTLANDS LÄN</t>
        </is>
      </c>
      <c r="G289" t="inlineStr">
        <is>
          <t>ÅRE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61183-2023</t>
        </is>
      </c>
      <c r="B290" t="inlineStr">
        <is>
          <t>avverkningsanmälan</t>
        </is>
      </c>
      <c r="C290" t="inlineStr">
        <is>
          <t>Föryngringsavverkning</t>
        </is>
      </c>
      <c r="D290" s="1" t="n">
        <v>45263</v>
      </c>
      <c r="E290" s="1" t="n">
        <v>46259</v>
      </c>
      <c r="F290" t="inlineStr">
        <is>
          <t>JÄMTLANDS LÄN</t>
        </is>
      </c>
      <c r="G290" t="inlineStr">
        <is>
          <t>ÅRE</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69568-2021</t>
        </is>
      </c>
      <c r="B291" t="inlineStr">
        <is>
          <t>avverkningsanmälan</t>
        </is>
      </c>
      <c r="C291" t="inlineStr">
        <is>
          <t>Föryngringsavverkning</t>
        </is>
      </c>
      <c r="D291" s="1" t="n">
        <v>44531</v>
      </c>
      <c r="E291" s="1" t="n">
        <v>46259</v>
      </c>
      <c r="F291" t="inlineStr">
        <is>
          <t>JÄMTLANDS LÄN</t>
        </is>
      </c>
      <c r="G291" t="inlineStr">
        <is>
          <t>ÅRE</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61481-2022</t>
        </is>
      </c>
      <c r="B292" t="inlineStr">
        <is>
          <t>avverkningsanmälan</t>
        </is>
      </c>
      <c r="C292" t="inlineStr">
        <is>
          <t>Föryngringsavverkning</t>
        </is>
      </c>
      <c r="D292" s="1" t="n">
        <v>44910</v>
      </c>
      <c r="E292" s="1" t="n">
        <v>46259</v>
      </c>
      <c r="F292" t="inlineStr">
        <is>
          <t>JÄMTLANDS LÄN</t>
        </is>
      </c>
      <c r="G292" t="inlineStr">
        <is>
          <t>ÅRE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43307-2024</t>
        </is>
      </c>
      <c r="B293" t="inlineStr">
        <is>
          <t>avverkningsanmälan</t>
        </is>
      </c>
      <c r="C293" t="inlineStr">
        <is>
          <t>Föryngringsavverkning</t>
        </is>
      </c>
      <c r="D293" s="1" t="n">
        <v>45568</v>
      </c>
      <c r="E293" s="1" t="n">
        <v>46259</v>
      </c>
      <c r="F293" t="inlineStr">
        <is>
          <t>JÄMTLANDS LÄN</t>
        </is>
      </c>
      <c r="G293" t="inlineStr">
        <is>
          <t>ÅRE</t>
        </is>
      </c>
      <c r="H293" t="inlineStr">
        <is>
          <t>Övriga Aktiebolag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41653-2024</t>
        </is>
      </c>
      <c r="B294" t="inlineStr">
        <is>
          <t>avverkningsanmälan</t>
        </is>
      </c>
      <c r="C294" t="inlineStr">
        <is>
          <t>Avverkning för annat ändamål</t>
        </is>
      </c>
      <c r="D294" s="1" t="n">
        <v>45560</v>
      </c>
      <c r="E294" s="1" t="n">
        <v>46259</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41686-2024</t>
        </is>
      </c>
      <c r="B295" t="inlineStr">
        <is>
          <t>avverkningsanmälan</t>
        </is>
      </c>
      <c r="C295" t="inlineStr">
        <is>
          <t>Avverkning för annat ändamål</t>
        </is>
      </c>
      <c r="D295" s="1" t="n">
        <v>45560</v>
      </c>
      <c r="E295" s="1" t="n">
        <v>46259</v>
      </c>
      <c r="F295" t="inlineStr">
        <is>
          <t>JÄMTLANDS LÄN</t>
        </is>
      </c>
      <c r="G295" t="inlineStr">
        <is>
          <t>ÅRE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50344-2024</t>
        </is>
      </c>
      <c r="B296" t="inlineStr">
        <is>
          <t>avverkningsanmälan</t>
        </is>
      </c>
      <c r="C296" t="inlineStr">
        <is>
          <t>Föryngringsavverkning</t>
        </is>
      </c>
      <c r="D296" s="1" t="n">
        <v>45600</v>
      </c>
      <c r="E296" s="1" t="n">
        <v>46259</v>
      </c>
      <c r="F296" t="inlineStr">
        <is>
          <t>JÄMTLANDS LÄN</t>
        </is>
      </c>
      <c r="G296" t="inlineStr">
        <is>
          <t>ÅRE</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59325-2024</t>
        </is>
      </c>
      <c r="B297" t="inlineStr">
        <is>
          <t>avverkningsanmälan</t>
        </is>
      </c>
      <c r="C297" t="inlineStr">
        <is>
          <t>Avverkning för annat ändamål</t>
        </is>
      </c>
      <c r="D297" s="1" t="n">
        <v>45636</v>
      </c>
      <c r="E297" s="1" t="n">
        <v>46259</v>
      </c>
      <c r="F297" t="inlineStr">
        <is>
          <t>JÄMTLANDS LÄN</t>
        </is>
      </c>
      <c r="G297" t="inlineStr">
        <is>
          <t>ÅRE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4272-2025</t>
        </is>
      </c>
      <c r="B298" t="inlineStr">
        <is>
          <t>avverkningsanmälan</t>
        </is>
      </c>
      <c r="C298" t="inlineStr">
        <is>
          <t>Föryngringsavverkning</t>
        </is>
      </c>
      <c r="D298" s="1" t="n">
        <v>45685</v>
      </c>
      <c r="E298" s="1" t="n">
        <v>46259</v>
      </c>
      <c r="F298" t="inlineStr">
        <is>
          <t>JÄMTLANDS LÄN</t>
        </is>
      </c>
      <c r="G298" t="inlineStr">
        <is>
          <t>ÅRE</t>
        </is>
      </c>
      <c r="H298" t="inlineStr">
        <is>
          <t>Övriga Aktiebolag</t>
        </is>
      </c>
      <c r="I298" t="n">
        <v>16.6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13383-2022</t>
        </is>
      </c>
      <c r="B299" t="inlineStr">
        <is>
          <t>avverkningsanmälan</t>
        </is>
      </c>
      <c r="C299" t="inlineStr">
        <is>
          <t>Föryngringsavverkning</t>
        </is>
      </c>
      <c r="D299" s="1" t="n">
        <v>44637</v>
      </c>
      <c r="E299" s="1" t="n">
        <v>46259</v>
      </c>
      <c r="F299" t="inlineStr">
        <is>
          <t>JÄMTLANDS LÄN</t>
        </is>
      </c>
      <c r="G299" t="inlineStr">
        <is>
          <t>ÅRE</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49702-2024</t>
        </is>
      </c>
      <c r="B300" t="inlineStr">
        <is>
          <t>avverkningsanmälan</t>
        </is>
      </c>
      <c r="C300" t="inlineStr">
        <is>
          <t>Föryngringsavverkning</t>
        </is>
      </c>
      <c r="D300" s="1" t="n">
        <v>45596</v>
      </c>
      <c r="E300" s="1" t="n">
        <v>46259</v>
      </c>
      <c r="F300" t="inlineStr">
        <is>
          <t>JÄMTLANDS LÄN</t>
        </is>
      </c>
      <c r="G300" t="inlineStr">
        <is>
          <t>ÅRE</t>
        </is>
      </c>
      <c r="H300" t="inlineStr">
        <is>
          <t>Övriga Aktiebolag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2374-2023</t>
        </is>
      </c>
      <c r="B301" t="inlineStr">
        <is>
          <t>avverkningsanmälan</t>
        </is>
      </c>
      <c r="C301" t="inlineStr">
        <is>
          <t>Föryngringsavverkning</t>
        </is>
      </c>
      <c r="D301" s="1" t="n">
        <v>44942</v>
      </c>
      <c r="E301" s="1" t="n">
        <v>46259</v>
      </c>
      <c r="F301" t="inlineStr">
        <is>
          <t>JÄMTLANDS LÄN</t>
        </is>
      </c>
      <c r="G301" t="inlineStr">
        <is>
          <t>ÅRE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5923-2022</t>
        </is>
      </c>
      <c r="B302" t="inlineStr">
        <is>
          <t>avverkningsanmälan</t>
        </is>
      </c>
      <c r="C302" t="inlineStr">
        <is>
          <t>Föryngringsavverkning</t>
        </is>
      </c>
      <c r="D302" s="1" t="n">
        <v>44598</v>
      </c>
      <c r="E302" s="1" t="n">
        <v>46259</v>
      </c>
      <c r="F302" t="inlineStr">
        <is>
          <t>JÄMTLANDS LÄN</t>
        </is>
      </c>
      <c r="G302" t="inlineStr">
        <is>
          <t>ÅRE</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46788-2024</t>
        </is>
      </c>
      <c r="B303" t="inlineStr">
        <is>
          <t>avverkningsanmälan</t>
        </is>
      </c>
      <c r="C303" t="inlineStr">
        <is>
          <t>Avverkning för annat ändamål</t>
        </is>
      </c>
      <c r="D303" s="1" t="n">
        <v>45583</v>
      </c>
      <c r="E303" s="1" t="n">
        <v>46259</v>
      </c>
      <c r="F303" t="inlineStr">
        <is>
          <t>JÄMTLANDS LÄN</t>
        </is>
      </c>
      <c r="G303" t="inlineStr">
        <is>
          <t>ÅRE</t>
        </is>
      </c>
      <c r="H303" t="inlineStr">
        <is>
          <t>Övriga Aktiebolag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65239-2021</t>
        </is>
      </c>
      <c r="B304" t="inlineStr">
        <is>
          <t>avverkningsanmälan</t>
        </is>
      </c>
      <c r="C304" t="inlineStr">
        <is>
          <t>Avverkning för annat ändamål</t>
        </is>
      </c>
      <c r="D304" s="1" t="n">
        <v>44515</v>
      </c>
      <c r="E304" s="1" t="n">
        <v>46259</v>
      </c>
      <c r="F304" t="inlineStr">
        <is>
          <t>JÄMTLANDS LÄN</t>
        </is>
      </c>
      <c r="G304" t="inlineStr">
        <is>
          <t>ÅRE</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60973-2023</t>
        </is>
      </c>
      <c r="B305" t="inlineStr">
        <is>
          <t>avverkningsanmälan</t>
        </is>
      </c>
      <c r="C305" t="inlineStr">
        <is>
          <t>Föryngringsavverkning</t>
        </is>
      </c>
      <c r="D305" s="1" t="n">
        <v>45261</v>
      </c>
      <c r="E305" s="1" t="n">
        <v>46259</v>
      </c>
      <c r="F305" t="inlineStr">
        <is>
          <t>JÄMTLANDS LÄN</t>
        </is>
      </c>
      <c r="G305" t="inlineStr">
        <is>
          <t>ÅRE</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20210-2026</t>
        </is>
      </c>
      <c r="B306" t="inlineStr">
        <is>
          <t>avverkningsanmälan</t>
        </is>
      </c>
      <c r="C306" t="inlineStr">
        <is>
          <t>Föryngringsavverkning</t>
        </is>
      </c>
      <c r="D306" s="1" t="n">
        <v>46139</v>
      </c>
      <c r="E306" s="1" t="n">
        <v>46259</v>
      </c>
      <c r="F306" t="inlineStr">
        <is>
          <t>JÄMTLANDS LÄN</t>
        </is>
      </c>
      <c r="G306" t="inlineStr">
        <is>
          <t>ÅRE</t>
        </is>
      </c>
      <c r="I306" t="n">
        <v>25.1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46789-2024</t>
        </is>
      </c>
      <c r="B307" t="inlineStr">
        <is>
          <t>avverkningsanmälan</t>
        </is>
      </c>
      <c r="C307" t="inlineStr">
        <is>
          <t>Avverkning för annat ändamål</t>
        </is>
      </c>
      <c r="D307" s="1" t="n">
        <v>45583</v>
      </c>
      <c r="E307" s="1" t="n">
        <v>46259</v>
      </c>
      <c r="F307" t="inlineStr">
        <is>
          <t>JÄMTLANDS LÄN</t>
        </is>
      </c>
      <c r="G307" t="inlineStr">
        <is>
          <t>ÅRE</t>
        </is>
      </c>
      <c r="H307" t="inlineStr">
        <is>
          <t>Övriga Aktiebolag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18849-2022</t>
        </is>
      </c>
      <c r="B308" t="inlineStr">
        <is>
          <t>avverkningsanmälan</t>
        </is>
      </c>
      <c r="C308" t="inlineStr">
        <is>
          <t>Föryngringsavverkning</t>
        </is>
      </c>
      <c r="D308" s="1" t="n">
        <v>44690</v>
      </c>
      <c r="E308" s="1" t="n">
        <v>46259</v>
      </c>
      <c r="F308" t="inlineStr">
        <is>
          <t>JÄMTLANDS LÄN</t>
        </is>
      </c>
      <c r="G308" t="inlineStr">
        <is>
          <t>ÅRE</t>
        </is>
      </c>
      <c r="I308" t="n">
        <v>12.8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20359-2026</t>
        </is>
      </c>
      <c r="B309" t="inlineStr">
        <is>
          <t>avverkningsanmälan</t>
        </is>
      </c>
      <c r="C309" t="inlineStr">
        <is>
          <t>Föryngringsavverkning</t>
        </is>
      </c>
      <c r="D309" s="1" t="n">
        <v>46139</v>
      </c>
      <c r="E309" s="1" t="n">
        <v>46259</v>
      </c>
      <c r="F309" t="inlineStr">
        <is>
          <t>JÄMTLANDS LÄN</t>
        </is>
      </c>
      <c r="G309" t="inlineStr">
        <is>
          <t>ÅRE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13221-2022</t>
        </is>
      </c>
      <c r="B310" t="inlineStr">
        <is>
          <t>avverkningsanmälan</t>
        </is>
      </c>
      <c r="C310" t="inlineStr">
        <is>
          <t>Föryngringsavverkning</t>
        </is>
      </c>
      <c r="D310" s="1" t="n">
        <v>44644</v>
      </c>
      <c r="E310" s="1" t="n">
        <v>46259</v>
      </c>
      <c r="F310" t="inlineStr">
        <is>
          <t>JÄMTLANDS LÄN</t>
        </is>
      </c>
      <c r="G310" t="inlineStr">
        <is>
          <t>ÅRE</t>
        </is>
      </c>
      <c r="H310" t="inlineStr">
        <is>
          <t>Övriga Aktiebolag</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23118-2022</t>
        </is>
      </c>
      <c r="B311" t="inlineStr">
        <is>
          <t>avverkningsanmälan</t>
        </is>
      </c>
      <c r="C311" t="inlineStr">
        <is>
          <t>Föryngringsavverkning</t>
        </is>
      </c>
      <c r="D311" s="1" t="n">
        <v>44719</v>
      </c>
      <c r="E311" s="1" t="n">
        <v>46259</v>
      </c>
      <c r="F311" t="inlineStr">
        <is>
          <t>JÄMTLANDS LÄN</t>
        </is>
      </c>
      <c r="G311" t="inlineStr">
        <is>
          <t>ÅRE</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48211-2025</t>
        </is>
      </c>
      <c r="B312" t="inlineStr">
        <is>
          <t>avverkningsanmälan</t>
        </is>
      </c>
      <c r="C312" t="inlineStr">
        <is>
          <t>Avverkning för att bevara och utveckla /försöksver</t>
        </is>
      </c>
      <c r="D312" s="1" t="n">
        <v>45931</v>
      </c>
      <c r="E312" s="1" t="n">
        <v>46259</v>
      </c>
      <c r="F312" t="inlineStr">
        <is>
          <t>JÄMTLANDS LÄN</t>
        </is>
      </c>
      <c r="G312" t="inlineStr">
        <is>
          <t>ÅRE</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25379-2024</t>
        </is>
      </c>
      <c r="B313" t="inlineStr">
        <is>
          <t>avverkningsanmälan</t>
        </is>
      </c>
      <c r="C313" t="inlineStr">
        <is>
          <t>Avverkning för att bevara och utveckla /försöksver</t>
        </is>
      </c>
      <c r="D313" s="1" t="n">
        <v>45462</v>
      </c>
      <c r="E313" s="1" t="n">
        <v>46259</v>
      </c>
      <c r="F313" t="inlineStr">
        <is>
          <t>JÄMTLANDS LÄN</t>
        </is>
      </c>
      <c r="G313" t="inlineStr">
        <is>
          <t>ÅRE</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46457-2025</t>
        </is>
      </c>
      <c r="B314" t="inlineStr">
        <is>
          <t>avverkningsanmälan</t>
        </is>
      </c>
      <c r="C314" t="inlineStr">
        <is>
          <t>Föryngringsavverkning</t>
        </is>
      </c>
      <c r="D314" s="1" t="n">
        <v>45925</v>
      </c>
      <c r="E314" s="1" t="n">
        <v>46259</v>
      </c>
      <c r="F314" t="inlineStr">
        <is>
          <t>JÄMTLANDS LÄN</t>
        </is>
      </c>
      <c r="G314" t="inlineStr">
        <is>
          <t>ÅRE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46452-2025</t>
        </is>
      </c>
      <c r="B315" t="inlineStr">
        <is>
          <t>avverkningsanmälan</t>
        </is>
      </c>
      <c r="C315" t="inlineStr">
        <is>
          <t>Föryngringsavverkning</t>
        </is>
      </c>
      <c r="D315" s="1" t="n">
        <v>45925</v>
      </c>
      <c r="E315" s="1" t="n">
        <v>46259</v>
      </c>
      <c r="F315" t="inlineStr">
        <is>
          <t>JÄMTLANDS LÄN</t>
        </is>
      </c>
      <c r="G315" t="inlineStr">
        <is>
          <t>ÅRE</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53462-2024</t>
        </is>
      </c>
      <c r="B316" t="inlineStr">
        <is>
          <t>avverkningsanmälan</t>
        </is>
      </c>
      <c r="C316" t="inlineStr">
        <is>
          <t>Föryngringsavverkning</t>
        </is>
      </c>
      <c r="D316" s="1" t="n">
        <v>45614</v>
      </c>
      <c r="E316" s="1" t="n">
        <v>46259</v>
      </c>
      <c r="F316" t="inlineStr">
        <is>
          <t>JÄMTLANDS LÄN</t>
        </is>
      </c>
      <c r="G316" t="inlineStr">
        <is>
          <t>ÅRE</t>
        </is>
      </c>
      <c r="I316" t="n">
        <v>12.8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25710-2024</t>
        </is>
      </c>
      <c r="B317" t="inlineStr">
        <is>
          <t>avverkningsanmälan</t>
        </is>
      </c>
      <c r="C317" t="inlineStr">
        <is>
          <t>Avverkning för att bevara och utveckla /försöksver</t>
        </is>
      </c>
      <c r="D317" s="1" t="n">
        <v>45463</v>
      </c>
      <c r="E317" s="1" t="n">
        <v>46259</v>
      </c>
      <c r="F317" t="inlineStr">
        <is>
          <t>JÄMTLANDS LÄN</t>
        </is>
      </c>
      <c r="G317" t="inlineStr">
        <is>
          <t>ÅRE</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51277-2023</t>
        </is>
      </c>
      <c r="B318" t="inlineStr">
        <is>
          <t>avverkningsanmälan</t>
        </is>
      </c>
      <c r="C318" t="inlineStr">
        <is>
          <t>Avverkning för annat ändamål</t>
        </is>
      </c>
      <c r="D318" s="1" t="n">
        <v>45219</v>
      </c>
      <c r="E318" s="1" t="n">
        <v>46259</v>
      </c>
      <c r="F318" t="inlineStr">
        <is>
          <t>JÄMTLANDS LÄN</t>
        </is>
      </c>
      <c r="G318" t="inlineStr">
        <is>
          <t>ÅRE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51282-2023</t>
        </is>
      </c>
      <c r="B319" t="inlineStr">
        <is>
          <t>avverkningsanmälan</t>
        </is>
      </c>
      <c r="C319" t="inlineStr">
        <is>
          <t>Avverkning för annat ändamål</t>
        </is>
      </c>
      <c r="D319" s="1" t="n">
        <v>45219</v>
      </c>
      <c r="E319" s="1" t="n">
        <v>46259</v>
      </c>
      <c r="F319" t="inlineStr">
        <is>
          <t>JÄMTLANDS LÄN</t>
        </is>
      </c>
      <c r="G319" t="inlineStr">
        <is>
          <t>ÅRE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36234-2023</t>
        </is>
      </c>
      <c r="B320" t="inlineStr">
        <is>
          <t>avverkningsanmälan</t>
        </is>
      </c>
      <c r="C320" t="inlineStr">
        <is>
          <t>Avverkning för annat ändamål</t>
        </is>
      </c>
      <c r="D320" s="1" t="n">
        <v>45150</v>
      </c>
      <c r="E320" s="1" t="n">
        <v>46259</v>
      </c>
      <c r="F320" t="inlineStr">
        <is>
          <t>JÄMTLANDS LÄN</t>
        </is>
      </c>
      <c r="G320" t="inlineStr">
        <is>
          <t>ÅRE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45605-2025</t>
        </is>
      </c>
      <c r="B321" t="inlineStr">
        <is>
          <t>avverkningsanmälan</t>
        </is>
      </c>
      <c r="C321" t="inlineStr">
        <is>
          <t>Föryngringsavverkning</t>
        </is>
      </c>
      <c r="D321" s="1" t="n">
        <v>45922</v>
      </c>
      <c r="E321" s="1" t="n">
        <v>46259</v>
      </c>
      <c r="F321" t="inlineStr">
        <is>
          <t>JÄMTLANDS LÄN</t>
        </is>
      </c>
      <c r="G321" t="inlineStr">
        <is>
          <t>ÅRE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12193-2023</t>
        </is>
      </c>
      <c r="B322" t="inlineStr">
        <is>
          <t>avverkningsanmälan</t>
        </is>
      </c>
      <c r="C322" t="inlineStr">
        <is>
          <t>Föryngringsavverkning</t>
        </is>
      </c>
      <c r="D322" s="1" t="n">
        <v>44998</v>
      </c>
      <c r="E322" s="1" t="n">
        <v>46259</v>
      </c>
      <c r="F322" t="inlineStr">
        <is>
          <t>JÄMTLANDS LÄN</t>
        </is>
      </c>
      <c r="G322" t="inlineStr">
        <is>
          <t>ÅRE</t>
        </is>
      </c>
      <c r="I322" t="n">
        <v>14.7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17566-2023</t>
        </is>
      </c>
      <c r="B323" t="inlineStr">
        <is>
          <t>avverkningsanmälan</t>
        </is>
      </c>
      <c r="C323" t="inlineStr">
        <is>
          <t>Föryngringsavverkning</t>
        </is>
      </c>
      <c r="D323" s="1" t="n">
        <v>45034</v>
      </c>
      <c r="E323" s="1" t="n">
        <v>46259</v>
      </c>
      <c r="F323" t="inlineStr">
        <is>
          <t>JÄMTLANDS LÄN</t>
        </is>
      </c>
      <c r="G323" t="inlineStr">
        <is>
          <t>ÅRE</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59916-2023</t>
        </is>
      </c>
      <c r="B324" t="inlineStr">
        <is>
          <t>avverkningsanmälan</t>
        </is>
      </c>
      <c r="C324" t="inlineStr">
        <is>
          <t>Föryngringsavverkning</t>
        </is>
      </c>
      <c r="D324" s="1" t="n">
        <v>45257</v>
      </c>
      <c r="E324" s="1" t="n">
        <v>46259</v>
      </c>
      <c r="F324" t="inlineStr">
        <is>
          <t>JÄMTLANDS LÄN</t>
        </is>
      </c>
      <c r="G324" t="inlineStr">
        <is>
          <t>ÅRE</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20485-2024</t>
        </is>
      </c>
      <c r="B325" t="inlineStr">
        <is>
          <t>avverkningsanmälan</t>
        </is>
      </c>
      <c r="C325" t="inlineStr">
        <is>
          <t>Föryngringsavverkning</t>
        </is>
      </c>
      <c r="D325" s="1" t="n">
        <v>45435</v>
      </c>
      <c r="E325" s="1" t="n">
        <v>46259</v>
      </c>
      <c r="F325" t="inlineStr">
        <is>
          <t>JÄMTLANDS LÄN</t>
        </is>
      </c>
      <c r="G325" t="inlineStr">
        <is>
          <t>ÅRE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47664-2022</t>
        </is>
      </c>
      <c r="B326" t="inlineStr">
        <is>
          <t>avverkningsanmälan</t>
        </is>
      </c>
      <c r="C326" t="inlineStr">
        <is>
          <t>Föryngringsavverkning</t>
        </is>
      </c>
      <c r="D326" s="1" t="n">
        <v>44854</v>
      </c>
      <c r="E326" s="1" t="n">
        <v>46259</v>
      </c>
      <c r="F326" t="inlineStr">
        <is>
          <t>JÄMTLANDS LÄN</t>
        </is>
      </c>
      <c r="G326" t="inlineStr">
        <is>
          <t>ÅRE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57448-2023</t>
        </is>
      </c>
      <c r="B327" t="inlineStr">
        <is>
          <t>avverkningsanmälan</t>
        </is>
      </c>
      <c r="C327" t="inlineStr">
        <is>
          <t>Föryngringsavverkning</t>
        </is>
      </c>
      <c r="D327" s="1" t="n">
        <v>45246</v>
      </c>
      <c r="E327" s="1" t="n">
        <v>46259</v>
      </c>
      <c r="F327" t="inlineStr">
        <is>
          <t>JÄMTLANDS LÄN</t>
        </is>
      </c>
      <c r="G327" t="inlineStr">
        <is>
          <t>ÅRE</t>
        </is>
      </c>
      <c r="I327" t="n">
        <v>11.9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37739-2023</t>
        </is>
      </c>
      <c r="B328" t="inlineStr">
        <is>
          <t>avverkningsanmälan</t>
        </is>
      </c>
      <c r="C328" t="inlineStr">
        <is>
          <t>Avverkning för annat ändamål</t>
        </is>
      </c>
      <c r="D328" s="1" t="n">
        <v>45159</v>
      </c>
      <c r="E328" s="1" t="n">
        <v>46259</v>
      </c>
      <c r="F328" t="inlineStr">
        <is>
          <t>JÄMTLANDS LÄN</t>
        </is>
      </c>
      <c r="G328" t="inlineStr">
        <is>
          <t>ÅRE</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37758-2023</t>
        </is>
      </c>
      <c r="B329" t="inlineStr">
        <is>
          <t>avverkningsanmälan</t>
        </is>
      </c>
      <c r="C329" t="inlineStr">
        <is>
          <t>Föryngringsavverkning</t>
        </is>
      </c>
      <c r="D329" s="1" t="n">
        <v>45159</v>
      </c>
      <c r="E329" s="1" t="n">
        <v>46259</v>
      </c>
      <c r="F329" t="inlineStr">
        <is>
          <t>JÄMTLANDS LÄN</t>
        </is>
      </c>
      <c r="G329" t="inlineStr">
        <is>
          <t>ÅRE</t>
        </is>
      </c>
      <c r="I329" t="n">
        <v>20.1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12168-2023</t>
        </is>
      </c>
      <c r="B330" t="inlineStr">
        <is>
          <t>avverkningsanmälan</t>
        </is>
      </c>
      <c r="C330" t="inlineStr">
        <is>
          <t>Föryngringsavverkning</t>
        </is>
      </c>
      <c r="D330" s="1" t="n">
        <v>44998</v>
      </c>
      <c r="E330" s="1" t="n">
        <v>46259</v>
      </c>
      <c r="F330" t="inlineStr">
        <is>
          <t>JÄMTLANDS LÄN</t>
        </is>
      </c>
      <c r="G330" t="inlineStr">
        <is>
          <t>ÅRE</t>
        </is>
      </c>
      <c r="I330" t="n">
        <v>8.699999999999999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12173-2023</t>
        </is>
      </c>
      <c r="B331" t="inlineStr">
        <is>
          <t>avverkningsanmälan</t>
        </is>
      </c>
      <c r="C331" t="inlineStr">
        <is>
          <t>Föryngringsavverkning</t>
        </is>
      </c>
      <c r="D331" s="1" t="n">
        <v>44998</v>
      </c>
      <c r="E331" s="1" t="n">
        <v>46259</v>
      </c>
      <c r="F331" t="inlineStr">
        <is>
          <t>JÄMTLANDS LÄN</t>
        </is>
      </c>
      <c r="G331" t="inlineStr">
        <is>
          <t>ÅRE</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33379-2024</t>
        </is>
      </c>
      <c r="B332" t="inlineStr">
        <is>
          <t>avverkningsanmälan</t>
        </is>
      </c>
      <c r="C332" t="inlineStr">
        <is>
          <t>Avverkning för annat ändamål</t>
        </is>
      </c>
      <c r="D332" s="1" t="n">
        <v>45519</v>
      </c>
      <c r="E332" s="1" t="n">
        <v>46259</v>
      </c>
      <c r="F332" t="inlineStr">
        <is>
          <t>JÄMTLANDS LÄN</t>
        </is>
      </c>
      <c r="G332" t="inlineStr">
        <is>
          <t>ÅRE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20809-2026</t>
        </is>
      </c>
      <c r="B333" t="inlineStr">
        <is>
          <t>avverkningsanmälan</t>
        </is>
      </c>
      <c r="C333" t="inlineStr">
        <is>
          <t>Föryngringsavverkning</t>
        </is>
      </c>
      <c r="D333" s="1" t="n">
        <v>46141</v>
      </c>
      <c r="E333" s="1" t="n">
        <v>46259</v>
      </c>
      <c r="F333" t="inlineStr">
        <is>
          <t>JÄMTLANDS LÄN</t>
        </is>
      </c>
      <c r="G333" t="inlineStr">
        <is>
          <t>ÅRE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42136-2022</t>
        </is>
      </c>
      <c r="B334" t="inlineStr">
        <is>
          <t>avverkningsanmälan</t>
        </is>
      </c>
      <c r="C334" t="inlineStr">
        <is>
          <t>Föryngringsavverkning</t>
        </is>
      </c>
      <c r="D334" s="1" t="n">
        <v>44830</v>
      </c>
      <c r="E334" s="1" t="n">
        <v>46259</v>
      </c>
      <c r="F334" t="inlineStr">
        <is>
          <t>JÄMTLANDS LÄN</t>
        </is>
      </c>
      <c r="G334" t="inlineStr">
        <is>
          <t>ÅRE</t>
        </is>
      </c>
      <c r="H334" t="inlineStr">
        <is>
          <t>Bergvik skog öst AB</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1159-2023</t>
        </is>
      </c>
      <c r="B335" t="inlineStr">
        <is>
          <t>avverkningsanmälan</t>
        </is>
      </c>
      <c r="C335" t="inlineStr">
        <is>
          <t>Föryngringsavverkning</t>
        </is>
      </c>
      <c r="D335" s="1" t="n">
        <v>44935</v>
      </c>
      <c r="E335" s="1" t="n">
        <v>46259</v>
      </c>
      <c r="F335" t="inlineStr">
        <is>
          <t>JÄMTLANDS LÄN</t>
        </is>
      </c>
      <c r="G335" t="inlineStr">
        <is>
          <t>ÅRE</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278-2023</t>
        </is>
      </c>
      <c r="B336" t="inlineStr">
        <is>
          <t>avverkningsanmälan</t>
        </is>
      </c>
      <c r="C336" t="inlineStr">
        <is>
          <t>Avverkning för annat ändamål</t>
        </is>
      </c>
      <c r="D336" s="1" t="n">
        <v>44928</v>
      </c>
      <c r="E336" s="1" t="n">
        <v>46259</v>
      </c>
      <c r="F336" t="inlineStr">
        <is>
          <t>JÄMTLANDS LÄN</t>
        </is>
      </c>
      <c r="G336" t="inlineStr">
        <is>
          <t>ÅRE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60585-2025</t>
        </is>
      </c>
      <c r="B337" t="inlineStr">
        <is>
          <t>avverkningsanmälan</t>
        </is>
      </c>
      <c r="C337" t="inlineStr">
        <is>
          <t>Föryngringsavverkning</t>
        </is>
      </c>
      <c r="D337" s="1" t="n">
        <v>45996</v>
      </c>
      <c r="E337" s="1" t="n">
        <v>46259</v>
      </c>
      <c r="F337" t="inlineStr">
        <is>
          <t>JÄMTLANDS LÄN</t>
        </is>
      </c>
      <c r="G337" t="inlineStr">
        <is>
          <t>ÅRE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49303-2024</t>
        </is>
      </c>
      <c r="B338" t="inlineStr">
        <is>
          <t>avverkningsanmälan</t>
        </is>
      </c>
      <c r="C338" t="inlineStr">
        <is>
          <t>Föryngringsavverkning</t>
        </is>
      </c>
      <c r="D338" s="1" t="n">
        <v>45595</v>
      </c>
      <c r="E338" s="1" t="n">
        <v>46259</v>
      </c>
      <c r="F338" t="inlineStr">
        <is>
          <t>JÄMTLANDS LÄN</t>
        </is>
      </c>
      <c r="G338" t="inlineStr">
        <is>
          <t>ÅRE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24655-2023</t>
        </is>
      </c>
      <c r="B339" t="inlineStr">
        <is>
          <t>avverkningsanmälan</t>
        </is>
      </c>
      <c r="C339" t="inlineStr">
        <is>
          <t>Föryngringsavverkning</t>
        </is>
      </c>
      <c r="D339" s="1" t="n">
        <v>45084</v>
      </c>
      <c r="E339" s="1" t="n">
        <v>46259</v>
      </c>
      <c r="F339" t="inlineStr">
        <is>
          <t>JÄMTLANDS LÄN</t>
        </is>
      </c>
      <c r="G339" t="inlineStr">
        <is>
          <t>ÅRE</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12669-2023</t>
        </is>
      </c>
      <c r="B340" t="inlineStr">
        <is>
          <t>avverkningsanmälan</t>
        </is>
      </c>
      <c r="C340" t="inlineStr">
        <is>
          <t>Föryngringsavverkning</t>
        </is>
      </c>
      <c r="D340" s="1" t="n">
        <v>45000</v>
      </c>
      <c r="E340" s="1" t="n">
        <v>46259</v>
      </c>
      <c r="F340" t="inlineStr">
        <is>
          <t>JÄMTLANDS LÄN</t>
        </is>
      </c>
      <c r="G340" t="inlineStr">
        <is>
          <t>ÅRE</t>
        </is>
      </c>
      <c r="H340" t="inlineStr">
        <is>
          <t>Övriga Aktiebolag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58508-2023</t>
        </is>
      </c>
      <c r="B341" t="inlineStr">
        <is>
          <t>avverkningsanmälan</t>
        </is>
      </c>
      <c r="C341" t="inlineStr">
        <is>
          <t>Föryngringsavverkning</t>
        </is>
      </c>
      <c r="D341" s="1" t="n">
        <v>45246</v>
      </c>
      <c r="E341" s="1" t="n">
        <v>46259</v>
      </c>
      <c r="F341" t="inlineStr">
        <is>
          <t>JÄMTLANDS LÄN</t>
        </is>
      </c>
      <c r="G341" t="inlineStr">
        <is>
          <t>ÅRE</t>
        </is>
      </c>
      <c r="I341" t="n">
        <v>21.8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61355-2025</t>
        </is>
      </c>
      <c r="B342" t="inlineStr">
        <is>
          <t>avverkningsanmälan</t>
        </is>
      </c>
      <c r="C342" t="inlineStr">
        <is>
          <t>Föryngringsavverkning</t>
        </is>
      </c>
      <c r="D342" s="1" t="n">
        <v>46001</v>
      </c>
      <c r="E342" s="1" t="n">
        <v>46259</v>
      </c>
      <c r="F342" t="inlineStr">
        <is>
          <t>JÄMTLANDS LÄN</t>
        </is>
      </c>
      <c r="G342" t="inlineStr">
        <is>
          <t>ÅRE</t>
        </is>
      </c>
      <c r="I342" t="n">
        <v>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57864-2024</t>
        </is>
      </c>
      <c r="B343" t="inlineStr">
        <is>
          <t>avverkningsanmälan</t>
        </is>
      </c>
      <c r="C343" t="inlineStr">
        <is>
          <t>Föryngringsavverkning</t>
        </is>
      </c>
      <c r="D343" s="1" t="n">
        <v>45631</v>
      </c>
      <c r="E343" s="1" t="n">
        <v>46259</v>
      </c>
      <c r="F343" t="inlineStr">
        <is>
          <t>JÄMTLANDS LÄN</t>
        </is>
      </c>
      <c r="G343" t="inlineStr">
        <is>
          <t>ÅRE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21140-2026</t>
        </is>
      </c>
      <c r="B344" t="inlineStr">
        <is>
          <t>avverkningsanmälan</t>
        </is>
      </c>
      <c r="C344" t="inlineStr">
        <is>
          <t>Föryngringsavverkning</t>
        </is>
      </c>
      <c r="D344" s="1" t="n">
        <v>46146</v>
      </c>
      <c r="E344" s="1" t="n">
        <v>46259</v>
      </c>
      <c r="F344" t="inlineStr">
        <is>
          <t>JÄMTLANDS LÄN</t>
        </is>
      </c>
      <c r="G344" t="inlineStr">
        <is>
          <t>ÅRE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12292-2023</t>
        </is>
      </c>
      <c r="B345" t="inlineStr">
        <is>
          <t>avverkningsanmälan</t>
        </is>
      </c>
      <c r="C345" t="inlineStr">
        <is>
          <t>Föryngringsavverkning</t>
        </is>
      </c>
      <c r="D345" s="1" t="n">
        <v>44998</v>
      </c>
      <c r="E345" s="1" t="n">
        <v>46259</v>
      </c>
      <c r="F345" t="inlineStr">
        <is>
          <t>JÄMTLANDS LÄN</t>
        </is>
      </c>
      <c r="G345" t="inlineStr">
        <is>
          <t>ÅRE</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12294-2023</t>
        </is>
      </c>
      <c r="B346" t="inlineStr">
        <is>
          <t>avverkningsanmälan</t>
        </is>
      </c>
      <c r="C346" t="inlineStr">
        <is>
          <t>Föryngringsavverkning</t>
        </is>
      </c>
      <c r="D346" s="1" t="n">
        <v>44998</v>
      </c>
      <c r="E346" s="1" t="n">
        <v>46259</v>
      </c>
      <c r="F346" t="inlineStr">
        <is>
          <t>JÄMTLANDS LÄN</t>
        </is>
      </c>
      <c r="G346" t="inlineStr">
        <is>
          <t>ÅRE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47052-2022</t>
        </is>
      </c>
      <c r="B347" t="inlineStr">
        <is>
          <t>avverkningsanmälan</t>
        </is>
      </c>
      <c r="C347" t="inlineStr">
        <is>
          <t>Föryngringsavverkning</t>
        </is>
      </c>
      <c r="D347" s="1" t="n">
        <v>44851</v>
      </c>
      <c r="E347" s="1" t="n">
        <v>46259</v>
      </c>
      <c r="F347" t="inlineStr">
        <is>
          <t>JÄMTLANDS LÄN</t>
        </is>
      </c>
      <c r="G347" t="inlineStr">
        <is>
          <t>ÅRE</t>
        </is>
      </c>
      <c r="I347" t="n">
        <v>90.8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32210-2022</t>
        </is>
      </c>
      <c r="B348" t="inlineStr">
        <is>
          <t>avverkningsanmälan</t>
        </is>
      </c>
      <c r="C348" t="inlineStr">
        <is>
          <t>Föryngringsavverkning</t>
        </is>
      </c>
      <c r="D348" s="1" t="n">
        <v>44781</v>
      </c>
      <c r="E348" s="1" t="n">
        <v>46259</v>
      </c>
      <c r="F348" t="inlineStr">
        <is>
          <t>JÄMTLANDS LÄN</t>
        </is>
      </c>
      <c r="G348" t="inlineStr">
        <is>
          <t>ÅRE</t>
        </is>
      </c>
      <c r="I348" t="n">
        <v>17.3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71968-2021</t>
        </is>
      </c>
      <c r="B349" t="inlineStr">
        <is>
          <t>avverkningsanmälan</t>
        </is>
      </c>
      <c r="C349" t="inlineStr">
        <is>
          <t>Föryngringsavverkning</t>
        </is>
      </c>
      <c r="D349" s="1" t="n">
        <v>44540</v>
      </c>
      <c r="E349" s="1" t="n">
        <v>46259</v>
      </c>
      <c r="F349" t="inlineStr">
        <is>
          <t>JÄMTLANDS LÄN</t>
        </is>
      </c>
      <c r="G349" t="inlineStr">
        <is>
          <t>ÅRE</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61803-2021</t>
        </is>
      </c>
      <c r="B350" t="inlineStr">
        <is>
          <t>avverkningsanmälan</t>
        </is>
      </c>
      <c r="C350" t="inlineStr">
        <is>
          <t>Föryngringsavverkning</t>
        </is>
      </c>
      <c r="D350" s="1" t="n">
        <v>44498</v>
      </c>
      <c r="E350" s="1" t="n">
        <v>46259</v>
      </c>
      <c r="F350" t="inlineStr">
        <is>
          <t>JÄMTLANDS LÄN</t>
        </is>
      </c>
      <c r="G350" t="inlineStr">
        <is>
          <t>ÅRE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33003-2022</t>
        </is>
      </c>
      <c r="B351" t="inlineStr">
        <is>
          <t>avverkningsanmälan</t>
        </is>
      </c>
      <c r="C351" t="inlineStr">
        <is>
          <t>Föryngringsavverkning</t>
        </is>
      </c>
      <c r="D351" s="1" t="n">
        <v>44784</v>
      </c>
      <c r="E351" s="1" t="n">
        <v>46259</v>
      </c>
      <c r="F351" t="inlineStr">
        <is>
          <t>JÄMTLANDS LÄN</t>
        </is>
      </c>
      <c r="G351" t="inlineStr">
        <is>
          <t>ÅRE</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21312-2026</t>
        </is>
      </c>
      <c r="B352" t="inlineStr">
        <is>
          <t>avverkningsanmälan</t>
        </is>
      </c>
      <c r="C352" t="inlineStr">
        <is>
          <t>Föryngringsavverkning</t>
        </is>
      </c>
      <c r="D352" s="1" t="n">
        <v>46147</v>
      </c>
      <c r="E352" s="1" t="n">
        <v>46259</v>
      </c>
      <c r="F352" t="inlineStr">
        <is>
          <t>JÄMTLANDS LÄN</t>
        </is>
      </c>
      <c r="G352" t="inlineStr">
        <is>
          <t>ÅRE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57150-2021</t>
        </is>
      </c>
      <c r="B353" t="inlineStr">
        <is>
          <t>avverkningsanmälan</t>
        </is>
      </c>
      <c r="C353" t="inlineStr">
        <is>
          <t>Avverkning för annat ändamål</t>
        </is>
      </c>
      <c r="D353" s="1" t="n">
        <v>44482</v>
      </c>
      <c r="E353" s="1" t="n">
        <v>46259</v>
      </c>
      <c r="F353" t="inlineStr">
        <is>
          <t>JÄMTLANDS LÄN</t>
        </is>
      </c>
      <c r="G353" t="inlineStr">
        <is>
          <t>ÅRE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48599-2023</t>
        </is>
      </c>
      <c r="B354" t="inlineStr">
        <is>
          <t>avverkningsanmälan</t>
        </is>
      </c>
      <c r="C354" t="inlineStr">
        <is>
          <t>Avverkning för annat ändamål</t>
        </is>
      </c>
      <c r="D354" s="1" t="n">
        <v>45208</v>
      </c>
      <c r="E354" s="1" t="n">
        <v>46259</v>
      </c>
      <c r="F354" t="inlineStr">
        <is>
          <t>JÄMTLANDS LÄN</t>
        </is>
      </c>
      <c r="G354" t="inlineStr">
        <is>
          <t>ÅRE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20160-2025</t>
        </is>
      </c>
      <c r="B355" t="inlineStr">
        <is>
          <t>avverkningsanmälan</t>
        </is>
      </c>
      <c r="C355" t="inlineStr">
        <is>
          <t>Avverkning för annat ändamål</t>
        </is>
      </c>
      <c r="D355" s="1" t="n">
        <v>45772</v>
      </c>
      <c r="E355" s="1" t="n">
        <v>46259</v>
      </c>
      <c r="F355" t="inlineStr">
        <is>
          <t>JÄMTLANDS LÄN</t>
        </is>
      </c>
      <c r="G355" t="inlineStr">
        <is>
          <t>ÅRE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59215-2024</t>
        </is>
      </c>
      <c r="B356" t="inlineStr">
        <is>
          <t>avverkningsanmälan</t>
        </is>
      </c>
      <c r="C356" t="inlineStr">
        <is>
          <t>Avverkning för annat ändamål</t>
        </is>
      </c>
      <c r="D356" s="1" t="n">
        <v>45636</v>
      </c>
      <c r="E356" s="1" t="n">
        <v>46259</v>
      </c>
      <c r="F356" t="inlineStr">
        <is>
          <t>JÄMTLANDS LÄN</t>
        </is>
      </c>
      <c r="G356" t="inlineStr">
        <is>
          <t>ÅRE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58940-2021</t>
        </is>
      </c>
      <c r="B357" t="inlineStr">
        <is>
          <t>avverkningsanmälan</t>
        </is>
      </c>
      <c r="C357" t="inlineStr">
        <is>
          <t>Föryngringsavverkning</t>
        </is>
      </c>
      <c r="D357" s="1" t="n">
        <v>44489</v>
      </c>
      <c r="E357" s="1" t="n">
        <v>46259</v>
      </c>
      <c r="F357" t="inlineStr">
        <is>
          <t>JÄMTLANDS LÄN</t>
        </is>
      </c>
      <c r="G357" t="inlineStr">
        <is>
          <t>ÅRE</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12179-2023</t>
        </is>
      </c>
      <c r="B358" t="inlineStr">
        <is>
          <t>avverkningsanmälan</t>
        </is>
      </c>
      <c r="C358" t="inlineStr">
        <is>
          <t>Föryngringsavverkning</t>
        </is>
      </c>
      <c r="D358" s="1" t="n">
        <v>44998</v>
      </c>
      <c r="E358" s="1" t="n">
        <v>46259</v>
      </c>
      <c r="F358" t="inlineStr">
        <is>
          <t>JÄMTLANDS LÄN</t>
        </is>
      </c>
      <c r="G358" t="inlineStr">
        <is>
          <t>ÅRE</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61566-2021</t>
        </is>
      </c>
      <c r="B359" t="inlineStr">
        <is>
          <t>avverkningsanmälan</t>
        </is>
      </c>
      <c r="C359" t="inlineStr">
        <is>
          <t>Föryngringsavverkning</t>
        </is>
      </c>
      <c r="D359" s="1" t="n">
        <v>44496</v>
      </c>
      <c r="E359" s="1" t="n">
        <v>46259</v>
      </c>
      <c r="F359" t="inlineStr">
        <is>
          <t>JÄMTLANDS LÄN</t>
        </is>
      </c>
      <c r="G359" t="inlineStr">
        <is>
          <t>ÅRE</t>
        </is>
      </c>
      <c r="H359" t="inlineStr">
        <is>
          <t>Övriga statliga verk och myndigheter</t>
        </is>
      </c>
      <c r="I359" t="n">
        <v>10.9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22689-2026</t>
        </is>
      </c>
      <c r="B360" t="inlineStr">
        <is>
          <t>avverkningsanmälan</t>
        </is>
      </c>
      <c r="C360" t="inlineStr">
        <is>
          <t>Föryngringsavverkning</t>
        </is>
      </c>
      <c r="D360" s="1" t="n">
        <v>46156</v>
      </c>
      <c r="E360" s="1" t="n">
        <v>46259</v>
      </c>
      <c r="F360" t="inlineStr">
        <is>
          <t>JÄMTLANDS LÄN</t>
        </is>
      </c>
      <c r="G360" t="inlineStr">
        <is>
          <t>ÅRE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61340-2022</t>
        </is>
      </c>
      <c r="B361" t="inlineStr">
        <is>
          <t>avverkningsanmälan</t>
        </is>
      </c>
      <c r="C361" t="inlineStr">
        <is>
          <t>Avverkning för annat ändamål</t>
        </is>
      </c>
      <c r="D361" s="1" t="n">
        <v>44909</v>
      </c>
      <c r="E361" s="1" t="n">
        <v>46259</v>
      </c>
      <c r="F361" t="inlineStr">
        <is>
          <t>JÄMTLANDS LÄN</t>
        </is>
      </c>
      <c r="G361" t="inlineStr">
        <is>
          <t>ÅRE</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22891-2026</t>
        </is>
      </c>
      <c r="B362" t="inlineStr">
        <is>
          <t>avverkningsanmälan</t>
        </is>
      </c>
      <c r="C362" t="inlineStr">
        <is>
          <t>Föryngringsavverkning</t>
        </is>
      </c>
      <c r="D362" s="1" t="n">
        <v>46160</v>
      </c>
      <c r="E362" s="1" t="n">
        <v>46259</v>
      </c>
      <c r="F362" t="inlineStr">
        <is>
          <t>JÄMTLANDS LÄN</t>
        </is>
      </c>
      <c r="G362" t="inlineStr">
        <is>
          <t>ÅRE</t>
        </is>
      </c>
      <c r="H362" t="inlineStr">
        <is>
          <t>Övriga Aktiebolag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22904-2026</t>
        </is>
      </c>
      <c r="B363" t="inlineStr">
        <is>
          <t>avverkningsanmälan</t>
        </is>
      </c>
      <c r="C363" t="inlineStr">
        <is>
          <t>Föryngringsavverkning</t>
        </is>
      </c>
      <c r="D363" s="1" t="n">
        <v>46160</v>
      </c>
      <c r="E363" s="1" t="n">
        <v>46259</v>
      </c>
      <c r="F363" t="inlineStr">
        <is>
          <t>JÄMTLANDS LÄN</t>
        </is>
      </c>
      <c r="G363" t="inlineStr">
        <is>
          <t>ÅRE</t>
        </is>
      </c>
      <c r="H363" t="inlineStr">
        <is>
          <t>Övriga Aktiebolag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6049-2025</t>
        </is>
      </c>
      <c r="B364" t="inlineStr">
        <is>
          <t>avverkningsanmälan</t>
        </is>
      </c>
      <c r="C364" t="inlineStr">
        <is>
          <t>Föryngringsavverkning</t>
        </is>
      </c>
      <c r="D364" s="1" t="n">
        <v>45695</v>
      </c>
      <c r="E364" s="1" t="n">
        <v>46259</v>
      </c>
      <c r="F364" t="inlineStr">
        <is>
          <t>JÄMTLANDS LÄN</t>
        </is>
      </c>
      <c r="G364" t="inlineStr">
        <is>
          <t>ÅRE</t>
        </is>
      </c>
      <c r="I364" t="n">
        <v>58.3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5460-2023</t>
        </is>
      </c>
      <c r="B365" t="inlineStr">
        <is>
          <t>avverkningsanmälan</t>
        </is>
      </c>
      <c r="C365" t="inlineStr">
        <is>
          <t>Föryngringsavverkning</t>
        </is>
      </c>
      <c r="D365" s="1" t="n">
        <v>44960</v>
      </c>
      <c r="E365" s="1" t="n">
        <v>46259</v>
      </c>
      <c r="F365" t="inlineStr">
        <is>
          <t>JÄMTLANDS LÄN</t>
        </is>
      </c>
      <c r="G365" t="inlineStr">
        <is>
          <t>ÅRE</t>
        </is>
      </c>
      <c r="I365" t="n">
        <v>9.4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61926-2022</t>
        </is>
      </c>
      <c r="B366" t="inlineStr">
        <is>
          <t>avverkningsanmälan</t>
        </is>
      </c>
      <c r="C366" t="inlineStr">
        <is>
          <t>Föryngringsavverkning</t>
        </is>
      </c>
      <c r="D366" s="1" t="n">
        <v>44917</v>
      </c>
      <c r="E366" s="1" t="n">
        <v>46259</v>
      </c>
      <c r="F366" t="inlineStr">
        <is>
          <t>JÄMTLANDS LÄN</t>
        </is>
      </c>
      <c r="G366" t="inlineStr">
        <is>
          <t>ÅRE</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23045-2026</t>
        </is>
      </c>
      <c r="B367" t="inlineStr">
        <is>
          <t>avverkningsanmälan</t>
        </is>
      </c>
      <c r="C367" t="inlineStr">
        <is>
          <t>Föryngringsavverkning</t>
        </is>
      </c>
      <c r="D367" s="1" t="n">
        <v>46161</v>
      </c>
      <c r="E367" s="1" t="n">
        <v>46259</v>
      </c>
      <c r="F367" t="inlineStr">
        <is>
          <t>JÄMTLANDS LÄN</t>
        </is>
      </c>
      <c r="G367" t="inlineStr">
        <is>
          <t>ÅRE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44644-2025</t>
        </is>
      </c>
      <c r="B368" t="inlineStr">
        <is>
          <t>avverkningsanmälan</t>
        </is>
      </c>
      <c r="C368" t="inlineStr">
        <is>
          <t>Föryngringsavverkning</t>
        </is>
      </c>
      <c r="D368" s="1" t="n">
        <v>45917</v>
      </c>
      <c r="E368" s="1" t="n">
        <v>46259</v>
      </c>
      <c r="F368" t="inlineStr">
        <is>
          <t>JÄMTLANDS LÄN</t>
        </is>
      </c>
      <c r="G368" t="inlineStr">
        <is>
          <t>ÅRE</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23081-2026</t>
        </is>
      </c>
      <c r="B369" t="inlineStr">
        <is>
          <t>avverkningsanmälan</t>
        </is>
      </c>
      <c r="C369" t="inlineStr">
        <is>
          <t>Föryngringsavverkning</t>
        </is>
      </c>
      <c r="D369" s="1" t="n">
        <v>46161</v>
      </c>
      <c r="E369" s="1" t="n">
        <v>46259</v>
      </c>
      <c r="F369" t="inlineStr">
        <is>
          <t>JÄMTLANDS LÄN</t>
        </is>
      </c>
      <c r="G369" t="inlineStr">
        <is>
          <t>ÅRE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51876-2025</t>
        </is>
      </c>
      <c r="B370" t="inlineStr">
        <is>
          <t>avverkningsanmälan</t>
        </is>
      </c>
      <c r="C370" t="inlineStr">
        <is>
          <t>Avverkning för annat ändamål</t>
        </is>
      </c>
      <c r="D370" s="1" t="n">
        <v>45952</v>
      </c>
      <c r="E370" s="1" t="n">
        <v>46259</v>
      </c>
      <c r="F370" t="inlineStr">
        <is>
          <t>JÄMTLANDS LÄN</t>
        </is>
      </c>
      <c r="G370" t="inlineStr">
        <is>
          <t>ÅRE</t>
        </is>
      </c>
      <c r="H370" t="inlineStr">
        <is>
          <t>Övriga Aktiebolag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52607-2025</t>
        </is>
      </c>
      <c r="B371" t="inlineStr">
        <is>
          <t>avverkningsanmälan</t>
        </is>
      </c>
      <c r="C371" t="inlineStr">
        <is>
          <t>Föryngringsavverkning</t>
        </is>
      </c>
      <c r="D371" s="1" t="n">
        <v>45954</v>
      </c>
      <c r="E371" s="1" t="n">
        <v>46259</v>
      </c>
      <c r="F371" t="inlineStr">
        <is>
          <t>JÄMTLANDS LÄN</t>
        </is>
      </c>
      <c r="G371" t="inlineStr">
        <is>
          <t>ÅRE</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45796-2024</t>
        </is>
      </c>
      <c r="B372" t="inlineStr">
        <is>
          <t>avverkningsanmälan</t>
        </is>
      </c>
      <c r="C372" t="inlineStr">
        <is>
          <t>Föryngringsavverkning</t>
        </is>
      </c>
      <c r="D372" s="1" t="n">
        <v>45579</v>
      </c>
      <c r="E372" s="1" t="n">
        <v>46259</v>
      </c>
      <c r="F372" t="inlineStr">
        <is>
          <t>JÄMTLANDS LÄN</t>
        </is>
      </c>
      <c r="G372" t="inlineStr">
        <is>
          <t>ÅRE</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53134-2025</t>
        </is>
      </c>
      <c r="B373" t="inlineStr">
        <is>
          <t>avverkningsanmälan</t>
        </is>
      </c>
      <c r="C373" t="inlineStr">
        <is>
          <t>Föryngringsavverkning</t>
        </is>
      </c>
      <c r="D373" s="1" t="n">
        <v>45958</v>
      </c>
      <c r="E373" s="1" t="n">
        <v>46259</v>
      </c>
      <c r="F373" t="inlineStr">
        <is>
          <t>JÄMTLANDS LÄN</t>
        </is>
      </c>
      <c r="G373" t="inlineStr">
        <is>
          <t>ÅRE</t>
        </is>
      </c>
      <c r="I373" t="n">
        <v>13.8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53133-2025</t>
        </is>
      </c>
      <c r="B374" t="inlineStr">
        <is>
          <t>avverkningsanmälan</t>
        </is>
      </c>
      <c r="C374" t="inlineStr">
        <is>
          <t>Föryngringsavverkning</t>
        </is>
      </c>
      <c r="D374" s="1" t="n">
        <v>45958</v>
      </c>
      <c r="E374" s="1" t="n">
        <v>46259</v>
      </c>
      <c r="F374" t="inlineStr">
        <is>
          <t>JÄMTLANDS LÄN</t>
        </is>
      </c>
      <c r="G374" t="inlineStr">
        <is>
          <t>ÅRE</t>
        </is>
      </c>
      <c r="I374" t="n">
        <v>13.8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3263-2023</t>
        </is>
      </c>
      <c r="B375" t="inlineStr">
        <is>
          <t>avverkningsanmälan</t>
        </is>
      </c>
      <c r="C375" t="inlineStr">
        <is>
          <t>Föryngringsavverkning</t>
        </is>
      </c>
      <c r="D375" s="1" t="n">
        <v>44948</v>
      </c>
      <c r="E375" s="1" t="n">
        <v>46259</v>
      </c>
      <c r="F375" t="inlineStr">
        <is>
          <t>JÄMTLANDS LÄN</t>
        </is>
      </c>
      <c r="G375" t="inlineStr">
        <is>
          <t>ÅRE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26032-2023</t>
        </is>
      </c>
      <c r="B376" t="inlineStr">
        <is>
          <t>avverkningsanmälan</t>
        </is>
      </c>
      <c r="C376" t="inlineStr">
        <is>
          <t>Föryngringsavverkning</t>
        </is>
      </c>
      <c r="D376" s="1" t="n">
        <v>45091</v>
      </c>
      <c r="E376" s="1" t="n">
        <v>46259</v>
      </c>
      <c r="F376" t="inlineStr">
        <is>
          <t>JÄMTLANDS LÄN</t>
        </is>
      </c>
      <c r="G376" t="inlineStr">
        <is>
          <t>ÅRE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26033-2023</t>
        </is>
      </c>
      <c r="B377" t="inlineStr">
        <is>
          <t>avverkningsanmälan</t>
        </is>
      </c>
      <c r="C377" t="inlineStr">
        <is>
          <t>Föryngringsavverkning</t>
        </is>
      </c>
      <c r="D377" s="1" t="n">
        <v>45091</v>
      </c>
      <c r="E377" s="1" t="n">
        <v>46259</v>
      </c>
      <c r="F377" t="inlineStr">
        <is>
          <t>JÄMTLANDS LÄN</t>
        </is>
      </c>
      <c r="G377" t="inlineStr">
        <is>
          <t>ÅRE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52946-2025</t>
        </is>
      </c>
      <c r="B378" t="inlineStr">
        <is>
          <t>avverkningsanmälan</t>
        </is>
      </c>
      <c r="C378" t="inlineStr">
        <is>
          <t>Föryngringsavverkning</t>
        </is>
      </c>
      <c r="D378" s="1" t="n">
        <v>45957</v>
      </c>
      <c r="E378" s="1" t="n">
        <v>46259</v>
      </c>
      <c r="F378" t="inlineStr">
        <is>
          <t>JÄMTLANDS LÄN</t>
        </is>
      </c>
      <c r="G378" t="inlineStr">
        <is>
          <t>ÅRE</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61524-2021</t>
        </is>
      </c>
      <c r="B379" t="inlineStr">
        <is>
          <t>avverkningsanmälan</t>
        </is>
      </c>
      <c r="C379" t="inlineStr">
        <is>
          <t>Avverkning för att bevara och utveckla /försöksver</t>
        </is>
      </c>
      <c r="D379" s="1" t="n">
        <v>44496</v>
      </c>
      <c r="E379" s="1" t="n">
        <v>46259</v>
      </c>
      <c r="F379" t="inlineStr">
        <is>
          <t>JÄMTLANDS LÄN</t>
        </is>
      </c>
      <c r="G379" t="inlineStr">
        <is>
          <t>ÅRE</t>
        </is>
      </c>
      <c r="H379" t="inlineStr">
        <is>
          <t>Övriga statliga verk och myndigheter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59397-2021</t>
        </is>
      </c>
      <c r="B380" t="inlineStr">
        <is>
          <t>avverkningsanmälan</t>
        </is>
      </c>
      <c r="C380" t="inlineStr">
        <is>
          <t>Föryngringsavverkning</t>
        </is>
      </c>
      <c r="D380" s="1" t="n">
        <v>44491</v>
      </c>
      <c r="E380" s="1" t="n">
        <v>46259</v>
      </c>
      <c r="F380" t="inlineStr">
        <is>
          <t>JÄMTLANDS LÄN</t>
        </is>
      </c>
      <c r="G380" t="inlineStr">
        <is>
          <t>ÅRE</t>
        </is>
      </c>
      <c r="H380" t="inlineStr">
        <is>
          <t>Övriga Aktiebolag</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50951-2023</t>
        </is>
      </c>
      <c r="B381" t="inlineStr">
        <is>
          <t>avverkningsanmälan</t>
        </is>
      </c>
      <c r="C381" t="inlineStr">
        <is>
          <t>Avverkning för att bevara och utveckla /försöksver</t>
        </is>
      </c>
      <c r="D381" s="1" t="n">
        <v>45218</v>
      </c>
      <c r="E381" s="1" t="n">
        <v>46259</v>
      </c>
      <c r="F381" t="inlineStr">
        <is>
          <t>JÄMTLANDS LÄN</t>
        </is>
      </c>
      <c r="G381" t="inlineStr">
        <is>
          <t>ÅRE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73086-2021</t>
        </is>
      </c>
      <c r="B382" t="inlineStr">
        <is>
          <t>avverkningsanmälan</t>
        </is>
      </c>
      <c r="C382" t="inlineStr">
        <is>
          <t>Föryngringsavverkning</t>
        </is>
      </c>
      <c r="D382" s="1" t="n">
        <v>44550</v>
      </c>
      <c r="E382" s="1" t="n">
        <v>46259</v>
      </c>
      <c r="F382" t="inlineStr">
        <is>
          <t>JÄMTLANDS LÄN</t>
        </is>
      </c>
      <c r="G382" t="inlineStr">
        <is>
          <t>ÅRE</t>
        </is>
      </c>
      <c r="I382" t="n">
        <v>8.800000000000001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34925-2025</t>
        </is>
      </c>
      <c r="B383" t="inlineStr">
        <is>
          <t>avverkningsanmälan</t>
        </is>
      </c>
      <c r="C383" t="inlineStr">
        <is>
          <t>Föryngringsavverkning</t>
        </is>
      </c>
      <c r="D383" s="1" t="n">
        <v>45849</v>
      </c>
      <c r="E383" s="1" t="n">
        <v>46259</v>
      </c>
      <c r="F383" t="inlineStr">
        <is>
          <t>JÄMTLANDS LÄN</t>
        </is>
      </c>
      <c r="G383" t="inlineStr">
        <is>
          <t>ÅRE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38285-2025</t>
        </is>
      </c>
      <c r="B384" t="inlineStr">
        <is>
          <t>avverkningsanmälan</t>
        </is>
      </c>
      <c r="C384" t="inlineStr">
        <is>
          <t>Föryngringsavverkning</t>
        </is>
      </c>
      <c r="D384" s="1" t="n">
        <v>45883</v>
      </c>
      <c r="E384" s="1" t="n">
        <v>46259</v>
      </c>
      <c r="F384" t="inlineStr">
        <is>
          <t>JÄMTLANDS LÄN</t>
        </is>
      </c>
      <c r="G384" t="inlineStr">
        <is>
          <t>ÅRE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61806-2021</t>
        </is>
      </c>
      <c r="B385" t="inlineStr">
        <is>
          <t>avverkningsanmälan</t>
        </is>
      </c>
      <c r="C385" t="inlineStr">
        <is>
          <t>Föryngringsavverkning</t>
        </is>
      </c>
      <c r="D385" s="1" t="n">
        <v>44498</v>
      </c>
      <c r="E385" s="1" t="n">
        <v>46259</v>
      </c>
      <c r="F385" t="inlineStr">
        <is>
          <t>JÄMTLANDS LÄN</t>
        </is>
      </c>
      <c r="G385" t="inlineStr">
        <is>
          <t>ÅRE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54324-2023</t>
        </is>
      </c>
      <c r="B386" t="inlineStr">
        <is>
          <t>avverkningsanmälan</t>
        </is>
      </c>
      <c r="C386" t="inlineStr">
        <is>
          <t>Föryngringsavverkning</t>
        </is>
      </c>
      <c r="D386" s="1" t="n">
        <v>45225</v>
      </c>
      <c r="E386" s="1" t="n">
        <v>46259</v>
      </c>
      <c r="F386" t="inlineStr">
        <is>
          <t>JÄMTLANDS LÄN</t>
        </is>
      </c>
      <c r="G386" t="inlineStr">
        <is>
          <t>ÅRE</t>
        </is>
      </c>
      <c r="I386" t="n">
        <v>9.800000000000001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54137-2025</t>
        </is>
      </c>
      <c r="B387" t="inlineStr">
        <is>
          <t>avverkningsanmälan</t>
        </is>
      </c>
      <c r="C387" t="inlineStr">
        <is>
          <t>Föryngringsavverkning</t>
        </is>
      </c>
      <c r="D387" s="1" t="n">
        <v>45964</v>
      </c>
      <c r="E387" s="1" t="n">
        <v>46259</v>
      </c>
      <c r="F387" t="inlineStr">
        <is>
          <t>JÄMTLANDS LÄN</t>
        </is>
      </c>
      <c r="G387" t="inlineStr">
        <is>
          <t>ÅRE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53862-2025</t>
        </is>
      </c>
      <c r="B388" t="inlineStr">
        <is>
          <t>avverkningsanmälan</t>
        </is>
      </c>
      <c r="C388" t="inlineStr">
        <is>
          <t>Avverkning för annat ändamål</t>
        </is>
      </c>
      <c r="D388" s="1" t="n">
        <v>45961</v>
      </c>
      <c r="E388" s="1" t="n">
        <v>46259</v>
      </c>
      <c r="F388" t="inlineStr">
        <is>
          <t>JÄMTLANDS LÄN</t>
        </is>
      </c>
      <c r="G388" t="inlineStr">
        <is>
          <t>ÅRE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53873-2025</t>
        </is>
      </c>
      <c r="B389" t="inlineStr">
        <is>
          <t>avverkningsanmälan</t>
        </is>
      </c>
      <c r="C389" t="inlineStr">
        <is>
          <t>Avverkning för annat ändamål</t>
        </is>
      </c>
      <c r="D389" s="1" t="n">
        <v>45961</v>
      </c>
      <c r="E389" s="1" t="n">
        <v>46259</v>
      </c>
      <c r="F389" t="inlineStr">
        <is>
          <t>JÄMTLANDS LÄN</t>
        </is>
      </c>
      <c r="G389" t="inlineStr">
        <is>
          <t>ÅRE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54139-2025</t>
        </is>
      </c>
      <c r="B390" t="inlineStr">
        <is>
          <t>avverkningsanmälan</t>
        </is>
      </c>
      <c r="C390" t="inlineStr">
        <is>
          <t>Föryngringsavverkning</t>
        </is>
      </c>
      <c r="D390" s="1" t="n">
        <v>45964</v>
      </c>
      <c r="E390" s="1" t="n">
        <v>46259</v>
      </c>
      <c r="F390" t="inlineStr">
        <is>
          <t>JÄMTLANDS LÄN</t>
        </is>
      </c>
      <c r="G390" t="inlineStr">
        <is>
          <t>ÅRE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51452-2024</t>
        </is>
      </c>
      <c r="B391" t="inlineStr">
        <is>
          <t>avverkningsanmälan</t>
        </is>
      </c>
      <c r="C391" t="inlineStr">
        <is>
          <t>Föryngringsavverkning</t>
        </is>
      </c>
      <c r="D391" s="1" t="n">
        <v>45604</v>
      </c>
      <c r="E391" s="1" t="n">
        <v>46259</v>
      </c>
      <c r="F391" t="inlineStr">
        <is>
          <t>JÄMTLANDS LÄN</t>
        </is>
      </c>
      <c r="G391" t="inlineStr">
        <is>
          <t>ÅRE</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22133-2026</t>
        </is>
      </c>
      <c r="B392" t="inlineStr">
        <is>
          <t>avverkningsanmälan</t>
        </is>
      </c>
      <c r="C392" t="inlineStr">
        <is>
          <t>Avverkning för annat ändamål</t>
        </is>
      </c>
      <c r="D392" s="1" t="n">
        <v>46153</v>
      </c>
      <c r="E392" s="1" t="n">
        <v>46259</v>
      </c>
      <c r="F392" t="inlineStr">
        <is>
          <t>JÄMTLANDS LÄN</t>
        </is>
      </c>
      <c r="G392" t="inlineStr">
        <is>
          <t>ÅRE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60935-2022</t>
        </is>
      </c>
      <c r="B393" t="inlineStr">
        <is>
          <t>avverkningsanmälan</t>
        </is>
      </c>
      <c r="C393" t="inlineStr">
        <is>
          <t>Föryngringsavverkning</t>
        </is>
      </c>
      <c r="D393" s="1" t="n">
        <v>44908</v>
      </c>
      <c r="E393" s="1" t="n">
        <v>46259</v>
      </c>
      <c r="F393" t="inlineStr">
        <is>
          <t>JÄMTLANDS LÄN</t>
        </is>
      </c>
      <c r="G393" t="inlineStr">
        <is>
          <t>ÅRE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51444-2024</t>
        </is>
      </c>
      <c r="B394" t="inlineStr">
        <is>
          <t>avverkningsanmälan</t>
        </is>
      </c>
      <c r="C394" t="inlineStr">
        <is>
          <t>Föryngringsavverkning</t>
        </is>
      </c>
      <c r="D394" s="1" t="n">
        <v>45604</v>
      </c>
      <c r="E394" s="1" t="n">
        <v>46259</v>
      </c>
      <c r="F394" t="inlineStr">
        <is>
          <t>JÄMTLANDS LÄN</t>
        </is>
      </c>
      <c r="G394" t="inlineStr">
        <is>
          <t>ÅRE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54445-2025</t>
        </is>
      </c>
      <c r="B395" t="inlineStr">
        <is>
          <t>avverkningsanmälan</t>
        </is>
      </c>
      <c r="C395" t="inlineStr">
        <is>
          <t>Föryngringsavverkning</t>
        </is>
      </c>
      <c r="D395" s="1" t="n">
        <v>45965</v>
      </c>
      <c r="E395" s="1" t="n">
        <v>46259</v>
      </c>
      <c r="F395" t="inlineStr">
        <is>
          <t>JÄMTLANDS LÄN</t>
        </is>
      </c>
      <c r="G395" t="inlineStr">
        <is>
          <t>ÅRE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54937-2025</t>
        </is>
      </c>
      <c r="B396" t="inlineStr">
        <is>
          <t>avverkningsanmälan</t>
        </is>
      </c>
      <c r="C396" t="inlineStr">
        <is>
          <t>Avverkning för annat ändamål</t>
        </is>
      </c>
      <c r="D396" s="1" t="n">
        <v>45967</v>
      </c>
      <c r="E396" s="1" t="n">
        <v>46259</v>
      </c>
      <c r="F396" t="inlineStr">
        <is>
          <t>JÄMTLANDS LÄN</t>
        </is>
      </c>
      <c r="G396" t="inlineStr">
        <is>
          <t>ÅRE</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60899-2022</t>
        </is>
      </c>
      <c r="B397" t="inlineStr">
        <is>
          <t>avverkningsanmälan</t>
        </is>
      </c>
      <c r="C397" t="inlineStr">
        <is>
          <t>Avverkning för annat ändamål</t>
        </is>
      </c>
      <c r="D397" s="1" t="n">
        <v>44908</v>
      </c>
      <c r="E397" s="1" t="n">
        <v>46259</v>
      </c>
      <c r="F397" t="inlineStr">
        <is>
          <t>JÄMTLANDS LÄN</t>
        </is>
      </c>
      <c r="G397" t="inlineStr">
        <is>
          <t>ÅRE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59784-2024</t>
        </is>
      </c>
      <c r="B398" t="inlineStr">
        <is>
          <t>avverkningsanmälan</t>
        </is>
      </c>
      <c r="C398" t="inlineStr">
        <is>
          <t>Avverkning för annat ändamål</t>
        </is>
      </c>
      <c r="D398" s="1" t="n">
        <v>45639</v>
      </c>
      <c r="E398" s="1" t="n">
        <v>46259</v>
      </c>
      <c r="F398" t="inlineStr">
        <is>
          <t>JÄMTLANDS LÄN</t>
        </is>
      </c>
      <c r="G398" t="inlineStr">
        <is>
          <t>ÅRE</t>
        </is>
      </c>
      <c r="H398" t="inlineStr">
        <is>
          <t>Övriga Aktiebolag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53611-2024</t>
        </is>
      </c>
      <c r="B399" t="inlineStr">
        <is>
          <t>avverkningsanmälan</t>
        </is>
      </c>
      <c r="C399" t="inlineStr">
        <is>
          <t>Föryngringsavverkning</t>
        </is>
      </c>
      <c r="D399" s="1" t="n">
        <v>45614</v>
      </c>
      <c r="E399" s="1" t="n">
        <v>46259</v>
      </c>
      <c r="F399" t="inlineStr">
        <is>
          <t>JÄMTLANDS LÄN</t>
        </is>
      </c>
      <c r="G399" t="inlineStr">
        <is>
          <t>ÅRE</t>
        </is>
      </c>
      <c r="H399" t="inlineStr">
        <is>
          <t>Övriga Aktiebolag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13841-2024</t>
        </is>
      </c>
      <c r="B400" t="inlineStr">
        <is>
          <t>avverkningsanmälan</t>
        </is>
      </c>
      <c r="C400" t="inlineStr">
        <is>
          <t>Föryngringsavverkning</t>
        </is>
      </c>
      <c r="D400" s="1" t="n">
        <v>45391</v>
      </c>
      <c r="E400" s="1" t="n">
        <v>46259</v>
      </c>
      <c r="F400" t="inlineStr">
        <is>
          <t>JÄMTLANDS LÄN</t>
        </is>
      </c>
      <c r="G400" t="inlineStr">
        <is>
          <t>ÅRE</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56609-2023</t>
        </is>
      </c>
      <c r="B401" t="inlineStr">
        <is>
          <t>avverkningsanmälan</t>
        </is>
      </c>
      <c r="C401" t="inlineStr">
        <is>
          <t>Föryngringsavverkning</t>
        </is>
      </c>
      <c r="D401" s="1" t="n">
        <v>45243</v>
      </c>
      <c r="E401" s="1" t="n">
        <v>46259</v>
      </c>
      <c r="F401" t="inlineStr">
        <is>
          <t>JÄMTLANDS LÄN</t>
        </is>
      </c>
      <c r="G401" t="inlineStr">
        <is>
          <t>ÅRE</t>
        </is>
      </c>
      <c r="I401" t="n">
        <v>17.9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17576-2024</t>
        </is>
      </c>
      <c r="B402" t="inlineStr">
        <is>
          <t>avverkningsanmälan</t>
        </is>
      </c>
      <c r="C402" t="inlineStr">
        <is>
          <t>Avverkning för annat ändamål</t>
        </is>
      </c>
      <c r="D402" s="1" t="n">
        <v>45415</v>
      </c>
      <c r="E402" s="1" t="n">
        <v>46259</v>
      </c>
      <c r="F402" t="inlineStr">
        <is>
          <t>JÄMTLANDS LÄN</t>
        </is>
      </c>
      <c r="G402" t="inlineStr">
        <is>
          <t>ÅRE</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8443-2023</t>
        </is>
      </c>
      <c r="B403" t="inlineStr">
        <is>
          <t>avverkningsanmälan</t>
        </is>
      </c>
      <c r="C403" t="inlineStr">
        <is>
          <t>Föryngringsavverkning</t>
        </is>
      </c>
      <c r="D403" s="1" t="n">
        <v>44977</v>
      </c>
      <c r="E403" s="1" t="n">
        <v>46259</v>
      </c>
      <c r="F403" t="inlineStr">
        <is>
          <t>JÄMTLANDS LÄN</t>
        </is>
      </c>
      <c r="G403" t="inlineStr">
        <is>
          <t>ÅRE</t>
        </is>
      </c>
      <c r="H403" t="inlineStr">
        <is>
          <t>Övriga Aktiebolag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30379-2024</t>
        </is>
      </c>
      <c r="B404" t="inlineStr">
        <is>
          <t>avverkningsanmälan</t>
        </is>
      </c>
      <c r="C404" t="inlineStr">
        <is>
          <t>Föryngringsavverkning</t>
        </is>
      </c>
      <c r="D404" s="1" t="n">
        <v>45491</v>
      </c>
      <c r="E404" s="1" t="n">
        <v>46259</v>
      </c>
      <c r="F404" t="inlineStr">
        <is>
          <t>JÄMTLANDS LÄN</t>
        </is>
      </c>
      <c r="G404" t="inlineStr">
        <is>
          <t>ÅRE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56576-2025</t>
        </is>
      </c>
      <c r="B405" t="inlineStr">
        <is>
          <t>avverkningsanmälan</t>
        </is>
      </c>
      <c r="C405" t="inlineStr">
        <is>
          <t>Föryngringsavverkning</t>
        </is>
      </c>
      <c r="D405" s="1" t="n">
        <v>45975</v>
      </c>
      <c r="E405" s="1" t="n">
        <v>46259</v>
      </c>
      <c r="F405" t="inlineStr">
        <is>
          <t>JÄMTLANDS LÄN</t>
        </is>
      </c>
      <c r="G405" t="inlineStr">
        <is>
          <t>ÅRE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56601-2025</t>
        </is>
      </c>
      <c r="B406" t="inlineStr">
        <is>
          <t>avverkningsanmälan</t>
        </is>
      </c>
      <c r="C406" t="inlineStr">
        <is>
          <t>Föryngringsavverkning</t>
        </is>
      </c>
      <c r="D406" s="1" t="n">
        <v>45975</v>
      </c>
      <c r="E406" s="1" t="n">
        <v>46259</v>
      </c>
      <c r="F406" t="inlineStr">
        <is>
          <t>JÄMTLANDS LÄN</t>
        </is>
      </c>
      <c r="G406" t="inlineStr">
        <is>
          <t>ÅRE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26653-2026</t>
        </is>
      </c>
      <c r="B407" t="inlineStr">
        <is>
          <t>avverkningsanmälan</t>
        </is>
      </c>
      <c r="C407" t="inlineStr">
        <is>
          <t>Föryngringsavverkning</t>
        </is>
      </c>
      <c r="D407" s="1" t="n">
        <v>46184</v>
      </c>
      <c r="E407" s="1" t="n">
        <v>46259</v>
      </c>
      <c r="F407" t="inlineStr">
        <is>
          <t>JÄMTLANDS LÄN</t>
        </is>
      </c>
      <c r="G407" t="inlineStr">
        <is>
          <t>ÅRE</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11500-2022</t>
        </is>
      </c>
      <c r="B408" t="inlineStr">
        <is>
          <t>avverkningsanmälan</t>
        </is>
      </c>
      <c r="C408" t="inlineStr">
        <is>
          <t>Avverkning för annat ändamål</t>
        </is>
      </c>
      <c r="D408" s="1" t="n">
        <v>44631</v>
      </c>
      <c r="E408" s="1" t="n">
        <v>46259</v>
      </c>
      <c r="F408" t="inlineStr">
        <is>
          <t>JÄMTLANDS LÄN</t>
        </is>
      </c>
      <c r="G408" t="inlineStr">
        <is>
          <t>ÅRE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23117-2022</t>
        </is>
      </c>
      <c r="B409" t="inlineStr">
        <is>
          <t>avverkningsanmälan</t>
        </is>
      </c>
      <c r="C409" t="inlineStr">
        <is>
          <t>Föryngringsavverkning</t>
        </is>
      </c>
      <c r="D409" s="1" t="n">
        <v>44719</v>
      </c>
      <c r="E409" s="1" t="n">
        <v>46259</v>
      </c>
      <c r="F409" t="inlineStr">
        <is>
          <t>JÄMTLANDS LÄN</t>
        </is>
      </c>
      <c r="G409" t="inlineStr">
        <is>
          <t>ÅRE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57285-2025</t>
        </is>
      </c>
      <c r="B410" t="inlineStr">
        <is>
          <t>avverkningsanmälan</t>
        </is>
      </c>
      <c r="C410" t="inlineStr">
        <is>
          <t>Avverkning för annat ändamål</t>
        </is>
      </c>
      <c r="D410" s="1" t="n">
        <v>45979</v>
      </c>
      <c r="E410" s="1" t="n">
        <v>46259</v>
      </c>
      <c r="F410" t="inlineStr">
        <is>
          <t>JÄMTLANDS LÄN</t>
        </is>
      </c>
      <c r="G410" t="inlineStr">
        <is>
          <t>ÅRE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57286-2025</t>
        </is>
      </c>
      <c r="B411" t="inlineStr">
        <is>
          <t>avverkningsanmälan</t>
        </is>
      </c>
      <c r="C411" t="inlineStr">
        <is>
          <t>Föryngringsavverkning</t>
        </is>
      </c>
      <c r="D411" s="1" t="n">
        <v>45979</v>
      </c>
      <c r="E411" s="1" t="n">
        <v>46259</v>
      </c>
      <c r="F411" t="inlineStr">
        <is>
          <t>JÄMTLANDS LÄN</t>
        </is>
      </c>
      <c r="G411" t="inlineStr">
        <is>
          <t>ÅRE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57464-2025</t>
        </is>
      </c>
      <c r="B412" t="inlineStr">
        <is>
          <t>avverkningsanmälan</t>
        </is>
      </c>
      <c r="C412" t="inlineStr">
        <is>
          <t>Föryngringsavverkning</t>
        </is>
      </c>
      <c r="D412" s="1" t="n">
        <v>45980</v>
      </c>
      <c r="E412" s="1" t="n">
        <v>46259</v>
      </c>
      <c r="F412" t="inlineStr">
        <is>
          <t>JÄMTLANDS LÄN</t>
        </is>
      </c>
      <c r="G412" t="inlineStr">
        <is>
          <t>ÅRE</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12182-2023</t>
        </is>
      </c>
      <c r="B413" t="inlineStr">
        <is>
          <t>avverkningsanmälan</t>
        </is>
      </c>
      <c r="C413" t="inlineStr">
        <is>
          <t>Föryngringsavverkning</t>
        </is>
      </c>
      <c r="D413" s="1" t="n">
        <v>44998</v>
      </c>
      <c r="E413" s="1" t="n">
        <v>46259</v>
      </c>
      <c r="F413" t="inlineStr">
        <is>
          <t>JÄMTLANDS LÄN</t>
        </is>
      </c>
      <c r="G413" t="inlineStr">
        <is>
          <t>ÅRE</t>
        </is>
      </c>
      <c r="I413" t="n">
        <v>11.7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25926-2023</t>
        </is>
      </c>
      <c r="B414" t="inlineStr">
        <is>
          <t>avverkningsanmälan</t>
        </is>
      </c>
      <c r="C414" t="inlineStr">
        <is>
          <t>Föryngringsavverkning</t>
        </is>
      </c>
      <c r="D414" s="1" t="n">
        <v>45085</v>
      </c>
      <c r="E414" s="1" t="n">
        <v>46259</v>
      </c>
      <c r="F414" t="inlineStr">
        <is>
          <t>JÄMTLANDS LÄN</t>
        </is>
      </c>
      <c r="G414" t="inlineStr">
        <is>
          <t>ÅRE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27861-2026</t>
        </is>
      </c>
      <c r="B415" t="inlineStr">
        <is>
          <t>avverkningsanmälan</t>
        </is>
      </c>
      <c r="C415" t="inlineStr">
        <is>
          <t>Föryngringsavverkning</t>
        </is>
      </c>
      <c r="D415" s="1" t="n">
        <v>46189</v>
      </c>
      <c r="E415" s="1" t="n">
        <v>46259</v>
      </c>
      <c r="F415" t="inlineStr">
        <is>
          <t>JÄMTLANDS LÄN</t>
        </is>
      </c>
      <c r="G415" t="inlineStr">
        <is>
          <t>ÅRE</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27866-2026</t>
        </is>
      </c>
      <c r="B416" t="inlineStr">
        <is>
          <t>avverkningsanmälan</t>
        </is>
      </c>
      <c r="C416" t="inlineStr">
        <is>
          <t>Föryngringsavverkning</t>
        </is>
      </c>
      <c r="D416" s="1" t="n">
        <v>46189</v>
      </c>
      <c r="E416" s="1" t="n">
        <v>46259</v>
      </c>
      <c r="F416" t="inlineStr">
        <is>
          <t>JÄMTLANDS LÄN</t>
        </is>
      </c>
      <c r="G416" t="inlineStr">
        <is>
          <t>ÅRE</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57745-2025</t>
        </is>
      </c>
      <c r="B417" t="inlineStr">
        <is>
          <t>avverkningsanmälan</t>
        </is>
      </c>
      <c r="C417" t="inlineStr">
        <is>
          <t>Föryngringsavverkning</t>
        </is>
      </c>
      <c r="D417" s="1" t="n">
        <v>45981</v>
      </c>
      <c r="E417" s="1" t="n">
        <v>46259</v>
      </c>
      <c r="F417" t="inlineStr">
        <is>
          <t>JÄMTLANDS LÄN</t>
        </is>
      </c>
      <c r="G417" t="inlineStr">
        <is>
          <t>ÅRE</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58469-2025</t>
        </is>
      </c>
      <c r="B418" t="inlineStr">
        <is>
          <t>avverkningsanmälan</t>
        </is>
      </c>
      <c r="C418" t="inlineStr">
        <is>
          <t>Avverkning för annat ändamål</t>
        </is>
      </c>
      <c r="D418" s="1" t="n">
        <v>45985</v>
      </c>
      <c r="E418" s="1" t="n">
        <v>46259</v>
      </c>
      <c r="F418" t="inlineStr">
        <is>
          <t>JÄMTLANDS LÄN</t>
        </is>
      </c>
      <c r="G418" t="inlineStr">
        <is>
          <t>ÅRE</t>
        </is>
      </c>
      <c r="H418" t="inlineStr">
        <is>
          <t>Övriga Aktiebolag</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56842-2022</t>
        </is>
      </c>
      <c r="B419" t="inlineStr">
        <is>
          <t>avverkningsanmälan</t>
        </is>
      </c>
      <c r="C419" t="inlineStr">
        <is>
          <t>Föryngringsavverkning</t>
        </is>
      </c>
      <c r="D419" s="1" t="n">
        <v>44894</v>
      </c>
      <c r="E419" s="1" t="n">
        <v>46259</v>
      </c>
      <c r="F419" t="inlineStr">
        <is>
          <t>JÄMTLANDS LÄN</t>
        </is>
      </c>
      <c r="G419" t="inlineStr">
        <is>
          <t>ÅRE</t>
        </is>
      </c>
      <c r="H419" t="inlineStr">
        <is>
          <t>Övriga Aktiebolag</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58983-2025</t>
        </is>
      </c>
      <c r="B420" t="inlineStr">
        <is>
          <t>avverkningsanmälan</t>
        </is>
      </c>
      <c r="C420" t="inlineStr">
        <is>
          <t>Föryngringsavverkning</t>
        </is>
      </c>
      <c r="D420" s="1" t="n">
        <v>45987</v>
      </c>
      <c r="E420" s="1" t="n">
        <v>46259</v>
      </c>
      <c r="F420" t="inlineStr">
        <is>
          <t>JÄMTLANDS LÄN</t>
        </is>
      </c>
      <c r="G420" t="inlineStr">
        <is>
          <t>ÅRE</t>
        </is>
      </c>
      <c r="I420" t="n">
        <v>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13039-2024</t>
        </is>
      </c>
      <c r="B421" t="inlineStr">
        <is>
          <t>avverkningsanmälan</t>
        </is>
      </c>
      <c r="C421" t="inlineStr">
        <is>
          <t>Föryngringsavverkning</t>
        </is>
      </c>
      <c r="D421" s="1" t="n">
        <v>45385</v>
      </c>
      <c r="E421" s="1" t="n">
        <v>46259</v>
      </c>
      <c r="F421" t="inlineStr">
        <is>
          <t>JÄMTLANDS LÄN</t>
        </is>
      </c>
      <c r="G421" t="inlineStr">
        <is>
          <t>ÅRE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59653-2025</t>
        </is>
      </c>
      <c r="B422" t="inlineStr">
        <is>
          <t>avverkningsanmälan</t>
        </is>
      </c>
      <c r="C422" t="inlineStr">
        <is>
          <t>Föryngringsavverkning</t>
        </is>
      </c>
      <c r="D422" s="1" t="n">
        <v>45992</v>
      </c>
      <c r="E422" s="1" t="n">
        <v>46259</v>
      </c>
      <c r="F422" t="inlineStr">
        <is>
          <t>JÄMTLANDS LÄN</t>
        </is>
      </c>
      <c r="G422" t="inlineStr">
        <is>
          <t>ÅRE</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1414-2023</t>
        </is>
      </c>
      <c r="B423" t="inlineStr">
        <is>
          <t>avverkningsanmälan</t>
        </is>
      </c>
      <c r="C423" t="inlineStr">
        <is>
          <t>Föryngringsavverkning</t>
        </is>
      </c>
      <c r="D423" s="1" t="n">
        <v>44936</v>
      </c>
      <c r="E423" s="1" t="n">
        <v>46259</v>
      </c>
      <c r="F423" t="inlineStr">
        <is>
          <t>JÄMTLANDS LÄN</t>
        </is>
      </c>
      <c r="G423" t="inlineStr">
        <is>
          <t>ÅRE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55056-2024</t>
        </is>
      </c>
      <c r="B424" t="inlineStr">
        <is>
          <t>avverkningsanmälan</t>
        </is>
      </c>
      <c r="C424" t="inlineStr">
        <is>
          <t>Föryngringsavverkning</t>
        </is>
      </c>
      <c r="D424" s="1" t="n">
        <v>45621</v>
      </c>
      <c r="E424" s="1" t="n">
        <v>46259</v>
      </c>
      <c r="F424" t="inlineStr">
        <is>
          <t>JÄMTLANDS LÄN</t>
        </is>
      </c>
      <c r="G424" t="inlineStr">
        <is>
          <t>ÅRE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59823-2025</t>
        </is>
      </c>
      <c r="B425" t="inlineStr">
        <is>
          <t>avverkningsanmälan</t>
        </is>
      </c>
      <c r="C425" t="inlineStr">
        <is>
          <t>Avverkning för annat ändamål</t>
        </is>
      </c>
      <c r="D425" s="1" t="n">
        <v>45992</v>
      </c>
      <c r="E425" s="1" t="n">
        <v>46259</v>
      </c>
      <c r="F425" t="inlineStr">
        <is>
          <t>JÄMTLANDS LÄN</t>
        </is>
      </c>
      <c r="G425" t="inlineStr">
        <is>
          <t>ÅRE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39069-2024</t>
        </is>
      </c>
      <c r="B426" t="inlineStr">
        <is>
          <t>avverkningsanmälan</t>
        </is>
      </c>
      <c r="C426" t="inlineStr">
        <is>
          <t>Föryngringsavverkning</t>
        </is>
      </c>
      <c r="D426" s="1" t="n">
        <v>45548</v>
      </c>
      <c r="E426" s="1" t="n">
        <v>46259</v>
      </c>
      <c r="F426" t="inlineStr">
        <is>
          <t>JÄMTLANDS LÄN</t>
        </is>
      </c>
      <c r="G426" t="inlineStr">
        <is>
          <t>ÅRE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59367-2025</t>
        </is>
      </c>
      <c r="B427" t="inlineStr">
        <is>
          <t>avverkningsanmälan</t>
        </is>
      </c>
      <c r="C427" t="inlineStr">
        <is>
          <t>Föryngringsavverkning</t>
        </is>
      </c>
      <c r="D427" s="1" t="n">
        <v>45989</v>
      </c>
      <c r="E427" s="1" t="n">
        <v>46259</v>
      </c>
      <c r="F427" t="inlineStr">
        <is>
          <t>JÄMTLANDS LÄN</t>
        </is>
      </c>
      <c r="G427" t="inlineStr">
        <is>
          <t>ÅRE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9312-2025</t>
        </is>
      </c>
      <c r="B428" t="inlineStr">
        <is>
          <t>avverkningsanmälan</t>
        </is>
      </c>
      <c r="C428" t="inlineStr">
        <is>
          <t>Föryngringsavverkning</t>
        </is>
      </c>
      <c r="D428" s="1" t="n">
        <v>45714</v>
      </c>
      <c r="E428" s="1" t="n">
        <v>46259</v>
      </c>
      <c r="F428" t="inlineStr">
        <is>
          <t>JÄMTLANDS LÄN</t>
        </is>
      </c>
      <c r="G428" t="inlineStr">
        <is>
          <t>ÅRE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54116-2023</t>
        </is>
      </c>
      <c r="B429" t="inlineStr">
        <is>
          <t>avverkningsanmälan</t>
        </is>
      </c>
      <c r="C429" t="inlineStr">
        <is>
          <t>Föryngringsavverkning</t>
        </is>
      </c>
      <c r="D429" s="1" t="n">
        <v>45232</v>
      </c>
      <c r="E429" s="1" t="n">
        <v>46259</v>
      </c>
      <c r="F429" t="inlineStr">
        <is>
          <t>JÄMTLANDS LÄN</t>
        </is>
      </c>
      <c r="G429" t="inlineStr">
        <is>
          <t>ÅRE</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49267-2024</t>
        </is>
      </c>
      <c r="B430" t="inlineStr">
        <is>
          <t>avverkningsanmälan</t>
        </is>
      </c>
      <c r="C430" t="inlineStr">
        <is>
          <t>Föryngringsavverkning</t>
        </is>
      </c>
      <c r="D430" s="1" t="n">
        <v>45595</v>
      </c>
      <c r="E430" s="1" t="n">
        <v>46259</v>
      </c>
      <c r="F430" t="inlineStr">
        <is>
          <t>JÄMTLANDS LÄN</t>
        </is>
      </c>
      <c r="G430" t="inlineStr">
        <is>
          <t>ÅRE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60473-2025</t>
        </is>
      </c>
      <c r="B431" t="inlineStr">
        <is>
          <t>avverkningsanmälan</t>
        </is>
      </c>
      <c r="C431" t="inlineStr">
        <is>
          <t>Föryngringsavverkning</t>
        </is>
      </c>
      <c r="D431" s="1" t="n">
        <v>45995</v>
      </c>
      <c r="E431" s="1" t="n">
        <v>46259</v>
      </c>
      <c r="F431" t="inlineStr">
        <is>
          <t>JÄMTLANDS LÄN</t>
        </is>
      </c>
      <c r="G431" t="inlineStr">
        <is>
          <t>ÅRE</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61024-2025</t>
        </is>
      </c>
      <c r="B432" t="inlineStr">
        <is>
          <t>avverkningsanmälan</t>
        </is>
      </c>
      <c r="C432" t="inlineStr">
        <is>
          <t>Föryngringsavverkning</t>
        </is>
      </c>
      <c r="D432" s="1" t="n">
        <v>45999</v>
      </c>
      <c r="E432" s="1" t="n">
        <v>46259</v>
      </c>
      <c r="F432" t="inlineStr">
        <is>
          <t>JÄMTLANDS LÄN</t>
        </is>
      </c>
      <c r="G432" t="inlineStr">
        <is>
          <t>ÅRE</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29294-2023</t>
        </is>
      </c>
      <c r="B433" t="inlineStr">
        <is>
          <t>avverkningsanmälan</t>
        </is>
      </c>
      <c r="C433" t="inlineStr">
        <is>
          <t>Föryngringsavverkning</t>
        </is>
      </c>
      <c r="D433" s="1" t="n">
        <v>45098</v>
      </c>
      <c r="E433" s="1" t="n">
        <v>46259</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61009-2025</t>
        </is>
      </c>
      <c r="B434" t="inlineStr">
        <is>
          <t>avverkningsanmälan</t>
        </is>
      </c>
      <c r="C434" t="inlineStr">
        <is>
          <t>Föryngringsavverkning</t>
        </is>
      </c>
      <c r="D434" s="1" t="n">
        <v>45999</v>
      </c>
      <c r="E434" s="1" t="n">
        <v>46259</v>
      </c>
      <c r="F434" t="inlineStr">
        <is>
          <t>JÄMTLANDS LÄN</t>
        </is>
      </c>
      <c r="G434" t="inlineStr">
        <is>
          <t>ÅRE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61032-2025</t>
        </is>
      </c>
      <c r="B435" t="inlineStr">
        <is>
          <t>avverkningsanmälan</t>
        </is>
      </c>
      <c r="C435" t="inlineStr">
        <is>
          <t>Föryngringsavverkning</t>
        </is>
      </c>
      <c r="D435" s="1" t="n">
        <v>45999</v>
      </c>
      <c r="E435" s="1" t="n">
        <v>46259</v>
      </c>
      <c r="F435" t="inlineStr">
        <is>
          <t>JÄMTLANDS LÄN</t>
        </is>
      </c>
      <c r="G435" t="inlineStr">
        <is>
          <t>ÅRE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32242-2026</t>
        </is>
      </c>
      <c r="B436" t="inlineStr">
        <is>
          <t>avverkningsanmälan</t>
        </is>
      </c>
      <c r="C436" t="inlineStr">
        <is>
          <t>Föryngringsavverkning</t>
        </is>
      </c>
      <c r="D436" s="1" t="n">
        <v>46237</v>
      </c>
      <c r="E436" s="1" t="n">
        <v>46259</v>
      </c>
      <c r="F436" t="inlineStr">
        <is>
          <t>JÄMTLANDS LÄN</t>
        </is>
      </c>
      <c r="G436" t="inlineStr">
        <is>
          <t>ÅRE</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60783-2025</t>
        </is>
      </c>
      <c r="B437" t="inlineStr">
        <is>
          <t>avverkningsanmälan</t>
        </is>
      </c>
      <c r="C437" t="inlineStr">
        <is>
          <t>Föryngringsavverkning</t>
        </is>
      </c>
      <c r="D437" s="1" t="n">
        <v>45999</v>
      </c>
      <c r="E437" s="1" t="n">
        <v>46259</v>
      </c>
      <c r="F437" t="inlineStr">
        <is>
          <t>JÄMTLANDS LÄN</t>
        </is>
      </c>
      <c r="G437" t="inlineStr">
        <is>
          <t>ÅRE</t>
        </is>
      </c>
      <c r="I437" t="n">
        <v>10.6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47963-2025</t>
        </is>
      </c>
      <c r="B438" t="inlineStr">
        <is>
          <t>avverkningsanmälan</t>
        </is>
      </c>
      <c r="C438" t="inlineStr">
        <is>
          <t>Avverkning för att bevara och utveckla /försöksver</t>
        </is>
      </c>
      <c r="D438" s="1" t="n">
        <v>45931</v>
      </c>
      <c r="E438" s="1" t="n">
        <v>46259</v>
      </c>
      <c r="F438" t="inlineStr">
        <is>
          <t>JÄMTLANDS LÄN</t>
        </is>
      </c>
      <c r="G438" t="inlineStr">
        <is>
          <t>ÅRE</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61978-2023</t>
        </is>
      </c>
      <c r="B439" t="inlineStr">
        <is>
          <t>avverkningsanmälan</t>
        </is>
      </c>
      <c r="C439" t="inlineStr">
        <is>
          <t>Föryngringsavverkning</t>
        </is>
      </c>
      <c r="D439" s="1" t="n">
        <v>45266</v>
      </c>
      <c r="E439" s="1" t="n">
        <v>46259</v>
      </c>
      <c r="F439" t="inlineStr">
        <is>
          <t>JÄMTLANDS LÄN</t>
        </is>
      </c>
      <c r="G439" t="inlineStr">
        <is>
          <t>ÅRE</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33117-2023</t>
        </is>
      </c>
      <c r="B440" t="inlineStr">
        <is>
          <t>avverkningsanmälan</t>
        </is>
      </c>
      <c r="C440" t="inlineStr">
        <is>
          <t>Avverkning för annat ändamål</t>
        </is>
      </c>
      <c r="D440" s="1" t="n">
        <v>45126</v>
      </c>
      <c r="E440" s="1" t="n">
        <v>46259</v>
      </c>
      <c r="F440" t="inlineStr">
        <is>
          <t>JÄMTLANDS LÄN</t>
        </is>
      </c>
      <c r="G440" t="inlineStr">
        <is>
          <t>ÅRE</t>
        </is>
      </c>
      <c r="H440" t="inlineStr">
        <is>
          <t>Sveaskog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32492-2026</t>
        </is>
      </c>
      <c r="B441" t="inlineStr">
        <is>
          <t>avverkningsanmälan</t>
        </is>
      </c>
      <c r="C441" t="inlineStr">
        <is>
          <t>Föryngringsavverkning</t>
        </is>
      </c>
      <c r="D441" s="1" t="n">
        <v>46239</v>
      </c>
      <c r="E441" s="1" t="n">
        <v>46259</v>
      </c>
      <c r="F441" t="inlineStr">
        <is>
          <t>JÄMTLANDS LÄN</t>
        </is>
      </c>
      <c r="G441" t="inlineStr">
        <is>
          <t>ÅRE</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69592-2021</t>
        </is>
      </c>
      <c r="B442" t="inlineStr">
        <is>
          <t>avverkningsanmälan</t>
        </is>
      </c>
      <c r="C442" t="inlineStr">
        <is>
          <t>Föryngringsavverkning</t>
        </is>
      </c>
      <c r="D442" s="1" t="n">
        <v>44531</v>
      </c>
      <c r="E442" s="1" t="n">
        <v>46259</v>
      </c>
      <c r="F442" t="inlineStr">
        <is>
          <t>JÄMTLANDS LÄN</t>
        </is>
      </c>
      <c r="G442" t="inlineStr">
        <is>
          <t>ÅRE</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54250-2024</t>
        </is>
      </c>
      <c r="B443" t="inlineStr">
        <is>
          <t>avverkningsanmälan</t>
        </is>
      </c>
      <c r="C443" t="inlineStr">
        <is>
          <t>Föryngringsavverkning</t>
        </is>
      </c>
      <c r="D443" s="1" t="n">
        <v>45616</v>
      </c>
      <c r="E443" s="1" t="n">
        <v>46259</v>
      </c>
      <c r="F443" t="inlineStr">
        <is>
          <t>JÄMTLANDS LÄN</t>
        </is>
      </c>
      <c r="G443" t="inlineStr">
        <is>
          <t>ÅRE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2376-2023</t>
        </is>
      </c>
      <c r="B444" t="inlineStr">
        <is>
          <t>avverkningsanmälan</t>
        </is>
      </c>
      <c r="C444" t="inlineStr">
        <is>
          <t>Avverkning för annat ändamål</t>
        </is>
      </c>
      <c r="D444" s="1" t="n">
        <v>44942</v>
      </c>
      <c r="E444" s="1" t="n">
        <v>46259</v>
      </c>
      <c r="F444" t="inlineStr">
        <is>
          <t>JÄMTLANDS LÄN</t>
        </is>
      </c>
      <c r="G444" t="inlineStr">
        <is>
          <t>ÅRE</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45378-2025</t>
        </is>
      </c>
      <c r="B445" t="inlineStr">
        <is>
          <t>avverkningsanmälan</t>
        </is>
      </c>
      <c r="C445" t="inlineStr">
        <is>
          <t>Föryngringsavverkning</t>
        </is>
      </c>
      <c r="D445" s="1" t="n">
        <v>45922</v>
      </c>
      <c r="E445" s="1" t="n">
        <v>46259</v>
      </c>
      <c r="F445" t="inlineStr">
        <is>
          <t>JÄMTLANDS LÄN</t>
        </is>
      </c>
      <c r="G445" t="inlineStr">
        <is>
          <t>ÅRE</t>
        </is>
      </c>
      <c r="I445" t="n">
        <v>15.7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62189-2025</t>
        </is>
      </c>
      <c r="B446" t="inlineStr">
        <is>
          <t>avverkningsanmälan</t>
        </is>
      </c>
      <c r="C446" t="inlineStr">
        <is>
          <t>Föryngringsavverkning</t>
        </is>
      </c>
      <c r="D446" s="1" t="n">
        <v>46006</v>
      </c>
      <c r="E446" s="1" t="n">
        <v>46259</v>
      </c>
      <c r="F446" t="inlineStr">
        <is>
          <t>JÄMTLANDS LÄN</t>
        </is>
      </c>
      <c r="G446" t="inlineStr">
        <is>
          <t>ÅRE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50574-2025</t>
        </is>
      </c>
      <c r="B447" t="inlineStr">
        <is>
          <t>avverkningsanmälan</t>
        </is>
      </c>
      <c r="C447" t="inlineStr">
        <is>
          <t>Föryngringsavverkning</t>
        </is>
      </c>
      <c r="D447" s="1" t="n">
        <v>45945</v>
      </c>
      <c r="E447" s="1" t="n">
        <v>46259</v>
      </c>
      <c r="F447" t="inlineStr">
        <is>
          <t>JÄMTLANDS LÄN</t>
        </is>
      </c>
      <c r="G447" t="inlineStr">
        <is>
          <t>ÅRE</t>
        </is>
      </c>
      <c r="I447" t="n">
        <v>16.1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32491-2026</t>
        </is>
      </c>
      <c r="B448" t="inlineStr">
        <is>
          <t>avverkningsanmälan</t>
        </is>
      </c>
      <c r="C448" t="inlineStr">
        <is>
          <t>Föryngringsavverkning</t>
        </is>
      </c>
      <c r="D448" s="1" t="n">
        <v>46239</v>
      </c>
      <c r="E448" s="1" t="n">
        <v>46259</v>
      </c>
      <c r="F448" t="inlineStr">
        <is>
          <t>JÄMTLANDS LÄN</t>
        </is>
      </c>
      <c r="G448" t="inlineStr">
        <is>
          <t>ÅRE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62259-2025</t>
        </is>
      </c>
      <c r="B449" t="inlineStr">
        <is>
          <t>avverkningsanmälan</t>
        </is>
      </c>
      <c r="C449" t="inlineStr">
        <is>
          <t>Föryngringsavverkning</t>
        </is>
      </c>
      <c r="D449" s="1" t="n">
        <v>46006</v>
      </c>
      <c r="E449" s="1" t="n">
        <v>46259</v>
      </c>
      <c r="F449" t="inlineStr">
        <is>
          <t>JÄMTLANDS LÄN</t>
        </is>
      </c>
      <c r="G449" t="inlineStr">
        <is>
          <t>ÅRE</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62532-2025</t>
        </is>
      </c>
      <c r="B450" t="inlineStr">
        <is>
          <t>avverkningsanmälan</t>
        </is>
      </c>
      <c r="C450" t="inlineStr">
        <is>
          <t>Föryngringsavverkning</t>
        </is>
      </c>
      <c r="D450" s="1" t="n">
        <v>46007</v>
      </c>
      <c r="E450" s="1" t="n">
        <v>46259</v>
      </c>
      <c r="F450" t="inlineStr">
        <is>
          <t>JÄMTLANDS LÄN</t>
        </is>
      </c>
      <c r="G450" t="inlineStr">
        <is>
          <t>ÅRE</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28363-2026</t>
        </is>
      </c>
      <c r="B451" t="inlineStr">
        <is>
          <t>avverkningsanmälan</t>
        </is>
      </c>
      <c r="C451" t="inlineStr">
        <is>
          <t>Föryngringsavverkning</t>
        </is>
      </c>
      <c r="D451" s="1" t="n">
        <v>46196</v>
      </c>
      <c r="E451" s="1" t="n">
        <v>46259</v>
      </c>
      <c r="F451" t="inlineStr">
        <is>
          <t>JÄMTLANDS LÄN</t>
        </is>
      </c>
      <c r="G451" t="inlineStr">
        <is>
          <t>ÅRE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62530-2025</t>
        </is>
      </c>
      <c r="B452" t="inlineStr">
        <is>
          <t>avverkningsanmälan</t>
        </is>
      </c>
      <c r="C452" t="inlineStr">
        <is>
          <t>Föryngringsavverkning</t>
        </is>
      </c>
      <c r="D452" s="1" t="n">
        <v>46007</v>
      </c>
      <c r="E452" s="1" t="n">
        <v>46259</v>
      </c>
      <c r="F452" t="inlineStr">
        <is>
          <t>JÄMTLANDS LÄN</t>
        </is>
      </c>
      <c r="G452" t="inlineStr">
        <is>
          <t>ÅRE</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28372-2026</t>
        </is>
      </c>
      <c r="B453" t="inlineStr">
        <is>
          <t>avverkningsanmälan</t>
        </is>
      </c>
      <c r="C453" t="inlineStr">
        <is>
          <t>Föryngringsavverkning</t>
        </is>
      </c>
      <c r="D453" s="1" t="n">
        <v>46196</v>
      </c>
      <c r="E453" s="1" t="n">
        <v>46259</v>
      </c>
      <c r="F453" t="inlineStr">
        <is>
          <t>JÄMTLANDS LÄN</t>
        </is>
      </c>
      <c r="G453" t="inlineStr">
        <is>
          <t>ÅRE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28367-2026</t>
        </is>
      </c>
      <c r="B454" t="inlineStr">
        <is>
          <t>avverkningsanmälan</t>
        </is>
      </c>
      <c r="C454" t="inlineStr">
        <is>
          <t>Föryngringsavverkning</t>
        </is>
      </c>
      <c r="D454" s="1" t="n">
        <v>46196</v>
      </c>
      <c r="E454" s="1" t="n">
        <v>46259</v>
      </c>
      <c r="F454" t="inlineStr">
        <is>
          <t>JÄMTLANDS LÄN</t>
        </is>
      </c>
      <c r="G454" t="inlineStr">
        <is>
          <t>ÅRE</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62520-2025</t>
        </is>
      </c>
      <c r="B455" t="inlineStr">
        <is>
          <t>avverkningsanmälan</t>
        </is>
      </c>
      <c r="C455" t="inlineStr">
        <is>
          <t>Föryngringsavverkning</t>
        </is>
      </c>
      <c r="D455" s="1" t="n">
        <v>46007</v>
      </c>
      <c r="E455" s="1" t="n">
        <v>46259</v>
      </c>
      <c r="F455" t="inlineStr">
        <is>
          <t>JÄMTLANDS LÄN</t>
        </is>
      </c>
      <c r="G455" t="inlineStr">
        <is>
          <t>ÅRE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62521-2025</t>
        </is>
      </c>
      <c r="B456" t="inlineStr">
        <is>
          <t>avverkningsanmälan</t>
        </is>
      </c>
      <c r="C456" t="inlineStr">
        <is>
          <t>Föryngringsavverkning</t>
        </is>
      </c>
      <c r="D456" s="1" t="n">
        <v>46007</v>
      </c>
      <c r="E456" s="1" t="n">
        <v>46259</v>
      </c>
      <c r="F456" t="inlineStr">
        <is>
          <t>JÄMTLANDS LÄN</t>
        </is>
      </c>
      <c r="G456" t="inlineStr">
        <is>
          <t>ÅRE</t>
        </is>
      </c>
      <c r="H456" t="inlineStr">
        <is>
          <t>Övriga Aktiebolag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28239-2026</t>
        </is>
      </c>
      <c r="B457" t="inlineStr">
        <is>
          <t>avverkningsanmälan</t>
        </is>
      </c>
      <c r="C457" t="inlineStr">
        <is>
          <t>Föryngringsavverkning</t>
        </is>
      </c>
      <c r="D457" s="1" t="n">
        <v>46196</v>
      </c>
      <c r="E457" s="1" t="n">
        <v>46259</v>
      </c>
      <c r="F457" t="inlineStr">
        <is>
          <t>JÄMTLANDS LÄN</t>
        </is>
      </c>
      <c r="G457" t="inlineStr">
        <is>
          <t>ÅRE</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32474-2026</t>
        </is>
      </c>
      <c r="B458" t="inlineStr">
        <is>
          <t>avverkningsanmälan</t>
        </is>
      </c>
      <c r="C458" t="inlineStr">
        <is>
          <t>Föryngringsavverkning</t>
        </is>
      </c>
      <c r="D458" s="1" t="n">
        <v>46239</v>
      </c>
      <c r="E458" s="1" t="n">
        <v>46259</v>
      </c>
      <c r="F458" t="inlineStr">
        <is>
          <t>JÄMTLANDS LÄN</t>
        </is>
      </c>
      <c r="G458" t="inlineStr">
        <is>
          <t>ÅRE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32495-2026</t>
        </is>
      </c>
      <c r="B459" t="inlineStr">
        <is>
          <t>avverkningsanmälan</t>
        </is>
      </c>
      <c r="C459" t="inlineStr">
        <is>
          <t>Föryngringsavverkning</t>
        </is>
      </c>
      <c r="D459" s="1" t="n">
        <v>46239</v>
      </c>
      <c r="E459" s="1" t="n">
        <v>46259</v>
      </c>
      <c r="F459" t="inlineStr">
        <is>
          <t>JÄMTLANDS LÄN</t>
        </is>
      </c>
      <c r="G459" t="inlineStr">
        <is>
          <t>ÅRE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63020-2025</t>
        </is>
      </c>
      <c r="B460" t="inlineStr">
        <is>
          <t>avverkningsanmälan</t>
        </is>
      </c>
      <c r="C460" t="inlineStr">
        <is>
          <t>Föryngringsavverkning</t>
        </is>
      </c>
      <c r="D460" s="1" t="n">
        <v>46009</v>
      </c>
      <c r="E460" s="1" t="n">
        <v>46259</v>
      </c>
      <c r="F460" t="inlineStr">
        <is>
          <t>JÄMTLANDS LÄN</t>
        </is>
      </c>
      <c r="G460" t="inlineStr">
        <is>
          <t>ÅRE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55129-2025</t>
        </is>
      </c>
      <c r="B461" t="inlineStr">
        <is>
          <t>avverkningsanmälan</t>
        </is>
      </c>
      <c r="C461" t="inlineStr">
        <is>
          <t>Föryngringsavverkning</t>
        </is>
      </c>
      <c r="D461" s="1" t="n">
        <v>45968</v>
      </c>
      <c r="E461" s="1" t="n">
        <v>46259</v>
      </c>
      <c r="F461" t="inlineStr">
        <is>
          <t>JÄMTLANDS LÄN</t>
        </is>
      </c>
      <c r="G461" t="inlineStr">
        <is>
          <t>ÅRE</t>
        </is>
      </c>
      <c r="H461" t="inlineStr">
        <is>
          <t>Övriga Aktiebolag</t>
        </is>
      </c>
      <c r="I461" t="n">
        <v>103.3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60913-2025</t>
        </is>
      </c>
      <c r="B462" t="inlineStr">
        <is>
          <t>avverkningsanmälan</t>
        </is>
      </c>
      <c r="C462" t="inlineStr">
        <is>
          <t>Föryngringsavverkning</t>
        </is>
      </c>
      <c r="D462" s="1" t="n">
        <v>45999</v>
      </c>
      <c r="E462" s="1" t="n">
        <v>46259</v>
      </c>
      <c r="F462" t="inlineStr">
        <is>
          <t>JÄMTLANDS LÄN</t>
        </is>
      </c>
      <c r="G462" t="inlineStr">
        <is>
          <t>ÅRE</t>
        </is>
      </c>
      <c r="H462" t="inlineStr">
        <is>
          <t>Övriga Aktiebolag</t>
        </is>
      </c>
      <c r="I462" t="n">
        <v>19.9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58395-2025</t>
        </is>
      </c>
      <c r="B463" t="inlineStr">
        <is>
          <t>avverkningsanmälan</t>
        </is>
      </c>
      <c r="C463" t="inlineStr">
        <is>
          <t>Föryngringsavverkning</t>
        </is>
      </c>
      <c r="D463" s="1" t="n">
        <v>45985</v>
      </c>
      <c r="E463" s="1" t="n">
        <v>46259</v>
      </c>
      <c r="F463" t="inlineStr">
        <is>
          <t>JÄMTLANDS LÄN</t>
        </is>
      </c>
      <c r="G463" t="inlineStr">
        <is>
          <t>ÅRE</t>
        </is>
      </c>
      <c r="H463" t="inlineStr">
        <is>
          <t>Övriga Aktiebolag</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17599-2026</t>
        </is>
      </c>
      <c r="B464" t="inlineStr">
        <is>
          <t>avverkningsanmälan</t>
        </is>
      </c>
      <c r="C464" t="inlineStr">
        <is>
          <t>Föryngringsavverkning</t>
        </is>
      </c>
      <c r="D464" s="1" t="n">
        <v>46121</v>
      </c>
      <c r="E464" s="1" t="n">
        <v>46259</v>
      </c>
      <c r="F464" t="inlineStr">
        <is>
          <t>JÄMTLANDS LÄN</t>
        </is>
      </c>
      <c r="G464" t="inlineStr">
        <is>
          <t>ÅRE</t>
        </is>
      </c>
      <c r="I464" t="n">
        <v>149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20999-2024</t>
        </is>
      </c>
      <c r="B465" t="inlineStr">
        <is>
          <t>avverkningsanmälan</t>
        </is>
      </c>
      <c r="C465" t="inlineStr">
        <is>
          <t>Föryngringsavverkning</t>
        </is>
      </c>
      <c r="D465" s="1" t="n">
        <v>45439</v>
      </c>
      <c r="E465" s="1" t="n">
        <v>46259</v>
      </c>
      <c r="F465" t="inlineStr">
        <is>
          <t>JÄMTLANDS LÄN</t>
        </is>
      </c>
      <c r="G465" t="inlineStr">
        <is>
          <t>ÅRE</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45113-2024</t>
        </is>
      </c>
      <c r="B466" t="inlineStr">
        <is>
          <t>avverkningsanmälan</t>
        </is>
      </c>
      <c r="C466" t="inlineStr">
        <is>
          <t>Föryngringsavverkning</t>
        </is>
      </c>
      <c r="D466" s="1" t="n">
        <v>45575</v>
      </c>
      <c r="E466" s="1" t="n">
        <v>46259</v>
      </c>
      <c r="F466" t="inlineStr">
        <is>
          <t>JÄMTLANDS LÄN</t>
        </is>
      </c>
      <c r="G466" t="inlineStr">
        <is>
          <t>ÅRE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7297-2026</t>
        </is>
      </c>
      <c r="B467" t="inlineStr">
        <is>
          <t>avverkningsanmälan</t>
        </is>
      </c>
      <c r="C467" t="inlineStr">
        <is>
          <t>Föryngringsavverkning</t>
        </is>
      </c>
      <c r="D467" s="1" t="n">
        <v>46058</v>
      </c>
      <c r="E467" s="1" t="n">
        <v>46259</v>
      </c>
      <c r="F467" t="inlineStr">
        <is>
          <t>JÄMTLANDS LÄN</t>
        </is>
      </c>
      <c r="G467" t="inlineStr">
        <is>
          <t>ÅRE</t>
        </is>
      </c>
      <c r="H467" t="inlineStr">
        <is>
          <t>Övriga Aktiebolag</t>
        </is>
      </c>
      <c r="I467" t="n">
        <v>19.1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32260-2026</t>
        </is>
      </c>
      <c r="B468" t="inlineStr">
        <is>
          <t>avverkningsanmälan</t>
        </is>
      </c>
      <c r="C468" t="inlineStr">
        <is>
          <t>Föryngringsavverkning</t>
        </is>
      </c>
      <c r="D468" s="1" t="n">
        <v>46237</v>
      </c>
      <c r="E468" s="1" t="n">
        <v>46259</v>
      </c>
      <c r="F468" t="inlineStr">
        <is>
          <t>JÄMTLANDS LÄN</t>
        </is>
      </c>
      <c r="G468" t="inlineStr">
        <is>
          <t>ÅRE</t>
        </is>
      </c>
      <c r="I468" t="n">
        <v>14.5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58917-2022</t>
        </is>
      </c>
      <c r="B469" t="inlineStr">
        <is>
          <t>avverkningsanmälan</t>
        </is>
      </c>
      <c r="C469" t="inlineStr">
        <is>
          <t>Föryngringsavverkning</t>
        </is>
      </c>
      <c r="D469" s="1" t="n">
        <v>44903</v>
      </c>
      <c r="E469" s="1" t="n">
        <v>46259</v>
      </c>
      <c r="F469" t="inlineStr">
        <is>
          <t>JÄMTLANDS LÄN</t>
        </is>
      </c>
      <c r="G469" t="inlineStr">
        <is>
          <t>ÅRE</t>
        </is>
      </c>
      <c r="H469" t="inlineStr">
        <is>
          <t>Övriga Aktiebolag</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37734-2023</t>
        </is>
      </c>
      <c r="B470" t="inlineStr">
        <is>
          <t>avverkningsanmälan</t>
        </is>
      </c>
      <c r="C470" t="inlineStr">
        <is>
          <t>Föryngringsavverkning</t>
        </is>
      </c>
      <c r="D470" s="1" t="n">
        <v>45159</v>
      </c>
      <c r="E470" s="1" t="n">
        <v>46259</v>
      </c>
      <c r="F470" t="inlineStr">
        <is>
          <t>JÄMTLANDS LÄN</t>
        </is>
      </c>
      <c r="G470" t="inlineStr">
        <is>
          <t>ÅRE</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42876-2025</t>
        </is>
      </c>
      <c r="B471" t="inlineStr">
        <is>
          <t>avverkningsanmälan</t>
        </is>
      </c>
      <c r="C471" t="inlineStr">
        <is>
          <t>Avverkning för annat ändamål</t>
        </is>
      </c>
      <c r="D471" s="1" t="n">
        <v>45908</v>
      </c>
      <c r="E471" s="1" t="n">
        <v>46259</v>
      </c>
      <c r="F471" t="inlineStr">
        <is>
          <t>JÄMTLANDS LÄN</t>
        </is>
      </c>
      <c r="G471" t="inlineStr">
        <is>
          <t>ÅRE</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57770-2023</t>
        </is>
      </c>
      <c r="B472" t="inlineStr">
        <is>
          <t>avverkningsanmälan</t>
        </is>
      </c>
      <c r="C472" t="inlineStr">
        <is>
          <t>Föryngringsavverkning</t>
        </is>
      </c>
      <c r="D472" s="1" t="n">
        <v>45246</v>
      </c>
      <c r="E472" s="1" t="n">
        <v>46259</v>
      </c>
      <c r="F472" t="inlineStr">
        <is>
          <t>JÄMTLANDS LÄN</t>
        </is>
      </c>
      <c r="G472" t="inlineStr">
        <is>
          <t>ÅRE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9219-2026</t>
        </is>
      </c>
      <c r="B473" t="inlineStr">
        <is>
          <t>avverkningsanmälan</t>
        </is>
      </c>
      <c r="C473" t="inlineStr">
        <is>
          <t>Föryngringsavverkning</t>
        </is>
      </c>
      <c r="D473" s="1" t="n">
        <v>46070</v>
      </c>
      <c r="E473" s="1" t="n">
        <v>46259</v>
      </c>
      <c r="F473" t="inlineStr">
        <is>
          <t>JÄMTLANDS LÄN</t>
        </is>
      </c>
      <c r="G473" t="inlineStr">
        <is>
          <t>ÅRE</t>
        </is>
      </c>
      <c r="I473" t="n">
        <v>12.4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9326-2026</t>
        </is>
      </c>
      <c r="B474" t="inlineStr">
        <is>
          <t>avverkningsanmälan</t>
        </is>
      </c>
      <c r="C474" t="inlineStr">
        <is>
          <t>Föryngringsavverkning</t>
        </is>
      </c>
      <c r="D474" s="1" t="n">
        <v>46070</v>
      </c>
      <c r="E474" s="1" t="n">
        <v>46259</v>
      </c>
      <c r="F474" t="inlineStr">
        <is>
          <t>JÄMTLANDS LÄN</t>
        </is>
      </c>
      <c r="G474" t="inlineStr">
        <is>
          <t>ÅRE</t>
        </is>
      </c>
      <c r="H474" t="inlineStr">
        <is>
          <t>Övriga Aktiebolag</t>
        </is>
      </c>
      <c r="I474" t="n">
        <v>14.2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556-2023</t>
        </is>
      </c>
      <c r="B475" t="inlineStr">
        <is>
          <t>avverkningsanmälan</t>
        </is>
      </c>
      <c r="C475" t="inlineStr">
        <is>
          <t>Föryngringsavverkning</t>
        </is>
      </c>
      <c r="D475" s="1" t="n">
        <v>44930</v>
      </c>
      <c r="E475" s="1" t="n">
        <v>46259</v>
      </c>
      <c r="F475" t="inlineStr">
        <is>
          <t>JÄMTLANDS LÄN</t>
        </is>
      </c>
      <c r="G475" t="inlineStr">
        <is>
          <t>ÅRE</t>
        </is>
      </c>
      <c r="I475" t="n">
        <v>14.9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393-2024</t>
        </is>
      </c>
      <c r="B476" t="inlineStr">
        <is>
          <t>avverkningsanmälan</t>
        </is>
      </c>
      <c r="C476" t="inlineStr">
        <is>
          <t>Föryngringsavverkning</t>
        </is>
      </c>
      <c r="D476" s="1" t="n">
        <v>45296</v>
      </c>
      <c r="E476" s="1" t="n">
        <v>46259</v>
      </c>
      <c r="F476" t="inlineStr">
        <is>
          <t>JÄMTLANDS LÄN</t>
        </is>
      </c>
      <c r="G476" t="inlineStr">
        <is>
          <t>ÅRE</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9212-2026</t>
        </is>
      </c>
      <c r="B477" t="inlineStr">
        <is>
          <t>avverkningsanmälan</t>
        </is>
      </c>
      <c r="C477" t="inlineStr">
        <is>
          <t>Föryngringsavverkning</t>
        </is>
      </c>
      <c r="D477" s="1" t="n">
        <v>46070</v>
      </c>
      <c r="E477" s="1" t="n">
        <v>46259</v>
      </c>
      <c r="F477" t="inlineStr">
        <is>
          <t>JÄMTLANDS LÄN</t>
        </is>
      </c>
      <c r="G477" t="inlineStr">
        <is>
          <t>ÅRE</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29299-2026</t>
        </is>
      </c>
      <c r="B478" t="inlineStr">
        <is>
          <t>avverkningsanmälan</t>
        </is>
      </c>
      <c r="C478" t="inlineStr">
        <is>
          <t>Föryngringsavverkning</t>
        </is>
      </c>
      <c r="D478" s="1" t="n">
        <v>46202</v>
      </c>
      <c r="E478" s="1" t="n">
        <v>46259</v>
      </c>
      <c r="F478" t="inlineStr">
        <is>
          <t>JÄMTLANDS LÄN</t>
        </is>
      </c>
      <c r="G478" t="inlineStr">
        <is>
          <t>ÅRE</t>
        </is>
      </c>
      <c r="I478" t="n">
        <v>10.3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9224-2026</t>
        </is>
      </c>
      <c r="B479" t="inlineStr">
        <is>
          <t>avverkningsanmälan</t>
        </is>
      </c>
      <c r="C479" t="inlineStr">
        <is>
          <t>Föryngringsavverkning</t>
        </is>
      </c>
      <c r="D479" s="1" t="n">
        <v>46070</v>
      </c>
      <c r="E479" s="1" t="n">
        <v>46259</v>
      </c>
      <c r="F479" t="inlineStr">
        <is>
          <t>JÄMTLANDS LÄN</t>
        </is>
      </c>
      <c r="G479" t="inlineStr">
        <is>
          <t>ÅRE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13033-2024</t>
        </is>
      </c>
      <c r="B480" t="inlineStr">
        <is>
          <t>avverkningsanmälan</t>
        </is>
      </c>
      <c r="C480" t="inlineStr">
        <is>
          <t>Föryngringsavverkning</t>
        </is>
      </c>
      <c r="D480" s="1" t="n">
        <v>45385</v>
      </c>
      <c r="E480" s="1" t="n">
        <v>46259</v>
      </c>
      <c r="F480" t="inlineStr">
        <is>
          <t>JÄMTLANDS LÄN</t>
        </is>
      </c>
      <c r="G480" t="inlineStr">
        <is>
          <t>ÅRE</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13370-2024</t>
        </is>
      </c>
      <c r="B481" t="inlineStr">
        <is>
          <t>avverkningsanmälan</t>
        </is>
      </c>
      <c r="C481" t="inlineStr">
        <is>
          <t>Föryngringsavverkning</t>
        </is>
      </c>
      <c r="D481" s="1" t="n">
        <v>45387</v>
      </c>
      <c r="E481" s="1" t="n">
        <v>46259</v>
      </c>
      <c r="F481" t="inlineStr">
        <is>
          <t>JÄMTLANDS LÄN</t>
        </is>
      </c>
      <c r="G481" t="inlineStr">
        <is>
          <t>ÅRE</t>
        </is>
      </c>
      <c r="I481" t="n">
        <v>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21464-2022</t>
        </is>
      </c>
      <c r="B482" t="inlineStr">
        <is>
          <t>avverkningsanmälan</t>
        </is>
      </c>
      <c r="C482" t="inlineStr">
        <is>
          <t>Avverkning för annat ändamål</t>
        </is>
      </c>
      <c r="D482" s="1" t="n">
        <v>44706</v>
      </c>
      <c r="E482" s="1" t="n">
        <v>46259</v>
      </c>
      <c r="F482" t="inlineStr">
        <is>
          <t>JÄMTLANDS LÄN</t>
        </is>
      </c>
      <c r="G482" t="inlineStr">
        <is>
          <t>ÅRE</t>
        </is>
      </c>
      <c r="I482" t="n">
        <v>10.9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7573-2023</t>
        </is>
      </c>
      <c r="B483" t="inlineStr">
        <is>
          <t>avverkningsanmälan</t>
        </is>
      </c>
      <c r="C483" t="inlineStr">
        <is>
          <t>Föryngringsavverkning</t>
        </is>
      </c>
      <c r="D483" s="1" t="n">
        <v>44967</v>
      </c>
      <c r="E483" s="1" t="n">
        <v>46259</v>
      </c>
      <c r="F483" t="inlineStr">
        <is>
          <t>JÄMTLANDS LÄN</t>
        </is>
      </c>
      <c r="G483" t="inlineStr">
        <is>
          <t>ÅRE</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25275-2025</t>
        </is>
      </c>
      <c r="B484" t="inlineStr">
        <is>
          <t>avverkningsanmälan</t>
        </is>
      </c>
      <c r="C484" t="inlineStr">
        <is>
          <t>Föryngringsavverkning</t>
        </is>
      </c>
      <c r="D484" s="1" t="n">
        <v>45800</v>
      </c>
      <c r="E484" s="1" t="n">
        <v>46259</v>
      </c>
      <c r="F484" t="inlineStr">
        <is>
          <t>JÄMTLANDS LÄN</t>
        </is>
      </c>
      <c r="G484" t="inlineStr">
        <is>
          <t>ÅRE</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45242-2023</t>
        </is>
      </c>
      <c r="B485" t="inlineStr">
        <is>
          <t>avverkningsanmälan</t>
        </is>
      </c>
      <c r="C485" t="inlineStr">
        <is>
          <t>Avverkning för annat ändamål</t>
        </is>
      </c>
      <c r="D485" s="1" t="n">
        <v>45187</v>
      </c>
      <c r="E485" s="1" t="n">
        <v>46259</v>
      </c>
      <c r="F485" t="inlineStr">
        <is>
          <t>JÄMTLANDS LÄN</t>
        </is>
      </c>
      <c r="G485" t="inlineStr">
        <is>
          <t>ÅRE</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1491-2024</t>
        </is>
      </c>
      <c r="B486" t="inlineStr">
        <is>
          <t>avverkningsanmälan</t>
        </is>
      </c>
      <c r="C486" t="inlineStr">
        <is>
          <t>Föryngringsavverkning</t>
        </is>
      </c>
      <c r="D486" s="1" t="n">
        <v>45305</v>
      </c>
      <c r="E486" s="1" t="n">
        <v>46259</v>
      </c>
      <c r="F486" t="inlineStr">
        <is>
          <t>JÄMTLANDS LÄN</t>
        </is>
      </c>
      <c r="G486" t="inlineStr">
        <is>
          <t>ÅRE</t>
        </is>
      </c>
      <c r="I486" t="n">
        <v>31.4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33568-2026</t>
        </is>
      </c>
      <c r="B487" t="inlineStr">
        <is>
          <t>avverkningsanmälan</t>
        </is>
      </c>
      <c r="C487" t="inlineStr">
        <is>
          <t>Avverkning för annat ändamål</t>
        </is>
      </c>
      <c r="D487" s="1" t="n">
        <v>46248</v>
      </c>
      <c r="E487" s="1" t="n">
        <v>46259</v>
      </c>
      <c r="F487" t="inlineStr">
        <is>
          <t>JÄMTLANDS LÄN</t>
        </is>
      </c>
      <c r="G487" t="inlineStr">
        <is>
          <t>ÅRE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12287-2023</t>
        </is>
      </c>
      <c r="B488" t="inlineStr">
        <is>
          <t>avverkningsanmälan</t>
        </is>
      </c>
      <c r="C488" t="inlineStr">
        <is>
          <t>Föryngringsavverkning</t>
        </is>
      </c>
      <c r="D488" s="1" t="n">
        <v>44998</v>
      </c>
      <c r="E488" s="1" t="n">
        <v>46259</v>
      </c>
      <c r="F488" t="inlineStr">
        <is>
          <t>JÄMTLANDS LÄN</t>
        </is>
      </c>
      <c r="G488" t="inlineStr">
        <is>
          <t>ÅRE</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12291-2023</t>
        </is>
      </c>
      <c r="B489" t="inlineStr">
        <is>
          <t>avverkningsanmälan</t>
        </is>
      </c>
      <c r="C489" t="inlineStr">
        <is>
          <t>Föryngringsavverkning</t>
        </is>
      </c>
      <c r="D489" s="1" t="n">
        <v>44998</v>
      </c>
      <c r="E489" s="1" t="n">
        <v>46259</v>
      </c>
      <c r="F489" t="inlineStr">
        <is>
          <t>JÄMTLANDS LÄN</t>
        </is>
      </c>
      <c r="G489" t="inlineStr">
        <is>
          <t>ÅRE</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41677-2024</t>
        </is>
      </c>
      <c r="B490" t="inlineStr">
        <is>
          <t>avverkningsanmälan</t>
        </is>
      </c>
      <c r="C490" t="inlineStr">
        <is>
          <t>Avverkning för annat ändamål</t>
        </is>
      </c>
      <c r="D490" s="1" t="n">
        <v>45560</v>
      </c>
      <c r="E490" s="1" t="n">
        <v>46259</v>
      </c>
      <c r="F490" t="inlineStr">
        <is>
          <t>JÄMTLANDS LÄN</t>
        </is>
      </c>
      <c r="G490" t="inlineStr">
        <is>
          <t>ÅRE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41688-2024</t>
        </is>
      </c>
      <c r="B491" t="inlineStr">
        <is>
          <t>avverkningsanmälan</t>
        </is>
      </c>
      <c r="C491" t="inlineStr">
        <is>
          <t>Avverkning för annat ändamål</t>
        </is>
      </c>
      <c r="D491" s="1" t="n">
        <v>45560</v>
      </c>
      <c r="E491" s="1" t="n">
        <v>46259</v>
      </c>
      <c r="F491" t="inlineStr">
        <is>
          <t>JÄMTLANDS LÄN</t>
        </is>
      </c>
      <c r="G491" t="inlineStr">
        <is>
          <t>ÅRE</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4218-2025</t>
        </is>
      </c>
      <c r="B492" t="inlineStr">
        <is>
          <t>avverkningsanmälan</t>
        </is>
      </c>
      <c r="C492" t="inlineStr">
        <is>
          <t>Föryngringsavverkning</t>
        </is>
      </c>
      <c r="D492" s="1" t="n">
        <v>45685</v>
      </c>
      <c r="E492" s="1" t="n">
        <v>46259</v>
      </c>
      <c r="F492" t="inlineStr">
        <is>
          <t>JÄMTLANDS LÄN</t>
        </is>
      </c>
      <c r="G492" t="inlineStr">
        <is>
          <t>ÅRE</t>
        </is>
      </c>
      <c r="H492" t="inlineStr">
        <is>
          <t>Övriga Aktiebolag</t>
        </is>
      </c>
      <c r="I492" t="n">
        <v>10.1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33567-2026</t>
        </is>
      </c>
      <c r="B493" t="inlineStr">
        <is>
          <t>avverkningsanmälan</t>
        </is>
      </c>
      <c r="C493" t="inlineStr">
        <is>
          <t>Avverkning för annat ändamål</t>
        </is>
      </c>
      <c r="D493" s="1" t="n">
        <v>46248</v>
      </c>
      <c r="E493" s="1" t="n">
        <v>46259</v>
      </c>
      <c r="F493" t="inlineStr">
        <is>
          <t>JÄMTLANDS LÄN</t>
        </is>
      </c>
      <c r="G493" t="inlineStr">
        <is>
          <t>ÅRE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1603-2026</t>
        </is>
      </c>
      <c r="B494" t="inlineStr">
        <is>
          <t>avverkningsanmälan</t>
        </is>
      </c>
      <c r="C494" t="inlineStr">
        <is>
          <t>Föryngringsavverkning</t>
        </is>
      </c>
      <c r="D494" s="1" t="n">
        <v>46034</v>
      </c>
      <c r="E494" s="1" t="n">
        <v>46259</v>
      </c>
      <c r="F494" t="inlineStr">
        <is>
          <t>JÄMTLANDS LÄN</t>
        </is>
      </c>
      <c r="G494" t="inlineStr">
        <is>
          <t>ÅRE</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2105-2026</t>
        </is>
      </c>
      <c r="B495" t="inlineStr">
        <is>
          <t>avverkningsanmälan</t>
        </is>
      </c>
      <c r="C495" t="inlineStr">
        <is>
          <t>Föryngringsavverkning</t>
        </is>
      </c>
      <c r="D495" s="1" t="n">
        <v>46036</v>
      </c>
      <c r="E495" s="1" t="n">
        <v>46259</v>
      </c>
      <c r="F495" t="inlineStr">
        <is>
          <t>JÄMTLANDS LÄN</t>
        </is>
      </c>
      <c r="G495" t="inlineStr">
        <is>
          <t>ÅRE</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2520-2026</t>
        </is>
      </c>
      <c r="B496" t="inlineStr">
        <is>
          <t>avverkningsanmälan</t>
        </is>
      </c>
      <c r="C496" t="inlineStr">
        <is>
          <t>Föryngringsavverkning</t>
        </is>
      </c>
      <c r="D496" s="1" t="n">
        <v>46037</v>
      </c>
      <c r="E496" s="1" t="n">
        <v>46259</v>
      </c>
      <c r="F496" t="inlineStr">
        <is>
          <t>JÄMTLANDS LÄN</t>
        </is>
      </c>
      <c r="G496" t="inlineStr">
        <is>
          <t>ÅRE</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3394-2026</t>
        </is>
      </c>
      <c r="B497" t="inlineStr">
        <is>
          <t>avverkningsanmälan</t>
        </is>
      </c>
      <c r="C497" t="inlineStr">
        <is>
          <t>Föryngringsavverkning</t>
        </is>
      </c>
      <c r="D497" s="1" t="n">
        <v>46042</v>
      </c>
      <c r="E497" s="1" t="n">
        <v>46259</v>
      </c>
      <c r="F497" t="inlineStr">
        <is>
          <t>JÄMTLANDS LÄN</t>
        </is>
      </c>
      <c r="G497" t="inlineStr">
        <is>
          <t>ÅRE</t>
        </is>
      </c>
      <c r="H497" t="inlineStr">
        <is>
          <t>Övriga Aktiebolag</t>
        </is>
      </c>
      <c r="I497" t="n">
        <v>11.2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4905-2026</t>
        </is>
      </c>
      <c r="B498" t="inlineStr">
        <is>
          <t>avverkningsanmälan</t>
        </is>
      </c>
      <c r="C498" t="inlineStr">
        <is>
          <t>Avverkning för annat ändamål</t>
        </is>
      </c>
      <c r="D498" s="1" t="n">
        <v>46048</v>
      </c>
      <c r="E498" s="1" t="n">
        <v>46259</v>
      </c>
      <c r="F498" t="inlineStr">
        <is>
          <t>JÄMTLANDS LÄN</t>
        </is>
      </c>
      <c r="G498" t="inlineStr">
        <is>
          <t>ÅRE</t>
        </is>
      </c>
      <c r="H498" t="inlineStr">
        <is>
          <t>Övriga Aktiebolag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61295-2023</t>
        </is>
      </c>
      <c r="B499" t="inlineStr">
        <is>
          <t>avverkningsanmälan</t>
        </is>
      </c>
      <c r="C499" t="inlineStr">
        <is>
          <t>Föryngringsavverkning</t>
        </is>
      </c>
      <c r="D499" s="1" t="n">
        <v>45264</v>
      </c>
      <c r="E499" s="1" t="n">
        <v>46259</v>
      </c>
      <c r="F499" t="inlineStr">
        <is>
          <t>JÄMTLANDS LÄN</t>
        </is>
      </c>
      <c r="G499" t="inlineStr">
        <is>
          <t>ÅRE</t>
        </is>
      </c>
      <c r="I499" t="n">
        <v>8.699999999999999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30096-2026</t>
        </is>
      </c>
      <c r="B500" t="inlineStr">
        <is>
          <t>avverkningsanmälan</t>
        </is>
      </c>
      <c r="C500" t="inlineStr">
        <is>
          <t>Föryngringsavverkning</t>
        </is>
      </c>
      <c r="D500" s="1" t="n">
        <v>46206</v>
      </c>
      <c r="E500" s="1" t="n">
        <v>46259</v>
      </c>
      <c r="F500" t="inlineStr">
        <is>
          <t>JÄMTLANDS LÄN</t>
        </is>
      </c>
      <c r="G500" t="inlineStr">
        <is>
          <t>ÅRE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21167-2025</t>
        </is>
      </c>
      <c r="B501" t="inlineStr">
        <is>
          <t>avverkningsanmälan</t>
        </is>
      </c>
      <c r="C501" t="inlineStr">
        <is>
          <t>Avverkning för annat ändamål</t>
        </is>
      </c>
      <c r="D501" s="1" t="n">
        <v>45779</v>
      </c>
      <c r="E501" s="1" t="n">
        <v>46259</v>
      </c>
      <c r="F501" t="inlineStr">
        <is>
          <t>JÄMTLANDS LÄN</t>
        </is>
      </c>
      <c r="G501" t="inlineStr">
        <is>
          <t>ÅRE</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30614-2026</t>
        </is>
      </c>
      <c r="B502" t="inlineStr">
        <is>
          <t>avverkningsanmälan</t>
        </is>
      </c>
      <c r="C502" t="inlineStr">
        <is>
          <t>Föryngringsavverkning</t>
        </is>
      </c>
      <c r="D502" s="1" t="n">
        <v>46210</v>
      </c>
      <c r="E502" s="1" t="n">
        <v>46259</v>
      </c>
      <c r="F502" t="inlineStr">
        <is>
          <t>JÄMTLANDS LÄN</t>
        </is>
      </c>
      <c r="G502" t="inlineStr">
        <is>
          <t>ÅRE</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30598-2026</t>
        </is>
      </c>
      <c r="B503" t="inlineStr">
        <is>
          <t>avverkningsanmälan</t>
        </is>
      </c>
      <c r="C503" t="inlineStr">
        <is>
          <t>Föryngringsavverkning</t>
        </is>
      </c>
      <c r="D503" s="1" t="n">
        <v>46210</v>
      </c>
      <c r="E503" s="1" t="n">
        <v>46259</v>
      </c>
      <c r="F503" t="inlineStr">
        <is>
          <t>JÄMTLANDS LÄN</t>
        </is>
      </c>
      <c r="G503" t="inlineStr">
        <is>
          <t>ÅRE</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22603-2025</t>
        </is>
      </c>
      <c r="B504" t="inlineStr">
        <is>
          <t>avverkningsanmälan</t>
        </is>
      </c>
      <c r="C504" t="inlineStr">
        <is>
          <t>Föryngringsavverkning</t>
        </is>
      </c>
      <c r="D504" s="1" t="n">
        <v>45786</v>
      </c>
      <c r="E504" s="1" t="n">
        <v>46259</v>
      </c>
      <c r="F504" t="inlineStr">
        <is>
          <t>JÄMTLANDS LÄN</t>
        </is>
      </c>
      <c r="G504" t="inlineStr">
        <is>
          <t>ÅRE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22602-2025</t>
        </is>
      </c>
      <c r="B505" t="inlineStr">
        <is>
          <t>avverkningsanmälan</t>
        </is>
      </c>
      <c r="C505" t="inlineStr">
        <is>
          <t>Föryngringsavverkning</t>
        </is>
      </c>
      <c r="D505" s="1" t="n">
        <v>45786</v>
      </c>
      <c r="E505" s="1" t="n">
        <v>46259</v>
      </c>
      <c r="F505" t="inlineStr">
        <is>
          <t>JÄMTLANDS LÄN</t>
        </is>
      </c>
      <c r="G505" t="inlineStr">
        <is>
          <t>ÅRE</t>
        </is>
      </c>
      <c r="I505" t="n">
        <v>13.1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6219-2026</t>
        </is>
      </c>
      <c r="B506" t="inlineStr">
        <is>
          <t>avverkningsanmälan</t>
        </is>
      </c>
      <c r="C506" t="inlineStr">
        <is>
          <t>Föryngringsavverkning</t>
        </is>
      </c>
      <c r="D506" s="1" t="n">
        <v>46055</v>
      </c>
      <c r="E506" s="1" t="n">
        <v>46259</v>
      </c>
      <c r="F506" t="inlineStr">
        <is>
          <t>JÄMTLANDS LÄN</t>
        </is>
      </c>
      <c r="G506" t="inlineStr">
        <is>
          <t>ÅRE</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46559-2024</t>
        </is>
      </c>
      <c r="B507" t="inlineStr">
        <is>
          <t>avverkningsanmälan</t>
        </is>
      </c>
      <c r="C507" t="inlineStr">
        <is>
          <t>Föryngringsavverkning</t>
        </is>
      </c>
      <c r="D507" s="1" t="n">
        <v>45582</v>
      </c>
      <c r="E507" s="1" t="n">
        <v>46259</v>
      </c>
      <c r="F507" t="inlineStr">
        <is>
          <t>JÄMTLANDS LÄN</t>
        </is>
      </c>
      <c r="G507" t="inlineStr">
        <is>
          <t>ÅRE</t>
        </is>
      </c>
      <c r="I507" t="n">
        <v>6.2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49296-2024</t>
        </is>
      </c>
      <c r="B508" t="inlineStr">
        <is>
          <t>avverkningsanmälan</t>
        </is>
      </c>
      <c r="C508" t="inlineStr">
        <is>
          <t>Föryngringsavverkning</t>
        </is>
      </c>
      <c r="D508" s="1" t="n">
        <v>45595</v>
      </c>
      <c r="E508" s="1" t="n">
        <v>46259</v>
      </c>
      <c r="F508" t="inlineStr">
        <is>
          <t>JÄMTLANDS LÄN</t>
        </is>
      </c>
      <c r="G508" t="inlineStr">
        <is>
          <t>ÅRE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41273-2025</t>
        </is>
      </c>
      <c r="B509" t="inlineStr">
        <is>
          <t>avverkningsanmälan</t>
        </is>
      </c>
      <c r="C509" t="inlineStr">
        <is>
          <t>Föryngringsavverkning</t>
        </is>
      </c>
      <c r="D509" s="1" t="n">
        <v>45898</v>
      </c>
      <c r="E509" s="1" t="n">
        <v>46259</v>
      </c>
      <c r="F509" t="inlineStr">
        <is>
          <t>JÄMTLANDS LÄN</t>
        </is>
      </c>
      <c r="G509" t="inlineStr">
        <is>
          <t>ÅRE</t>
        </is>
      </c>
      <c r="H509" t="inlineStr">
        <is>
          <t>Övriga Aktiebolag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7089-2026</t>
        </is>
      </c>
      <c r="B510" t="inlineStr">
        <is>
          <t>avverkningsanmälan</t>
        </is>
      </c>
      <c r="C510" t="inlineStr">
        <is>
          <t>Föryngringsavverkning</t>
        </is>
      </c>
      <c r="D510" s="1" t="n">
        <v>46058</v>
      </c>
      <c r="E510" s="1" t="n">
        <v>46259</v>
      </c>
      <c r="F510" t="inlineStr">
        <is>
          <t>JÄMTLANDS LÄN</t>
        </is>
      </c>
      <c r="G510" t="inlineStr">
        <is>
          <t>ÅRE</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44512-2023</t>
        </is>
      </c>
      <c r="B511" t="inlineStr">
        <is>
          <t>avverkningsanmälan</t>
        </is>
      </c>
      <c r="C511" t="inlineStr">
        <is>
          <t>Föryngringsavverkning</t>
        </is>
      </c>
      <c r="D511" s="1" t="n">
        <v>45184</v>
      </c>
      <c r="E511" s="1" t="n">
        <v>46259</v>
      </c>
      <c r="F511" t="inlineStr">
        <is>
          <t>JÄMTLANDS LÄN</t>
        </is>
      </c>
      <c r="G511" t="inlineStr">
        <is>
          <t>ÅRE</t>
        </is>
      </c>
      <c r="I511" t="n">
        <v>12.5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60122-2021</t>
        </is>
      </c>
      <c r="B512" t="inlineStr">
        <is>
          <t>avverkningsanmälan</t>
        </is>
      </c>
      <c r="C512" t="inlineStr">
        <is>
          <t>Föryngringsavverkning</t>
        </is>
      </c>
      <c r="D512" s="1" t="n">
        <v>44495</v>
      </c>
      <c r="E512" s="1" t="n">
        <v>46259</v>
      </c>
      <c r="F512" t="inlineStr">
        <is>
          <t>JÄMTLANDS LÄN</t>
        </is>
      </c>
      <c r="G512" t="inlineStr">
        <is>
          <t>ÅRE</t>
        </is>
      </c>
      <c r="I512" t="n">
        <v>46.7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8872-2026</t>
        </is>
      </c>
      <c r="B513" t="inlineStr">
        <is>
          <t>avverkningsanmälan</t>
        </is>
      </c>
      <c r="C513" t="inlineStr">
        <is>
          <t>Avverkning för annat ändamål</t>
        </is>
      </c>
      <c r="D513" s="1" t="n">
        <v>46066</v>
      </c>
      <c r="E513" s="1" t="n">
        <v>46259</v>
      </c>
      <c r="F513" t="inlineStr">
        <is>
          <t>JÄMTLANDS LÄN</t>
        </is>
      </c>
      <c r="G513" t="inlineStr">
        <is>
          <t>ÅRE</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30081-2024</t>
        </is>
      </c>
      <c r="B514" t="inlineStr">
        <is>
          <t>avverkningsanmälan</t>
        </is>
      </c>
      <c r="C514" t="inlineStr">
        <is>
          <t>Föryngringsavverkning</t>
        </is>
      </c>
      <c r="D514" s="1" t="n">
        <v>45485</v>
      </c>
      <c r="E514" s="1" t="n">
        <v>46259</v>
      </c>
      <c r="F514" t="inlineStr">
        <is>
          <t>JÄMTLANDS LÄN</t>
        </is>
      </c>
      <c r="G514" t="inlineStr">
        <is>
          <t>ÅRE</t>
        </is>
      </c>
      <c r="I514" t="n">
        <v>17.8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30080-2024</t>
        </is>
      </c>
      <c r="B515" t="inlineStr">
        <is>
          <t>avverkningsanmälan</t>
        </is>
      </c>
      <c r="C515" t="inlineStr">
        <is>
          <t>Föryngringsavverkning</t>
        </is>
      </c>
      <c r="D515" s="1" t="n">
        <v>45485</v>
      </c>
      <c r="E515" s="1" t="n">
        <v>46259</v>
      </c>
      <c r="F515" t="inlineStr">
        <is>
          <t>JÄMTLANDS LÄN</t>
        </is>
      </c>
      <c r="G515" t="inlineStr">
        <is>
          <t>ÅRE</t>
        </is>
      </c>
      <c r="I515" t="n">
        <v>24.6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13301-2024</t>
        </is>
      </c>
      <c r="B516" t="inlineStr">
        <is>
          <t>avverkningsanmälan</t>
        </is>
      </c>
      <c r="C516" t="inlineStr">
        <is>
          <t>Föryngringsavverkning</t>
        </is>
      </c>
      <c r="D516" s="1" t="n">
        <v>45386</v>
      </c>
      <c r="E516" s="1" t="n">
        <v>46259</v>
      </c>
      <c r="F516" t="inlineStr">
        <is>
          <t>JÄMTLANDS LÄN</t>
        </is>
      </c>
      <c r="G516" t="inlineStr">
        <is>
          <t>ÅRE</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9766-2026</t>
        </is>
      </c>
      <c r="B517" t="inlineStr">
        <is>
          <t>avverkningsanmälan</t>
        </is>
      </c>
      <c r="C517" t="inlineStr">
        <is>
          <t>Föryngringsavverkning</t>
        </is>
      </c>
      <c r="D517" s="1" t="n">
        <v>46072</v>
      </c>
      <c r="E517" s="1" t="n">
        <v>46259</v>
      </c>
      <c r="F517" t="inlineStr">
        <is>
          <t>JÄMTLANDS LÄN</t>
        </is>
      </c>
      <c r="G517" t="inlineStr">
        <is>
          <t>ÅRE</t>
        </is>
      </c>
      <c r="H517" t="inlineStr">
        <is>
          <t>Övriga Aktiebolag</t>
        </is>
      </c>
      <c r="I517" t="n">
        <v>14.1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10957-2026</t>
        </is>
      </c>
      <c r="B518" t="inlineStr">
        <is>
          <t>avverkningsanmälan</t>
        </is>
      </c>
      <c r="C518" t="inlineStr">
        <is>
          <t>Föryngringsavverkning</t>
        </is>
      </c>
      <c r="D518" s="1" t="n">
        <v>46079</v>
      </c>
      <c r="E518" s="1" t="n">
        <v>46259</v>
      </c>
      <c r="F518" t="inlineStr">
        <is>
          <t>JÄMTLANDS LÄN</t>
        </is>
      </c>
      <c r="G518" t="inlineStr">
        <is>
          <t>ÅRE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39202-2025</t>
        </is>
      </c>
      <c r="B519" t="inlineStr">
        <is>
          <t>avverkningsanmälan</t>
        </is>
      </c>
      <c r="C519" t="inlineStr">
        <is>
          <t>Föryngringsavverkning</t>
        </is>
      </c>
      <c r="D519" s="1" t="n">
        <v>45888</v>
      </c>
      <c r="E519" s="1" t="n">
        <v>46259</v>
      </c>
      <c r="F519" t="inlineStr">
        <is>
          <t>JÄMTLANDS LÄN</t>
        </is>
      </c>
      <c r="G519" t="inlineStr">
        <is>
          <t>ÅRE</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39742-2025</t>
        </is>
      </c>
      <c r="B520" t="inlineStr">
        <is>
          <t>avverkningsanmälan</t>
        </is>
      </c>
      <c r="C520" t="inlineStr">
        <is>
          <t>Avverkning för annat ändamål</t>
        </is>
      </c>
      <c r="D520" s="1" t="n">
        <v>45891</v>
      </c>
      <c r="E520" s="1" t="n">
        <v>46259</v>
      </c>
      <c r="F520" t="inlineStr">
        <is>
          <t>JÄMTLANDS LÄN</t>
        </is>
      </c>
      <c r="G520" t="inlineStr">
        <is>
          <t>ÅRE</t>
        </is>
      </c>
      <c r="H520" t="inlineStr">
        <is>
          <t>Övriga statliga verk och myndigheter</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39744-2025</t>
        </is>
      </c>
      <c r="B521" t="inlineStr">
        <is>
          <t>avverkningsanmälan</t>
        </is>
      </c>
      <c r="C521" t="inlineStr">
        <is>
          <t>Avverkning för annat ändamål</t>
        </is>
      </c>
      <c r="D521" s="1" t="n">
        <v>45891</v>
      </c>
      <c r="E521" s="1" t="n">
        <v>46259</v>
      </c>
      <c r="F521" t="inlineStr">
        <is>
          <t>JÄMTLANDS LÄN</t>
        </is>
      </c>
      <c r="G521" t="inlineStr">
        <is>
          <t>ÅRE</t>
        </is>
      </c>
      <c r="H521" t="inlineStr">
        <is>
          <t>Övriga statliga verk och myndigheter</t>
        </is>
      </c>
      <c r="I521" t="n">
        <v>14.4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13082-2025</t>
        </is>
      </c>
      <c r="B522" t="inlineStr">
        <is>
          <t>avverkningsanmälan</t>
        </is>
      </c>
      <c r="C522" t="inlineStr">
        <is>
          <t>Föryngringsavverkning</t>
        </is>
      </c>
      <c r="D522" s="1" t="n">
        <v>45734</v>
      </c>
      <c r="E522" s="1" t="n">
        <v>46259</v>
      </c>
      <c r="F522" t="inlineStr">
        <is>
          <t>JÄMTLANDS LÄN</t>
        </is>
      </c>
      <c r="G522" t="inlineStr">
        <is>
          <t>ÅRE</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13559-2025</t>
        </is>
      </c>
      <c r="B523" t="inlineStr">
        <is>
          <t>avverkningsanmälan</t>
        </is>
      </c>
      <c r="C523" t="inlineStr">
        <is>
          <t>Avverkning för annat ändamål</t>
        </is>
      </c>
      <c r="D523" s="1" t="n">
        <v>45736</v>
      </c>
      <c r="E523" s="1" t="n">
        <v>46259</v>
      </c>
      <c r="F523" t="inlineStr">
        <is>
          <t>JÄMTLANDS LÄN</t>
        </is>
      </c>
      <c r="G523" t="inlineStr">
        <is>
          <t>ÅRE</t>
        </is>
      </c>
      <c r="H523" t="inlineStr">
        <is>
          <t>Övriga statliga verk och myndigheter</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13561-2025</t>
        </is>
      </c>
      <c r="B524" t="inlineStr">
        <is>
          <t>avverkningsanmälan</t>
        </is>
      </c>
      <c r="C524" t="inlineStr">
        <is>
          <t>Avverkning för annat ändamål</t>
        </is>
      </c>
      <c r="D524" s="1" t="n">
        <v>45736</v>
      </c>
      <c r="E524" s="1" t="n">
        <v>46259</v>
      </c>
      <c r="F524" t="inlineStr">
        <is>
          <t>JÄMTLANDS LÄN</t>
        </is>
      </c>
      <c r="G524" t="inlineStr">
        <is>
          <t>ÅRE</t>
        </is>
      </c>
      <c r="H524" t="inlineStr">
        <is>
          <t>Övriga statliga verk och myndigheter</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51183-2025</t>
        </is>
      </c>
      <c r="B525" t="inlineStr">
        <is>
          <t>avverkningsanmälan</t>
        </is>
      </c>
      <c r="C525" t="inlineStr">
        <is>
          <t>Avverkning för annat ändamål</t>
        </is>
      </c>
      <c r="D525" s="1" t="n">
        <v>45947</v>
      </c>
      <c r="E525" s="1" t="n">
        <v>46259</v>
      </c>
      <c r="F525" t="inlineStr">
        <is>
          <t>JÄMTLANDS LÄN</t>
        </is>
      </c>
      <c r="G525" t="inlineStr">
        <is>
          <t>ÅRE</t>
        </is>
      </c>
      <c r="H525" t="inlineStr">
        <is>
          <t>Övriga statliga verk och myndigheter</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39115-2025</t>
        </is>
      </c>
      <c r="B526" t="inlineStr">
        <is>
          <t>avverkningsanmälan</t>
        </is>
      </c>
      <c r="C526" t="inlineStr">
        <is>
          <t>Avverkning för annat ändamål</t>
        </is>
      </c>
      <c r="D526" s="1" t="n">
        <v>45888</v>
      </c>
      <c r="E526" s="1" t="n">
        <v>46259</v>
      </c>
      <c r="F526" t="inlineStr">
        <is>
          <t>JÄMTLANDS LÄN</t>
        </is>
      </c>
      <c r="G526" t="inlineStr">
        <is>
          <t>ÅRE</t>
        </is>
      </c>
      <c r="H526" t="inlineStr">
        <is>
          <t>Övriga statliga verk och myndigheter</t>
        </is>
      </c>
      <c r="I526" t="n">
        <v>11.4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46259</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46259</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46259</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46259</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46259</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46259</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46259</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46259</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46259</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46259</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2026-08-25T01:51:28Z</dcterms:created>
  <dcterms:modified xmlns:dcterms="http://purl.org/dc/terms/" xmlns:xsi="http://www.w3.org/2001/XMLSchema-instance" xsi:type="dcterms:W3CDTF">2026-08-25T01:51:28Z</dcterms:modified>
</cp:coreProperties>
</file>