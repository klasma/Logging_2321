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45783</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45783</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45783</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45783</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63015-2020</t>
        </is>
      </c>
      <c r="B14" s="1" t="n">
        <v>44162</v>
      </c>
      <c r="C14" s="1" t="n">
        <v>45783</v>
      </c>
      <c r="D14" t="inlineStr">
        <is>
          <t>JÄMTLANDS LÄN</t>
        </is>
      </c>
      <c r="E14" t="inlineStr">
        <is>
          <t>ÅRE</t>
        </is>
      </c>
      <c r="F14" t="inlineStr">
        <is>
          <t>Övriga Aktiebolag</t>
        </is>
      </c>
      <c r="G14" t="n">
        <v>9.4</v>
      </c>
      <c r="H14" t="n">
        <v>1</v>
      </c>
      <c r="I14" t="n">
        <v>7</v>
      </c>
      <c r="J14" t="n">
        <v>9</v>
      </c>
      <c r="K14" t="n">
        <v>1</v>
      </c>
      <c r="L14" t="n">
        <v>0</v>
      </c>
      <c r="M14" t="n">
        <v>0</v>
      </c>
      <c r="N14" t="n">
        <v>0</v>
      </c>
      <c r="O14" t="n">
        <v>10</v>
      </c>
      <c r="P14" t="n">
        <v>1</v>
      </c>
      <c r="Q14" t="n">
        <v>17</v>
      </c>
      <c r="R14" s="2" t="inlineStr">
        <is>
          <t>Norsk näverlav
Brunpudrad nållav
Gammelgransskål
Garnlav
Granticka
Gränsticka
Harticka
Lunglav
Skrovellav
Spillkråka
Bårdlav
Dvärgtufs
Gytterlav
Korallblylav
Sotlav
Stuplav
Vedticka</t>
        </is>
      </c>
      <c r="S14">
        <f>HYPERLINK("https://klasma.github.io/Logging_2321/artfynd/A 63015-2020 artfynd.xlsx", "A 63015-2020")</f>
        <v/>
      </c>
      <c r="T14">
        <f>HYPERLINK("https://klasma.github.io/Logging_2321/kartor/A 63015-2020 karta.png", "A 63015-2020")</f>
        <v/>
      </c>
      <c r="V14">
        <f>HYPERLINK("https://klasma.github.io/Logging_2321/klagomål/A 63015-2020 FSC-klagomål.docx", "A 63015-2020")</f>
        <v/>
      </c>
      <c r="W14">
        <f>HYPERLINK("https://klasma.github.io/Logging_2321/klagomålsmail/A 63015-2020 FSC-klagomål mail.docx", "A 63015-2020")</f>
        <v/>
      </c>
      <c r="X14">
        <f>HYPERLINK("https://klasma.github.io/Logging_2321/tillsyn/A 63015-2020 tillsynsbegäran.docx", "A 63015-2020")</f>
        <v/>
      </c>
      <c r="Y14">
        <f>HYPERLINK("https://klasma.github.io/Logging_2321/tillsynsmail/A 63015-2020 tillsynsbegäran mail.docx", "A 63015-2020")</f>
        <v/>
      </c>
      <c r="Z14">
        <f>HYPERLINK("https://klasma.github.io/Logging_2321/fåglar/A 63015-2020 prioriterade fågelarter.docx", "A 63015-2020")</f>
        <v/>
      </c>
    </row>
    <row r="15" ht="15" customHeight="1">
      <c r="A15" t="inlineStr">
        <is>
          <t>A 30411-2022</t>
        </is>
      </c>
      <c r="B15" s="1" t="n">
        <v>44761</v>
      </c>
      <c r="C15" s="1" t="n">
        <v>45783</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45783</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45783</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45783</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45783</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45783</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45783</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45783</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45783</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45783</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45783</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45783</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45783</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45783</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45783</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45783</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45783</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45783</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45783</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45783</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45783</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45783</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45783</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45783</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45783</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45783</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45783</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45783</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45783</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45783</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45783</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45783</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45783</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45783</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45783</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45783</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45783</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45783</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45783</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45783</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45783</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45783</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45783</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45783</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45783</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45783</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45783</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45783</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45783</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45783</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45783</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45783</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45783</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45783</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45783</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45783</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45783</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45783</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45783</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45783</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45783</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45783</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45783</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45783</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45783</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45783</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45783</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45783</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45783</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45783</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45783</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45783</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45783</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45783</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45783</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45783</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45783</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45783</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45783</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45783</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45783</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45783</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45783</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45783</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45783</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45783</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45783</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45783</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45783</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45783</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45783</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45783</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45783</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45783</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45783</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45783</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45783</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45783</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45783</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45783</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45783</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45783</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45783</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45783</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45783</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45783</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45783</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45783</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45783</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45783</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45783</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45783</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45783</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45783</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45783</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45783</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45783</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45783</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45783</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45783</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45783</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45783</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45783</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45783</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45783</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45783</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45783</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45783</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45783</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45783</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45783</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45783</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45783</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45783</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45783</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45783</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45783</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45783</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45783</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45783</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45783</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45783</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45783</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45783</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45783</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45783</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45783</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45783</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45783</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45783</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45783</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45783</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45783</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45783</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45783</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45783</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45783</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45783</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45783</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45783</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45783</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45783</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45783</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45783</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45783</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45783</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45783</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45783</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45783</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45783</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45783</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45783</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45783</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45783</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45783</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45783</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45783</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45783</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45783</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45783</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45783</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45783</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45783</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45783</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45783</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45783</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45783</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45783</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45783</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45783</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45783</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45783</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45783</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45783</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45783</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45783</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45783</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45783</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45783</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45783</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45783</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45783</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45783</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45783</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45783</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45783</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45783</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45783</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45783</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45783</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45783</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45783</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45783</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45783</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45783</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45783</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45783</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45783</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45783</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45783</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45783</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45783</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45783</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45783</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45783</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45783</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45783</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45783</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45783</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45783</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45783</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45783</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45783</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45783</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45783</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45783</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45783</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45783</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45783</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45783</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45783</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45783</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45783</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45783</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45783</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45783</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45783</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45783</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45783</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45783</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45783</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45783</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45783</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45783</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45783</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45783</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45783</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45783</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45783</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45783</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45783</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45783</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45783</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45783</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45783</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45783</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45783</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45783</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45783</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45783</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45783</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45783</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45783</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45783</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45783</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45783</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45783</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45783</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45783</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45783</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45783</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45783</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45783</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45783</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45783</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45783</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45783</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45783</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45783</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45783</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45783</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45783</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45783</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45783</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45783</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45783</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45783</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45783</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45783</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45783</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45783</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45783</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45783</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45783</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45783</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45783</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45783</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45783</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45783</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45783</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45783</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45783</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45783</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45783</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45783</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45783</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45783</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45783</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45783</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45783</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45783</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45783</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45783</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45783</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45783</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45783</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45783</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45783</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45783</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45783</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45783</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45783</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45783</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45783</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45783</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45783</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45783</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45783</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45783</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45783</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45783</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45783</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45783</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45783</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45783</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45783</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45783</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45783</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45783</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45783</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45783</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45783</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45783</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45783</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45783</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45783</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45783</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45783</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45783</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45783</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45783</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45783</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45783</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45783</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45783</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45783</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45783</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45783</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45783</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45783</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45783</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45783</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45783</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45783</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45783</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45783</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45783</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45783</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45783</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45783</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45783</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45783</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45783</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45783</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45783</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45783</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45783</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45783</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45783</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45783</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45783</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45783</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45783</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45783</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45783</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45783</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45783</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45783</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45783</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45783</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45783</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45783</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45783</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45783</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45783</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45783</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45783</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45783</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45783</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45783</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45783</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45783</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45783</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45783</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45783</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45783</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45783</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45783</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45783</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45783</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45783</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45783</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45783</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45783</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45783</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45783</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45783</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45783</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45783</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45783</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45783</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45783</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45783</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45783</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45783</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45783</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45783</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45783</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45783</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45783</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45783</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45783</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45783</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45783</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45783</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45783</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45783</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45783</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45783</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45783</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45783</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45783</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45783</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45783</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45783</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45783</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45783</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45783</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45783</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45783</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45783</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45783</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45783</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45783</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45783</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45783</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45783</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45783</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45783</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45783</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45783</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45783</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45783</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45783</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45783</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45783</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45783</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45783</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45783</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45783</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45783</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45783</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45783</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45783</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45783</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45783</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45783</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45783</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45783</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45783</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45783</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45783</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45783</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45783</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45783</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45783</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45783</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45783</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45783</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45783</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45783</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45783</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45783</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45783</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45783</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45783</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45783</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45783</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45783</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45783</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45783</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45783</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45783</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45783</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45783</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45783</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45783</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45783</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45783</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45783</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45783</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45783</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45783</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45783</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45783</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45783</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45783</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45783</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45783</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45783</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45783</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45783</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45783</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45783</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45783</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45783</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45783</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45783</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45783</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45783</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45783</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45783</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45783</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45783</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45783</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45783</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45783</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45783</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45783</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45783</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45783</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45783</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45783</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45783</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45783</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45783</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45783</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45783</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45783</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45783</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45783</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45783</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45783</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45783</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45783</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45783</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45783</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45783</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45783</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45783</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45783</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45783</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45783</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45783</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45783</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45783</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45783</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45783</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45783</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45783</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45783</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45783</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45783</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45783</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45783</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45783</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45783</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45783</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45783</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45783</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45783</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45783</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45783</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45783</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45783</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45783</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45783</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45783</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45783</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45783</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45783</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45783</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45783</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45783</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45783</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45783</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45783</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45783</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45783</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45783</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45783</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45783</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45783</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45783</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45783</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45783</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45783</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45783</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45783</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45783</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45783</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45783</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45783</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45783</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45783</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45783</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45783</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45783</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45783</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45783</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45783</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45783</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45783</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45783</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45783</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45783</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45783</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45783</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45783</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45783</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45783</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45783</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45783</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45783</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45783</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45783</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45783</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45783</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45783</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45783</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45783</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45783</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45783</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45783</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45783</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45783</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45783</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45783</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45783</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45783</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45783</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45783</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45783</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45783</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45783</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45783</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45783</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45783</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45783</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45783</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45783</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45783</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45783</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45783</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45783</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45783</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45783</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45783</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45783</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45783</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45783</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45783</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45783</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45783</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45783</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45783</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45783</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45783</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45783</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45783</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45783</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45783</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45783</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45783</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45783</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45783</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45783</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45783</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45783</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45783</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45783</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45783</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45783</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45783</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45783</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45783</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45783</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45783</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45783</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45783</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45783</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45783</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45783</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45783</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45783</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45783</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45783</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45783</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45783</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45783</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45783</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45783</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45783</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45783</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45783</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45783</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45783</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45783</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45783</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45783</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45783</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45783</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45783</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45783</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45783</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45783</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45783</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45783</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45783</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45783</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45783</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45783</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45783</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45783</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45783</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45783</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45783</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45783</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45783</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45783</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45783</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45783</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45783</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45783</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45783</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45783</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45783</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45783</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45783</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45783</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45783</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45783</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45783</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45783</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45783</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45783</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45783</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45783</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45783</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45783</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45783</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45783</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45783</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45783</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45783</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45783</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45783</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45783</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45783</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45783</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45783</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45783</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45783</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45783</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45783</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45783</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45783</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45783</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45783</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45783</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45783</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45783</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45783</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45783</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45783</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45783</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45783</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45783</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45783</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45783</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45783</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45783</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45783</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45783</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45783</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45783</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45783</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45783</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45783</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45783</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45783</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45783</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45783</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45783</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45783</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45783</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45783</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45783</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45783</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45783</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45783</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45783</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45783</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45783</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45783</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45783</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45783</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45783</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45783</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45783</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45783</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45783</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45783</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45783</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45783</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45783</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45783</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45783</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45783</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45783</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45783</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45783</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45783</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45783</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45783</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45783</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45783</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45783</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45783</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45783</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45783</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45783</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45783</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45783</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45783</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45783</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45783</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45783</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45783</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45783</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45783</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45783</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45783</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45783</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45783</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45783</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45783</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45783</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45783</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45783</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45783</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45783</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45783</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45783</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45783</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45783</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45783</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45783</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45783</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45783</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45783</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45783</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45783</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45783</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45783</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45783</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45783</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45783</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45783</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45783</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45783</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45783</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45783</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45783</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45783</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45783</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45783</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45783</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45783</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45783</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45783</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45783</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45783</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45783</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45783</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45783</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45783</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45783</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45783</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45783</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45783</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45783</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45783</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45783</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45783</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45783</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45783</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45783</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45783</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45783</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45783</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45783</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45783</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45783</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45783</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45783</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45783</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45783</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45783</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45783</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45783</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45783</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45783</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45783</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45783</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45783</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45783</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45783</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45783</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45783</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45783</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45783</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45783</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45783</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45783</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45783</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45783</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45783</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45783</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45783</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45783</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45783</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45783</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45783</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45783</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45783</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45783</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45783</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45783</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45783</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45783</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45783</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45783</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45783</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45783</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45783</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45783</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45783</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45783</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45783</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45783</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45783</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45783</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45783</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45783</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45783</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45783</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45783</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45783</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45783</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45783</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15889-2025</t>
        </is>
      </c>
      <c r="B996" s="1" t="n">
        <v>45749</v>
      </c>
      <c r="C996" s="1" t="n">
        <v>45783</v>
      </c>
      <c r="D996" t="inlineStr">
        <is>
          <t>JÄMTLANDS LÄN</t>
        </is>
      </c>
      <c r="E996" t="inlineStr">
        <is>
          <t>ÅRE</t>
        </is>
      </c>
      <c r="G996" t="n">
        <v>1.4</v>
      </c>
      <c r="H996" t="n">
        <v>0</v>
      </c>
      <c r="I996" t="n">
        <v>0</v>
      </c>
      <c r="J996" t="n">
        <v>0</v>
      </c>
      <c r="K996" t="n">
        <v>0</v>
      </c>
      <c r="L996" t="n">
        <v>0</v>
      </c>
      <c r="M996" t="n">
        <v>0</v>
      </c>
      <c r="N996" t="n">
        <v>0</v>
      </c>
      <c r="O996" t="n">
        <v>0</v>
      </c>
      <c r="P996" t="n">
        <v>0</v>
      </c>
      <c r="Q996" t="n">
        <v>0</v>
      </c>
      <c r="R996" s="2" t="inlineStr"/>
    </row>
    <row r="997" ht="15" customHeight="1">
      <c r="A997" t="inlineStr">
        <is>
          <t>A 15905-2025</t>
        </is>
      </c>
      <c r="B997" s="1" t="n">
        <v>45749</v>
      </c>
      <c r="C997" s="1" t="n">
        <v>45783</v>
      </c>
      <c r="D997" t="inlineStr">
        <is>
          <t>JÄMTLANDS LÄN</t>
        </is>
      </c>
      <c r="E997" t="inlineStr">
        <is>
          <t>ÅRE</t>
        </is>
      </c>
      <c r="G997" t="n">
        <v>42.2</v>
      </c>
      <c r="H997" t="n">
        <v>0</v>
      </c>
      <c r="I997" t="n">
        <v>0</v>
      </c>
      <c r="J997" t="n">
        <v>0</v>
      </c>
      <c r="K997" t="n">
        <v>0</v>
      </c>
      <c r="L997" t="n">
        <v>0</v>
      </c>
      <c r="M997" t="n">
        <v>0</v>
      </c>
      <c r="N997" t="n">
        <v>0</v>
      </c>
      <c r="O997" t="n">
        <v>0</v>
      </c>
      <c r="P997" t="n">
        <v>0</v>
      </c>
      <c r="Q997" t="n">
        <v>0</v>
      </c>
      <c r="R997" s="2" t="inlineStr"/>
    </row>
    <row r="998" ht="15" customHeight="1">
      <c r="A998" t="inlineStr">
        <is>
          <t>A 15909-2025</t>
        </is>
      </c>
      <c r="B998" s="1" t="n">
        <v>45749</v>
      </c>
      <c r="C998" s="1" t="n">
        <v>45783</v>
      </c>
      <c r="D998" t="inlineStr">
        <is>
          <t>JÄMTLANDS LÄN</t>
        </is>
      </c>
      <c r="E998" t="inlineStr">
        <is>
          <t>ÅRE</t>
        </is>
      </c>
      <c r="G998" t="n">
        <v>23.8</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45783</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45783</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17095-2025</t>
        </is>
      </c>
      <c r="B1001" s="1" t="n">
        <v>45755</v>
      </c>
      <c r="C1001" s="1" t="n">
        <v>45783</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17751-2025</t>
        </is>
      </c>
      <c r="B1002" s="1" t="n">
        <v>45758</v>
      </c>
      <c r="C1002" s="1" t="n">
        <v>45783</v>
      </c>
      <c r="D1002" t="inlineStr">
        <is>
          <t>JÄMTLANDS LÄN</t>
        </is>
      </c>
      <c r="E1002" t="inlineStr">
        <is>
          <t>ÅRE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18472-2025</t>
        </is>
      </c>
      <c r="B1003" s="1" t="n">
        <v>45762</v>
      </c>
      <c r="C1003" s="1" t="n">
        <v>45783</v>
      </c>
      <c r="D1003" t="inlineStr">
        <is>
          <t>JÄMTLANDS LÄN</t>
        </is>
      </c>
      <c r="E1003" t="inlineStr">
        <is>
          <t>ÅRE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19925-2025</t>
        </is>
      </c>
      <c r="B1004" s="1" t="n">
        <v>45771</v>
      </c>
      <c r="C1004" s="1" t="n">
        <v>45783</v>
      </c>
      <c r="D1004" t="inlineStr">
        <is>
          <t>JÄMTLANDS LÄN</t>
        </is>
      </c>
      <c r="E1004" t="inlineStr">
        <is>
          <t>ÅRE</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45783</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19879-2025</t>
        </is>
      </c>
      <c r="B1006" s="1" t="n">
        <v>45771</v>
      </c>
      <c r="C1006" s="1" t="n">
        <v>45783</v>
      </c>
      <c r="D1006" t="inlineStr">
        <is>
          <t>JÄMTLANDS LÄN</t>
        </is>
      </c>
      <c r="E1006" t="inlineStr">
        <is>
          <t>ÅRE</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20160-2025</t>
        </is>
      </c>
      <c r="B1007" s="1" t="n">
        <v>45772</v>
      </c>
      <c r="C1007" s="1" t="n">
        <v>45783</v>
      </c>
      <c r="D1007" t="inlineStr">
        <is>
          <t>JÄMTLANDS LÄN</t>
        </is>
      </c>
      <c r="E1007" t="inlineStr">
        <is>
          <t>ÅRE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20170-2025</t>
        </is>
      </c>
      <c r="B1008" s="1" t="n">
        <v>45772</v>
      </c>
      <c r="C1008" s="1" t="n">
        <v>45783</v>
      </c>
      <c r="D1008" t="inlineStr">
        <is>
          <t>JÄMTLANDS LÄN</t>
        </is>
      </c>
      <c r="E1008" t="inlineStr">
        <is>
          <t>ÅRE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20442-2025</t>
        </is>
      </c>
      <c r="B1009" s="1" t="n">
        <v>45775</v>
      </c>
      <c r="C1009" s="1" t="n">
        <v>45783</v>
      </c>
      <c r="D1009" t="inlineStr">
        <is>
          <t>JÄMTLANDS LÄN</t>
        </is>
      </c>
      <c r="E1009" t="inlineStr">
        <is>
          <t>ÅRE</t>
        </is>
      </c>
      <c r="G1009" t="n">
        <v>25.1</v>
      </c>
      <c r="H1009" t="n">
        <v>0</v>
      </c>
      <c r="I1009" t="n">
        <v>0</v>
      </c>
      <c r="J1009" t="n">
        <v>0</v>
      </c>
      <c r="K1009" t="n">
        <v>0</v>
      </c>
      <c r="L1009" t="n">
        <v>0</v>
      </c>
      <c r="M1009" t="n">
        <v>0</v>
      </c>
      <c r="N1009" t="n">
        <v>0</v>
      </c>
      <c r="O1009" t="n">
        <v>0</v>
      </c>
      <c r="P1009" t="n">
        <v>0</v>
      </c>
      <c r="Q1009" t="n">
        <v>0</v>
      </c>
      <c r="R1009" s="2" t="inlineStr"/>
    </row>
    <row r="1010" ht="15" customHeight="1">
      <c r="A1010" t="inlineStr">
        <is>
          <t>A 21167-2025</t>
        </is>
      </c>
      <c r="B1010" s="1" t="n">
        <v>45779</v>
      </c>
      <c r="C1010" s="1" t="n">
        <v>45783</v>
      </c>
      <c r="D1010" t="inlineStr">
        <is>
          <t>JÄMTLANDS LÄN</t>
        </is>
      </c>
      <c r="E1010" t="inlineStr">
        <is>
          <t>ÅRE</t>
        </is>
      </c>
      <c r="G1010" t="n">
        <v>0.4</v>
      </c>
      <c r="H1010" t="n">
        <v>0</v>
      </c>
      <c r="I1010" t="n">
        <v>0</v>
      </c>
      <c r="J1010" t="n">
        <v>0</v>
      </c>
      <c r="K1010" t="n">
        <v>0</v>
      </c>
      <c r="L1010" t="n">
        <v>0</v>
      </c>
      <c r="M1010" t="n">
        <v>0</v>
      </c>
      <c r="N1010" t="n">
        <v>0</v>
      </c>
      <c r="O1010" t="n">
        <v>0</v>
      </c>
      <c r="P1010" t="n">
        <v>0</v>
      </c>
      <c r="Q1010" t="n">
        <v>0</v>
      </c>
      <c r="R1010" s="2" t="inlineStr"/>
    </row>
    <row r="1011">
      <c r="A1011" t="inlineStr">
        <is>
          <t>A 21181-2025</t>
        </is>
      </c>
      <c r="B1011" s="1" t="n">
        <v>45779</v>
      </c>
      <c r="C1011" s="1" t="n">
        <v>45783</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2025-05-06T17:21:20Z</dcterms:created>
  <dcterms:modified xmlns:dcterms="http://purl.org/dc/terms/" xmlns:xsi="http://www.w3.org/2001/XMLSchema-instance" xsi:type="dcterms:W3CDTF">2025-05-06T17:21:21Z</dcterms:modified>
</cp:coreProperties>
</file>