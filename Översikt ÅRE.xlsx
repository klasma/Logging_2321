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45577</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45577</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45577</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45577</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45577</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45577</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45577</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45577</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45577</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45577</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45577</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45577</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45577</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45577</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45577</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45577</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45577</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45577</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45577</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45577</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45577</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45577</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45577</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45577</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45577</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45577</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45577</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45577</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45577</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45577</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45577</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45577</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45577</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45577</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45577</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45577</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45577</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45577</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45577</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45577</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45577</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45577</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45577</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45577</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45577</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45577</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45577</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45577</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45577</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45577</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45577</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45577</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45577</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45577</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45577</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45577</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45577</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45577</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45577</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45577</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45577</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45577</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45577</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45577</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45577</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45577</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45577</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45577</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45577</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45577</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45577</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45577</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45577</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45577</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45577</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45577</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45577</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45577</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45577</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45577</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45577</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45577</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45577</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45577</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45577</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45577</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45577</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45577</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45577</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45577</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45577</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45577</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45577</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45577</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45577</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45577</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45577</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45577</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45577</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45577</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45577</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45577</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45577</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45577</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45577</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45577</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45577</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45577</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45577</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45577</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45577</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45577</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45577</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45577</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45577</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45577</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45577</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45577</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45577</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45577</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45577</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45577</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45577</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45577</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45577</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45577</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45577</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45577</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45577</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45577</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45577</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45577</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45577</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45577</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45577</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45577</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45577</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45577</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45577</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45577</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45577</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45577</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45577</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45577</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45577</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45577</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45577</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45577</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45577</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45577</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45577</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45577</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45577</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45577</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45577</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45577</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45577</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45577</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45577</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45577</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45577</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45577</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45577</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45577</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32216-2022</t>
        </is>
      </c>
      <c r="B181" s="1" t="n">
        <v>44781</v>
      </c>
      <c r="C181" s="1" t="n">
        <v>45577</v>
      </c>
      <c r="D181" t="inlineStr">
        <is>
          <t>JÄMTLANDS LÄN</t>
        </is>
      </c>
      <c r="E181" t="inlineStr">
        <is>
          <t>ÅRE</t>
        </is>
      </c>
      <c r="G181" t="n">
        <v>27.3</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32216-2022 artfynd.xlsx", "A 32216-2022")</f>
        <v/>
      </c>
      <c r="T181">
        <f>HYPERLINK("https://klasma.github.io/Logging_2321/kartor/A 32216-2022 karta.png", "A 32216-2022")</f>
        <v/>
      </c>
      <c r="V181">
        <f>HYPERLINK("https://klasma.github.io/Logging_2321/klagomål/A 32216-2022 FSC-klagomål.docx", "A 32216-2022")</f>
        <v/>
      </c>
      <c r="W181">
        <f>HYPERLINK("https://klasma.github.io/Logging_2321/klagomålsmail/A 32216-2022 FSC-klagomål mail.docx", "A 32216-2022")</f>
        <v/>
      </c>
      <c r="X181">
        <f>HYPERLINK("https://klasma.github.io/Logging_2321/tillsyn/A 32216-2022 tillsynsbegäran.docx", "A 32216-2022")</f>
        <v/>
      </c>
      <c r="Y181">
        <f>HYPERLINK("https://klasma.github.io/Logging_2321/tillsynsmail/A 32216-2022 tillsynsbegäran mail.docx", "A 32216-2022")</f>
        <v/>
      </c>
      <c r="Z181">
        <f>HYPERLINK("https://klasma.github.io/Logging_2321/fåglar/A 32216-2022 prioriterade fågelarter.docx", "A 32216-2022")</f>
        <v/>
      </c>
    </row>
    <row r="182" ht="15" customHeight="1">
      <c r="A182" t="inlineStr">
        <is>
          <t>A 40614-2022</t>
        </is>
      </c>
      <c r="B182" s="1" t="n">
        <v>44824</v>
      </c>
      <c r="C182" s="1" t="n">
        <v>45577</v>
      </c>
      <c r="D182" t="inlineStr">
        <is>
          <t>JÄMTLANDS LÄN</t>
        </is>
      </c>
      <c r="E182" t="inlineStr">
        <is>
          <t>ÅRE</t>
        </is>
      </c>
      <c r="F182" t="inlineStr">
        <is>
          <t>Övriga Aktiebolag</t>
        </is>
      </c>
      <c r="G182" t="n">
        <v>23.2</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40614-2022 artfynd.xlsx", "A 40614-2022")</f>
        <v/>
      </c>
      <c r="T182">
        <f>HYPERLINK("https://klasma.github.io/Logging_2321/kartor/A 40614-2022 karta.png", "A 40614-2022")</f>
        <v/>
      </c>
      <c r="V182">
        <f>HYPERLINK("https://klasma.github.io/Logging_2321/klagomål/A 40614-2022 FSC-klagomål.docx", "A 40614-2022")</f>
        <v/>
      </c>
      <c r="W182">
        <f>HYPERLINK("https://klasma.github.io/Logging_2321/klagomålsmail/A 40614-2022 FSC-klagomål mail.docx", "A 40614-2022")</f>
        <v/>
      </c>
      <c r="X182">
        <f>HYPERLINK("https://klasma.github.io/Logging_2321/tillsyn/A 40614-2022 tillsynsbegäran.docx", "A 40614-2022")</f>
        <v/>
      </c>
      <c r="Y182">
        <f>HYPERLINK("https://klasma.github.io/Logging_2321/tillsynsmail/A 40614-2022 tillsynsbegäran mail.docx", "A 40614-2022")</f>
        <v/>
      </c>
      <c r="Z182">
        <f>HYPERLINK("https://klasma.github.io/Logging_2321/fåglar/A 40614-2022 prioriterade fågelarter.docx", "A 40614-2022")</f>
        <v/>
      </c>
    </row>
    <row r="183" ht="15" customHeight="1">
      <c r="A183" t="inlineStr">
        <is>
          <t>A 55194-2022</t>
        </is>
      </c>
      <c r="B183" s="1" t="n">
        <v>44886</v>
      </c>
      <c r="C183" s="1" t="n">
        <v>45577</v>
      </c>
      <c r="D183" t="inlineStr">
        <is>
          <t>JÄMTLANDS LÄN</t>
        </is>
      </c>
      <c r="E183" t="inlineStr">
        <is>
          <t>ÅRE</t>
        </is>
      </c>
      <c r="F183" t="inlineStr">
        <is>
          <t>Övriga Aktiebolag</t>
        </is>
      </c>
      <c r="G183" t="n">
        <v>1.7</v>
      </c>
      <c r="H183" t="n">
        <v>0</v>
      </c>
      <c r="I183" t="n">
        <v>0</v>
      </c>
      <c r="J183" t="n">
        <v>1</v>
      </c>
      <c r="K183" t="n">
        <v>0</v>
      </c>
      <c r="L183" t="n">
        <v>0</v>
      </c>
      <c r="M183" t="n">
        <v>0</v>
      </c>
      <c r="N183" t="n">
        <v>0</v>
      </c>
      <c r="O183" t="n">
        <v>1</v>
      </c>
      <c r="P183" t="n">
        <v>0</v>
      </c>
      <c r="Q183" t="n">
        <v>1</v>
      </c>
      <c r="R183" s="2" t="inlineStr">
        <is>
          <t>Vitskaftad svartspik</t>
        </is>
      </c>
      <c r="S183">
        <f>HYPERLINK("https://klasma.github.io/Logging_2321/artfynd/A 55194-2022 artfynd.xlsx", "A 55194-2022")</f>
        <v/>
      </c>
      <c r="T183">
        <f>HYPERLINK("https://klasma.github.io/Logging_2321/kartor/A 55194-2022 karta.png", "A 55194-2022")</f>
        <v/>
      </c>
      <c r="V183">
        <f>HYPERLINK("https://klasma.github.io/Logging_2321/klagomål/A 55194-2022 FSC-klagomål.docx", "A 55194-2022")</f>
        <v/>
      </c>
      <c r="W183">
        <f>HYPERLINK("https://klasma.github.io/Logging_2321/klagomålsmail/A 55194-2022 FSC-klagomål mail.docx", "A 55194-2022")</f>
        <v/>
      </c>
      <c r="X183">
        <f>HYPERLINK("https://klasma.github.io/Logging_2321/tillsyn/A 55194-2022 tillsynsbegäran.docx", "A 55194-2022")</f>
        <v/>
      </c>
      <c r="Y183">
        <f>HYPERLINK("https://klasma.github.io/Logging_2321/tillsynsmail/A 55194-2022 tillsynsbegäran mail.docx", "A 55194-2022")</f>
        <v/>
      </c>
    </row>
    <row r="184" ht="15" customHeight="1">
      <c r="A184" t="inlineStr">
        <is>
          <t>A 55805-2022</t>
        </is>
      </c>
      <c r="B184" s="1" t="n">
        <v>44888</v>
      </c>
      <c r="C184" s="1" t="n">
        <v>45577</v>
      </c>
      <c r="D184" t="inlineStr">
        <is>
          <t>JÄMTLANDS LÄN</t>
        </is>
      </c>
      <c r="E184" t="inlineStr">
        <is>
          <t>ÅRE</t>
        </is>
      </c>
      <c r="F184" t="inlineStr">
        <is>
          <t>Övriga Aktiebolag</t>
        </is>
      </c>
      <c r="G184" t="n">
        <v>17.7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55805-2022 artfynd.xlsx", "A 55805-2022")</f>
        <v/>
      </c>
      <c r="T184">
        <f>HYPERLINK("https://klasma.github.io/Logging_2321/kartor/A 55805-2022 karta.png", "A 55805-2022")</f>
        <v/>
      </c>
      <c r="V184">
        <f>HYPERLINK("https://klasma.github.io/Logging_2321/klagomål/A 55805-2022 FSC-klagomål.docx", "A 55805-2022")</f>
        <v/>
      </c>
      <c r="W184">
        <f>HYPERLINK("https://klasma.github.io/Logging_2321/klagomålsmail/A 55805-2022 FSC-klagomål mail.docx", "A 55805-2022")</f>
        <v/>
      </c>
      <c r="X184">
        <f>HYPERLINK("https://klasma.github.io/Logging_2321/tillsyn/A 55805-2022 tillsynsbegäran.docx", "A 55805-2022")</f>
        <v/>
      </c>
      <c r="Y184">
        <f>HYPERLINK("https://klasma.github.io/Logging_2321/tillsynsmail/A 55805-2022 tillsynsbegäran mail.docx", "A 55805-2022")</f>
        <v/>
      </c>
      <c r="Z184">
        <f>HYPERLINK("https://klasma.github.io/Logging_2321/fåglar/A 55805-2022 prioriterade fågelarter.docx", "A 55805-2022")</f>
        <v/>
      </c>
    </row>
    <row r="185" ht="15" customHeight="1">
      <c r="A185" t="inlineStr">
        <is>
          <t>A 56493-2022</t>
        </is>
      </c>
      <c r="B185" s="1" t="n">
        <v>44893</v>
      </c>
      <c r="C185" s="1" t="n">
        <v>45577</v>
      </c>
      <c r="D185" t="inlineStr">
        <is>
          <t>JÄMTLANDS LÄN</t>
        </is>
      </c>
      <c r="E185" t="inlineStr">
        <is>
          <t>ÅRE</t>
        </is>
      </c>
      <c r="F185" t="inlineStr">
        <is>
          <t>Övriga Aktiebolag</t>
        </is>
      </c>
      <c r="G185" t="n">
        <v>3</v>
      </c>
      <c r="H185" t="n">
        <v>0</v>
      </c>
      <c r="I185" t="n">
        <v>0</v>
      </c>
      <c r="J185" t="n">
        <v>1</v>
      </c>
      <c r="K185" t="n">
        <v>0</v>
      </c>
      <c r="L185" t="n">
        <v>0</v>
      </c>
      <c r="M185" t="n">
        <v>0</v>
      </c>
      <c r="N185" t="n">
        <v>0</v>
      </c>
      <c r="O185" t="n">
        <v>1</v>
      </c>
      <c r="P185" t="n">
        <v>0</v>
      </c>
      <c r="Q185" t="n">
        <v>1</v>
      </c>
      <c r="R185" s="2" t="inlineStr">
        <is>
          <t>Garnlav</t>
        </is>
      </c>
      <c r="S185">
        <f>HYPERLINK("https://klasma.github.io/Logging_2321/artfynd/A 56493-2022 artfynd.xlsx", "A 56493-2022")</f>
        <v/>
      </c>
      <c r="T185">
        <f>HYPERLINK("https://klasma.github.io/Logging_2321/kartor/A 56493-2022 karta.png", "A 56493-2022")</f>
        <v/>
      </c>
      <c r="V185">
        <f>HYPERLINK("https://klasma.github.io/Logging_2321/klagomål/A 56493-2022 FSC-klagomål.docx", "A 56493-2022")</f>
        <v/>
      </c>
      <c r="W185">
        <f>HYPERLINK("https://klasma.github.io/Logging_2321/klagomålsmail/A 56493-2022 FSC-klagomål mail.docx", "A 56493-2022")</f>
        <v/>
      </c>
      <c r="X185">
        <f>HYPERLINK("https://klasma.github.io/Logging_2321/tillsyn/A 56493-2022 tillsynsbegäran.docx", "A 56493-2022")</f>
        <v/>
      </c>
      <c r="Y185">
        <f>HYPERLINK("https://klasma.github.io/Logging_2321/tillsynsmail/A 56493-2022 tillsynsbegäran mail.docx", "A 56493-2022")</f>
        <v/>
      </c>
    </row>
    <row r="186" ht="15" customHeight="1">
      <c r="A186" t="inlineStr">
        <is>
          <t>A 56603-2022</t>
        </is>
      </c>
      <c r="B186" s="1" t="n">
        <v>44893</v>
      </c>
      <c r="C186" s="1" t="n">
        <v>45577</v>
      </c>
      <c r="D186" t="inlineStr">
        <is>
          <t>JÄMTLANDS LÄN</t>
        </is>
      </c>
      <c r="E186" t="inlineStr">
        <is>
          <t>ÅRE</t>
        </is>
      </c>
      <c r="F186" t="inlineStr">
        <is>
          <t>Övriga Aktiebolag</t>
        </is>
      </c>
      <c r="G186" t="n">
        <v>14.3</v>
      </c>
      <c r="H186" t="n">
        <v>1</v>
      </c>
      <c r="I186" t="n">
        <v>0</v>
      </c>
      <c r="J186" t="n">
        <v>1</v>
      </c>
      <c r="K186" t="n">
        <v>0</v>
      </c>
      <c r="L186" t="n">
        <v>0</v>
      </c>
      <c r="M186" t="n">
        <v>0</v>
      </c>
      <c r="N186" t="n">
        <v>0</v>
      </c>
      <c r="O186" t="n">
        <v>1</v>
      </c>
      <c r="P186" t="n">
        <v>0</v>
      </c>
      <c r="Q186" t="n">
        <v>1</v>
      </c>
      <c r="R186" s="2" t="inlineStr">
        <is>
          <t>Talltita</t>
        </is>
      </c>
      <c r="S186">
        <f>HYPERLINK("https://klasma.github.io/Logging_2321/artfynd/A 56603-2022 artfynd.xlsx", "A 56603-2022")</f>
        <v/>
      </c>
      <c r="T186">
        <f>HYPERLINK("https://klasma.github.io/Logging_2321/kartor/A 56603-2022 karta.png", "A 56603-2022")</f>
        <v/>
      </c>
      <c r="V186">
        <f>HYPERLINK("https://klasma.github.io/Logging_2321/klagomål/A 56603-2022 FSC-klagomål.docx", "A 56603-2022")</f>
        <v/>
      </c>
      <c r="W186">
        <f>HYPERLINK("https://klasma.github.io/Logging_2321/klagomålsmail/A 56603-2022 FSC-klagomål mail.docx", "A 56603-2022")</f>
        <v/>
      </c>
      <c r="X186">
        <f>HYPERLINK("https://klasma.github.io/Logging_2321/tillsyn/A 56603-2022 tillsynsbegäran.docx", "A 56603-2022")</f>
        <v/>
      </c>
      <c r="Y186">
        <f>HYPERLINK("https://klasma.github.io/Logging_2321/tillsynsmail/A 56603-2022 tillsynsbegäran mail.docx", "A 56603-2022")</f>
        <v/>
      </c>
      <c r="Z186">
        <f>HYPERLINK("https://klasma.github.io/Logging_2321/fåglar/A 56603-2022 prioriterade fågelarter.docx", "A 56603-2022")</f>
        <v/>
      </c>
    </row>
    <row r="187" ht="15" customHeight="1">
      <c r="A187" t="inlineStr">
        <is>
          <t>A 57396-2022</t>
        </is>
      </c>
      <c r="B187" s="1" t="n">
        <v>44896</v>
      </c>
      <c r="C187" s="1" t="n">
        <v>45577</v>
      </c>
      <c r="D187" t="inlineStr">
        <is>
          <t>JÄMTLANDS LÄN</t>
        </is>
      </c>
      <c r="E187" t="inlineStr">
        <is>
          <t>ÅRE</t>
        </is>
      </c>
      <c r="G187" t="n">
        <v>3.1</v>
      </c>
      <c r="H187" t="n">
        <v>0</v>
      </c>
      <c r="I187" t="n">
        <v>0</v>
      </c>
      <c r="J187" t="n">
        <v>1</v>
      </c>
      <c r="K187" t="n">
        <v>0</v>
      </c>
      <c r="L187" t="n">
        <v>0</v>
      </c>
      <c r="M187" t="n">
        <v>0</v>
      </c>
      <c r="N187" t="n">
        <v>0</v>
      </c>
      <c r="O187" t="n">
        <v>1</v>
      </c>
      <c r="P187" t="n">
        <v>0</v>
      </c>
      <c r="Q187" t="n">
        <v>1</v>
      </c>
      <c r="R187" s="2" t="inlineStr">
        <is>
          <t>Granticka</t>
        </is>
      </c>
      <c r="S187">
        <f>HYPERLINK("https://klasma.github.io/Logging_2321/artfynd/A 57396-2022 artfynd.xlsx", "A 57396-2022")</f>
        <v/>
      </c>
      <c r="T187">
        <f>HYPERLINK("https://klasma.github.io/Logging_2321/kartor/A 57396-2022 karta.png", "A 57396-2022")</f>
        <v/>
      </c>
      <c r="V187">
        <f>HYPERLINK("https://klasma.github.io/Logging_2321/klagomål/A 57396-2022 FSC-klagomål.docx", "A 57396-2022")</f>
        <v/>
      </c>
      <c r="W187">
        <f>HYPERLINK("https://klasma.github.io/Logging_2321/klagomålsmail/A 57396-2022 FSC-klagomål mail.docx", "A 57396-2022")</f>
        <v/>
      </c>
      <c r="X187">
        <f>HYPERLINK("https://klasma.github.io/Logging_2321/tillsyn/A 57396-2022 tillsynsbegäran.docx", "A 57396-2022")</f>
        <v/>
      </c>
      <c r="Y187">
        <f>HYPERLINK("https://klasma.github.io/Logging_2321/tillsynsmail/A 57396-2022 tillsynsbegäran mail.docx", "A 57396-2022")</f>
        <v/>
      </c>
    </row>
    <row r="188" ht="15" customHeight="1">
      <c r="A188" t="inlineStr">
        <is>
          <t>A 60544-2022</t>
        </is>
      </c>
      <c r="B188" s="1" t="n">
        <v>44904</v>
      </c>
      <c r="C188" s="1" t="n">
        <v>45577</v>
      </c>
      <c r="D188" t="inlineStr">
        <is>
          <t>JÄMTLANDS LÄN</t>
        </is>
      </c>
      <c r="E188" t="inlineStr">
        <is>
          <t>ÅRE</t>
        </is>
      </c>
      <c r="G188" t="n">
        <v>1.2</v>
      </c>
      <c r="H188" t="n">
        <v>1</v>
      </c>
      <c r="I188" t="n">
        <v>0</v>
      </c>
      <c r="J188" t="n">
        <v>1</v>
      </c>
      <c r="K188" t="n">
        <v>0</v>
      </c>
      <c r="L188" t="n">
        <v>0</v>
      </c>
      <c r="M188" t="n">
        <v>0</v>
      </c>
      <c r="N188" t="n">
        <v>0</v>
      </c>
      <c r="O188" t="n">
        <v>1</v>
      </c>
      <c r="P188" t="n">
        <v>0</v>
      </c>
      <c r="Q188" t="n">
        <v>1</v>
      </c>
      <c r="R188" s="2" t="inlineStr">
        <is>
          <t>Järpe</t>
        </is>
      </c>
      <c r="S188">
        <f>HYPERLINK("https://klasma.github.io/Logging_2321/artfynd/A 60544-2022 artfynd.xlsx", "A 60544-2022")</f>
        <v/>
      </c>
      <c r="T188">
        <f>HYPERLINK("https://klasma.github.io/Logging_2321/kartor/A 60544-2022 karta.png", "A 60544-2022")</f>
        <v/>
      </c>
      <c r="V188">
        <f>HYPERLINK("https://klasma.github.io/Logging_2321/klagomål/A 60544-2022 FSC-klagomål.docx", "A 60544-2022")</f>
        <v/>
      </c>
      <c r="W188">
        <f>HYPERLINK("https://klasma.github.io/Logging_2321/klagomålsmail/A 60544-2022 FSC-klagomål mail.docx", "A 60544-2022")</f>
        <v/>
      </c>
      <c r="X188">
        <f>HYPERLINK("https://klasma.github.io/Logging_2321/tillsyn/A 60544-2022 tillsynsbegäran.docx", "A 60544-2022")</f>
        <v/>
      </c>
      <c r="Y188">
        <f>HYPERLINK("https://klasma.github.io/Logging_2321/tillsynsmail/A 60544-2022 tillsynsbegäran mail.docx", "A 60544-2022")</f>
        <v/>
      </c>
      <c r="Z188">
        <f>HYPERLINK("https://klasma.github.io/Logging_2321/fåglar/A 60544-2022 prioriterade fågelarter.docx", "A 60544-2022")</f>
        <v/>
      </c>
    </row>
    <row r="189" ht="15" customHeight="1">
      <c r="A189" t="inlineStr">
        <is>
          <t>A 60435-2022</t>
        </is>
      </c>
      <c r="B189" s="1" t="n">
        <v>44911</v>
      </c>
      <c r="C189" s="1" t="n">
        <v>45577</v>
      </c>
      <c r="D189" t="inlineStr">
        <is>
          <t>JÄMTLANDS LÄN</t>
        </is>
      </c>
      <c r="E189" t="inlineStr">
        <is>
          <t>ÅRE</t>
        </is>
      </c>
      <c r="F189" t="inlineStr">
        <is>
          <t>Övriga Aktiebolag</t>
        </is>
      </c>
      <c r="G189" t="n">
        <v>7.9</v>
      </c>
      <c r="H189" t="n">
        <v>0</v>
      </c>
      <c r="I189" t="n">
        <v>1</v>
      </c>
      <c r="J189" t="n">
        <v>0</v>
      </c>
      <c r="K189" t="n">
        <v>0</v>
      </c>
      <c r="L189" t="n">
        <v>0</v>
      </c>
      <c r="M189" t="n">
        <v>0</v>
      </c>
      <c r="N189" t="n">
        <v>0</v>
      </c>
      <c r="O189" t="n">
        <v>0</v>
      </c>
      <c r="P189" t="n">
        <v>0</v>
      </c>
      <c r="Q189" t="n">
        <v>1</v>
      </c>
      <c r="R189" s="2" t="inlineStr">
        <is>
          <t>Kransrams</t>
        </is>
      </c>
      <c r="S189">
        <f>HYPERLINK("https://klasma.github.io/Logging_2321/artfynd/A 60435-2022 artfynd.xlsx", "A 60435-2022")</f>
        <v/>
      </c>
      <c r="T189">
        <f>HYPERLINK("https://klasma.github.io/Logging_2321/kartor/A 60435-2022 karta.png", "A 60435-2022")</f>
        <v/>
      </c>
      <c r="V189">
        <f>HYPERLINK("https://klasma.github.io/Logging_2321/klagomål/A 60435-2022 FSC-klagomål.docx", "A 60435-2022")</f>
        <v/>
      </c>
      <c r="W189">
        <f>HYPERLINK("https://klasma.github.io/Logging_2321/klagomålsmail/A 60435-2022 FSC-klagomål mail.docx", "A 60435-2022")</f>
        <v/>
      </c>
      <c r="X189">
        <f>HYPERLINK("https://klasma.github.io/Logging_2321/tillsyn/A 60435-2022 tillsynsbegäran.docx", "A 60435-2022")</f>
        <v/>
      </c>
      <c r="Y189">
        <f>HYPERLINK("https://klasma.github.io/Logging_2321/tillsynsmail/A 60435-2022 tillsynsbegäran mail.docx", "A 60435-2022")</f>
        <v/>
      </c>
    </row>
    <row r="190" ht="15" customHeight="1">
      <c r="A190" t="inlineStr">
        <is>
          <t>A 5480-2023</t>
        </is>
      </c>
      <c r="B190" s="1" t="n">
        <v>44957</v>
      </c>
      <c r="C190" s="1" t="n">
        <v>45577</v>
      </c>
      <c r="D190" t="inlineStr">
        <is>
          <t>JÄMTLANDS LÄN</t>
        </is>
      </c>
      <c r="E190" t="inlineStr">
        <is>
          <t>ÅRE</t>
        </is>
      </c>
      <c r="G190" t="n">
        <v>3.3</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5480-2023 artfynd.xlsx", "A 5480-2023")</f>
        <v/>
      </c>
      <c r="T190">
        <f>HYPERLINK("https://klasma.github.io/Logging_2321/kartor/A 5480-2023 karta.png", "A 5480-2023")</f>
        <v/>
      </c>
      <c r="V190">
        <f>HYPERLINK("https://klasma.github.io/Logging_2321/klagomål/A 5480-2023 FSC-klagomål.docx", "A 5480-2023")</f>
        <v/>
      </c>
      <c r="W190">
        <f>HYPERLINK("https://klasma.github.io/Logging_2321/klagomålsmail/A 5480-2023 FSC-klagomål mail.docx", "A 5480-2023")</f>
        <v/>
      </c>
      <c r="X190">
        <f>HYPERLINK("https://klasma.github.io/Logging_2321/tillsyn/A 5480-2023 tillsynsbegäran.docx", "A 5480-2023")</f>
        <v/>
      </c>
      <c r="Y190">
        <f>HYPERLINK("https://klasma.github.io/Logging_2321/tillsynsmail/A 5480-2023 tillsynsbegäran mail.docx", "A 5480-2023")</f>
        <v/>
      </c>
      <c r="Z190">
        <f>HYPERLINK("https://klasma.github.io/Logging_2321/fåglar/A 5480-2023 prioriterade fågelarter.docx", "A 5480-2023")</f>
        <v/>
      </c>
    </row>
    <row r="191" ht="15" customHeight="1">
      <c r="A191" t="inlineStr">
        <is>
          <t>A 5611-2023</t>
        </is>
      </c>
      <c r="B191" s="1" t="n">
        <v>44958</v>
      </c>
      <c r="C191" s="1" t="n">
        <v>45577</v>
      </c>
      <c r="D191" t="inlineStr">
        <is>
          <t>JÄMTLANDS LÄN</t>
        </is>
      </c>
      <c r="E191" t="inlineStr">
        <is>
          <t>ÅRE</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5611-2023 artfynd.xlsx", "A 5611-2023")</f>
        <v/>
      </c>
      <c r="T191">
        <f>HYPERLINK("https://klasma.github.io/Logging_2321/kartor/A 5611-2023 karta.png", "A 5611-2023")</f>
        <v/>
      </c>
      <c r="V191">
        <f>HYPERLINK("https://klasma.github.io/Logging_2321/klagomål/A 5611-2023 FSC-klagomål.docx", "A 5611-2023")</f>
        <v/>
      </c>
      <c r="W191">
        <f>HYPERLINK("https://klasma.github.io/Logging_2321/klagomålsmail/A 5611-2023 FSC-klagomål mail.docx", "A 5611-2023")</f>
        <v/>
      </c>
      <c r="X191">
        <f>HYPERLINK("https://klasma.github.io/Logging_2321/tillsyn/A 5611-2023 tillsynsbegäran.docx", "A 5611-2023")</f>
        <v/>
      </c>
      <c r="Y191">
        <f>HYPERLINK("https://klasma.github.io/Logging_2321/tillsynsmail/A 5611-2023 tillsynsbegäran mail.docx", "A 5611-2023")</f>
        <v/>
      </c>
      <c r="Z191">
        <f>HYPERLINK("https://klasma.github.io/Logging_2321/fåglar/A 5611-2023 prioriterade fågelarter.docx", "A 5611-2023")</f>
        <v/>
      </c>
    </row>
    <row r="192" ht="15" customHeight="1">
      <c r="A192" t="inlineStr">
        <is>
          <t>A 10632-2023</t>
        </is>
      </c>
      <c r="B192" s="1" t="n">
        <v>44984</v>
      </c>
      <c r="C192" s="1" t="n">
        <v>45577</v>
      </c>
      <c r="D192" t="inlineStr">
        <is>
          <t>JÄMTLANDS LÄN</t>
        </is>
      </c>
      <c r="E192" t="inlineStr">
        <is>
          <t>ÅRE</t>
        </is>
      </c>
      <c r="G192" t="n">
        <v>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10632-2023 artfynd.xlsx", "A 10632-2023")</f>
        <v/>
      </c>
      <c r="T192">
        <f>HYPERLINK("https://klasma.github.io/Logging_2321/kartor/A 10632-2023 karta.png", "A 10632-2023")</f>
        <v/>
      </c>
      <c r="V192">
        <f>HYPERLINK("https://klasma.github.io/Logging_2321/klagomål/A 10632-2023 FSC-klagomål.docx", "A 10632-2023")</f>
        <v/>
      </c>
      <c r="W192">
        <f>HYPERLINK("https://klasma.github.io/Logging_2321/klagomålsmail/A 10632-2023 FSC-klagomål mail.docx", "A 10632-2023")</f>
        <v/>
      </c>
      <c r="X192">
        <f>HYPERLINK("https://klasma.github.io/Logging_2321/tillsyn/A 10632-2023 tillsynsbegäran.docx", "A 10632-2023")</f>
        <v/>
      </c>
      <c r="Y192">
        <f>HYPERLINK("https://klasma.github.io/Logging_2321/tillsynsmail/A 10632-2023 tillsynsbegäran mail.docx", "A 10632-2023")</f>
        <v/>
      </c>
      <c r="Z192">
        <f>HYPERLINK("https://klasma.github.io/Logging_2321/fåglar/A 10632-2023 prioriterade fågelarter.docx", "A 10632-2023")</f>
        <v/>
      </c>
    </row>
    <row r="193" ht="15" customHeight="1">
      <c r="A193" t="inlineStr">
        <is>
          <t>A 41405-2023</t>
        </is>
      </c>
      <c r="B193" s="1" t="n">
        <v>45174</v>
      </c>
      <c r="C193" s="1" t="n">
        <v>45577</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Ögonpyrola</t>
        </is>
      </c>
      <c r="S193">
        <f>HYPERLINK("https://klasma.github.io/Logging_2321/artfynd/A 41405-2023 artfynd.xlsx", "A 41405-2023")</f>
        <v/>
      </c>
      <c r="T193">
        <f>HYPERLINK("https://klasma.github.io/Logging_2321/kartor/A 41405-2023 karta.png", "A 41405-2023")</f>
        <v/>
      </c>
      <c r="V193">
        <f>HYPERLINK("https://klasma.github.io/Logging_2321/klagomål/A 41405-2023 FSC-klagomål.docx", "A 41405-2023")</f>
        <v/>
      </c>
      <c r="W193">
        <f>HYPERLINK("https://klasma.github.io/Logging_2321/klagomålsmail/A 41405-2023 FSC-klagomål mail.docx", "A 41405-2023")</f>
        <v/>
      </c>
      <c r="X193">
        <f>HYPERLINK("https://klasma.github.io/Logging_2321/tillsyn/A 41405-2023 tillsynsbegäran.docx", "A 41405-2023")</f>
        <v/>
      </c>
      <c r="Y193">
        <f>HYPERLINK("https://klasma.github.io/Logging_2321/tillsynsmail/A 41405-2023 tillsynsbegäran mail.docx", "A 41405-2023")</f>
        <v/>
      </c>
    </row>
    <row r="194" ht="15" customHeight="1">
      <c r="A194" t="inlineStr">
        <is>
          <t>A 55105-2023</t>
        </is>
      </c>
      <c r="B194" s="1" t="n">
        <v>45237</v>
      </c>
      <c r="C194" s="1" t="n">
        <v>45577</v>
      </c>
      <c r="D194" t="inlineStr">
        <is>
          <t>JÄMTLANDS LÄN</t>
        </is>
      </c>
      <c r="E194" t="inlineStr">
        <is>
          <t>ÅRE</t>
        </is>
      </c>
      <c r="G194" t="n">
        <v>15.8</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55105-2023 artfynd.xlsx", "A 55105-2023")</f>
        <v/>
      </c>
      <c r="T194">
        <f>HYPERLINK("https://klasma.github.io/Logging_2321/kartor/A 55105-2023 karta.png", "A 55105-2023")</f>
        <v/>
      </c>
      <c r="V194">
        <f>HYPERLINK("https://klasma.github.io/Logging_2321/klagomål/A 55105-2023 FSC-klagomål.docx", "A 55105-2023")</f>
        <v/>
      </c>
      <c r="W194">
        <f>HYPERLINK("https://klasma.github.io/Logging_2321/klagomålsmail/A 55105-2023 FSC-klagomål mail.docx", "A 55105-2023")</f>
        <v/>
      </c>
      <c r="X194">
        <f>HYPERLINK("https://klasma.github.io/Logging_2321/tillsyn/A 55105-2023 tillsynsbegäran.docx", "A 55105-2023")</f>
        <v/>
      </c>
      <c r="Y194">
        <f>HYPERLINK("https://klasma.github.io/Logging_2321/tillsynsmail/A 55105-2023 tillsynsbegäran mail.docx", "A 55105-2023")</f>
        <v/>
      </c>
      <c r="Z194">
        <f>HYPERLINK("https://klasma.github.io/Logging_2321/fåglar/A 55105-2023 prioriterade fågelarter.docx", "A 55105-2023")</f>
        <v/>
      </c>
    </row>
    <row r="195" ht="15" customHeight="1">
      <c r="A195" t="inlineStr">
        <is>
          <t>A 59402-2023</t>
        </is>
      </c>
      <c r="B195" s="1" t="n">
        <v>45253</v>
      </c>
      <c r="C195" s="1" t="n">
        <v>45577</v>
      </c>
      <c r="D195" t="inlineStr">
        <is>
          <t>JÄMTLANDS LÄN</t>
        </is>
      </c>
      <c r="E195" t="inlineStr">
        <is>
          <t>ÅRE</t>
        </is>
      </c>
      <c r="G195" t="n">
        <v>2.3</v>
      </c>
      <c r="H195" t="n">
        <v>0</v>
      </c>
      <c r="I195" t="n">
        <v>0</v>
      </c>
      <c r="J195" t="n">
        <v>1</v>
      </c>
      <c r="K195" t="n">
        <v>0</v>
      </c>
      <c r="L195" t="n">
        <v>0</v>
      </c>
      <c r="M195" t="n">
        <v>0</v>
      </c>
      <c r="N195" t="n">
        <v>0</v>
      </c>
      <c r="O195" t="n">
        <v>1</v>
      </c>
      <c r="P195" t="n">
        <v>0</v>
      </c>
      <c r="Q195" t="n">
        <v>1</v>
      </c>
      <c r="R195" s="2" t="inlineStr">
        <is>
          <t>Garnlav</t>
        </is>
      </c>
      <c r="S195">
        <f>HYPERLINK("https://klasma.github.io/Logging_2321/artfynd/A 59402-2023 artfynd.xlsx", "A 59402-2023")</f>
        <v/>
      </c>
      <c r="T195">
        <f>HYPERLINK("https://klasma.github.io/Logging_2321/kartor/A 59402-2023 karta.png", "A 59402-2023")</f>
        <v/>
      </c>
      <c r="V195">
        <f>HYPERLINK("https://klasma.github.io/Logging_2321/klagomål/A 59402-2023 FSC-klagomål.docx", "A 59402-2023")</f>
        <v/>
      </c>
      <c r="W195">
        <f>HYPERLINK("https://klasma.github.io/Logging_2321/klagomålsmail/A 59402-2023 FSC-klagomål mail.docx", "A 59402-2023")</f>
        <v/>
      </c>
      <c r="X195">
        <f>HYPERLINK("https://klasma.github.io/Logging_2321/tillsyn/A 59402-2023 tillsynsbegäran.docx", "A 59402-2023")</f>
        <v/>
      </c>
      <c r="Y195">
        <f>HYPERLINK("https://klasma.github.io/Logging_2321/tillsynsmail/A 59402-2023 tillsynsbegäran mail.docx", "A 59402-2023")</f>
        <v/>
      </c>
    </row>
    <row r="196" ht="15" customHeight="1">
      <c r="A196" t="inlineStr">
        <is>
          <t>A 61471-2023</t>
        </is>
      </c>
      <c r="B196" s="1" t="n">
        <v>45264</v>
      </c>
      <c r="C196" s="1" t="n">
        <v>45577</v>
      </c>
      <c r="D196" t="inlineStr">
        <is>
          <t>JÄMTLANDS LÄN</t>
        </is>
      </c>
      <c r="E196" t="inlineStr">
        <is>
          <t>ÅRE</t>
        </is>
      </c>
      <c r="G196" t="n">
        <v>1</v>
      </c>
      <c r="H196" t="n">
        <v>0</v>
      </c>
      <c r="I196" t="n">
        <v>0</v>
      </c>
      <c r="J196" t="n">
        <v>1</v>
      </c>
      <c r="K196" t="n">
        <v>0</v>
      </c>
      <c r="L196" t="n">
        <v>0</v>
      </c>
      <c r="M196" t="n">
        <v>0</v>
      </c>
      <c r="N196" t="n">
        <v>0</v>
      </c>
      <c r="O196" t="n">
        <v>1</v>
      </c>
      <c r="P196" t="n">
        <v>0</v>
      </c>
      <c r="Q196" t="n">
        <v>1</v>
      </c>
      <c r="R196" s="2" t="inlineStr">
        <is>
          <t>Skrovellav</t>
        </is>
      </c>
      <c r="S196">
        <f>HYPERLINK("https://klasma.github.io/Logging_2321/artfynd/A 61471-2023 artfynd.xlsx", "A 61471-2023")</f>
        <v/>
      </c>
      <c r="T196">
        <f>HYPERLINK("https://klasma.github.io/Logging_2321/kartor/A 61471-2023 karta.png", "A 61471-2023")</f>
        <v/>
      </c>
      <c r="V196">
        <f>HYPERLINK("https://klasma.github.io/Logging_2321/klagomål/A 61471-2023 FSC-klagomål.docx", "A 61471-2023")</f>
        <v/>
      </c>
      <c r="W196">
        <f>HYPERLINK("https://klasma.github.io/Logging_2321/klagomålsmail/A 61471-2023 FSC-klagomål mail.docx", "A 61471-2023")</f>
        <v/>
      </c>
      <c r="X196">
        <f>HYPERLINK("https://klasma.github.io/Logging_2321/tillsyn/A 61471-2023 tillsynsbegäran.docx", "A 61471-2023")</f>
        <v/>
      </c>
      <c r="Y196">
        <f>HYPERLINK("https://klasma.github.io/Logging_2321/tillsynsmail/A 61471-2023 tillsynsbegäran mail.docx", "A 61471-2023")</f>
        <v/>
      </c>
    </row>
    <row r="197" ht="15" customHeight="1">
      <c r="A197" t="inlineStr">
        <is>
          <t>A 61828-2023</t>
        </is>
      </c>
      <c r="B197" s="1" t="n">
        <v>45264</v>
      </c>
      <c r="C197" s="1" t="n">
        <v>45577</v>
      </c>
      <c r="D197" t="inlineStr">
        <is>
          <t>JÄMTLANDS LÄN</t>
        </is>
      </c>
      <c r="E197" t="inlineStr">
        <is>
          <t>ÅRE</t>
        </is>
      </c>
      <c r="F197" t="inlineStr">
        <is>
          <t>Övriga Aktiebolag</t>
        </is>
      </c>
      <c r="G197" t="n">
        <v>6.2</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61828-2023 artfynd.xlsx", "A 61828-2023")</f>
        <v/>
      </c>
      <c r="T197">
        <f>HYPERLINK("https://klasma.github.io/Logging_2321/kartor/A 61828-2023 karta.png", "A 61828-2023")</f>
        <v/>
      </c>
      <c r="V197">
        <f>HYPERLINK("https://klasma.github.io/Logging_2321/klagomål/A 61828-2023 FSC-klagomål.docx", "A 61828-2023")</f>
        <v/>
      </c>
      <c r="W197">
        <f>HYPERLINK("https://klasma.github.io/Logging_2321/klagomålsmail/A 61828-2023 FSC-klagomål mail.docx", "A 61828-2023")</f>
        <v/>
      </c>
      <c r="X197">
        <f>HYPERLINK("https://klasma.github.io/Logging_2321/tillsyn/A 61828-2023 tillsynsbegäran.docx", "A 61828-2023")</f>
        <v/>
      </c>
      <c r="Y197">
        <f>HYPERLINK("https://klasma.github.io/Logging_2321/tillsynsmail/A 61828-2023 tillsynsbegäran mail.docx", "A 61828-2023")</f>
        <v/>
      </c>
      <c r="Z197">
        <f>HYPERLINK("https://klasma.github.io/Logging_2321/fåglar/A 61828-2023 prioriterade fågelarter.docx", "A 61828-2023")</f>
        <v/>
      </c>
    </row>
    <row r="198" ht="15" customHeight="1">
      <c r="A198" t="inlineStr">
        <is>
          <t>A 64026-2023</t>
        </is>
      </c>
      <c r="B198" s="1" t="n">
        <v>45278</v>
      </c>
      <c r="C198" s="1" t="n">
        <v>45577</v>
      </c>
      <c r="D198" t="inlineStr">
        <is>
          <t>JÄMTLANDS LÄN</t>
        </is>
      </c>
      <c r="E198" t="inlineStr">
        <is>
          <t>ÅRE</t>
        </is>
      </c>
      <c r="F198" t="inlineStr">
        <is>
          <t>Övriga Aktiebolag</t>
        </is>
      </c>
      <c r="G198" t="n">
        <v>9.800000000000001</v>
      </c>
      <c r="H198" t="n">
        <v>0</v>
      </c>
      <c r="I198" t="n">
        <v>1</v>
      </c>
      <c r="J198" t="n">
        <v>0</v>
      </c>
      <c r="K198" t="n">
        <v>0</v>
      </c>
      <c r="L198" t="n">
        <v>0</v>
      </c>
      <c r="M198" t="n">
        <v>0</v>
      </c>
      <c r="N198" t="n">
        <v>0</v>
      </c>
      <c r="O198" t="n">
        <v>0</v>
      </c>
      <c r="P198" t="n">
        <v>0</v>
      </c>
      <c r="Q198" t="n">
        <v>1</v>
      </c>
      <c r="R198" s="2" t="inlineStr">
        <is>
          <t>Svavelriska</t>
        </is>
      </c>
      <c r="S198">
        <f>HYPERLINK("https://klasma.github.io/Logging_2321/artfynd/A 64026-2023 artfynd.xlsx", "A 64026-2023")</f>
        <v/>
      </c>
      <c r="T198">
        <f>HYPERLINK("https://klasma.github.io/Logging_2321/kartor/A 64026-2023 karta.png", "A 64026-2023")</f>
        <v/>
      </c>
      <c r="V198">
        <f>HYPERLINK("https://klasma.github.io/Logging_2321/klagomål/A 64026-2023 FSC-klagomål.docx", "A 64026-2023")</f>
        <v/>
      </c>
      <c r="W198">
        <f>HYPERLINK("https://klasma.github.io/Logging_2321/klagomålsmail/A 64026-2023 FSC-klagomål mail.docx", "A 64026-2023")</f>
        <v/>
      </c>
      <c r="X198">
        <f>HYPERLINK("https://klasma.github.io/Logging_2321/tillsyn/A 64026-2023 tillsynsbegäran.docx", "A 64026-2023")</f>
        <v/>
      </c>
      <c r="Y198">
        <f>HYPERLINK("https://klasma.github.io/Logging_2321/tillsynsmail/A 64026-2023 tillsynsbegäran mail.docx", "A 64026-2023")</f>
        <v/>
      </c>
    </row>
    <row r="199" ht="15" customHeight="1">
      <c r="A199" t="inlineStr">
        <is>
          <t>A 8131-2024</t>
        </is>
      </c>
      <c r="B199" s="1" t="n">
        <v>45351</v>
      </c>
      <c r="C199" s="1" t="n">
        <v>45577</v>
      </c>
      <c r="D199" t="inlineStr">
        <is>
          <t>JÄMTLANDS LÄN</t>
        </is>
      </c>
      <c r="E199" t="inlineStr">
        <is>
          <t>ÅRE</t>
        </is>
      </c>
      <c r="F199" t="inlineStr">
        <is>
          <t>Övriga Aktiebolag</t>
        </is>
      </c>
      <c r="G199" t="n">
        <v>3.1</v>
      </c>
      <c r="H199" t="n">
        <v>0</v>
      </c>
      <c r="I199" t="n">
        <v>0</v>
      </c>
      <c r="J199" t="n">
        <v>0</v>
      </c>
      <c r="K199" t="n">
        <v>1</v>
      </c>
      <c r="L199" t="n">
        <v>0</v>
      </c>
      <c r="M199" t="n">
        <v>0</v>
      </c>
      <c r="N199" t="n">
        <v>0</v>
      </c>
      <c r="O199" t="n">
        <v>1</v>
      </c>
      <c r="P199" t="n">
        <v>1</v>
      </c>
      <c r="Q199" t="n">
        <v>1</v>
      </c>
      <c r="R199" s="2" t="inlineStr">
        <is>
          <t>Gräddporing</t>
        </is>
      </c>
      <c r="S199">
        <f>HYPERLINK("https://klasma.github.io/Logging_2321/artfynd/A 8131-2024 artfynd.xlsx", "A 8131-2024")</f>
        <v/>
      </c>
      <c r="T199">
        <f>HYPERLINK("https://klasma.github.io/Logging_2321/kartor/A 8131-2024 karta.png", "A 8131-2024")</f>
        <v/>
      </c>
      <c r="V199">
        <f>HYPERLINK("https://klasma.github.io/Logging_2321/klagomål/A 8131-2024 FSC-klagomål.docx", "A 8131-2024")</f>
        <v/>
      </c>
      <c r="W199">
        <f>HYPERLINK("https://klasma.github.io/Logging_2321/klagomålsmail/A 8131-2024 FSC-klagomål mail.docx", "A 8131-2024")</f>
        <v/>
      </c>
      <c r="X199">
        <f>HYPERLINK("https://klasma.github.io/Logging_2321/tillsyn/A 8131-2024 tillsynsbegäran.docx", "A 8131-2024")</f>
        <v/>
      </c>
      <c r="Y199">
        <f>HYPERLINK("https://klasma.github.io/Logging_2321/tillsynsmail/A 8131-2024 tillsynsbegäran mail.docx", "A 8131-2024")</f>
        <v/>
      </c>
    </row>
    <row r="200" ht="15" customHeight="1">
      <c r="A200" t="inlineStr">
        <is>
          <t>A 17636-2024</t>
        </is>
      </c>
      <c r="B200" s="1" t="n">
        <v>45418</v>
      </c>
      <c r="C200" s="1" t="n">
        <v>45577</v>
      </c>
      <c r="D200" t="inlineStr">
        <is>
          <t>JÄMTLANDS LÄN</t>
        </is>
      </c>
      <c r="E200" t="inlineStr">
        <is>
          <t>ÅRE</t>
        </is>
      </c>
      <c r="F200" t="inlineStr">
        <is>
          <t>Övriga Aktiebolag</t>
        </is>
      </c>
      <c r="G200" t="n">
        <v>12.4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17636-2024 artfynd.xlsx", "A 17636-2024")</f>
        <v/>
      </c>
      <c r="T200">
        <f>HYPERLINK("https://klasma.github.io/Logging_2321/kartor/A 17636-2024 karta.png", "A 17636-2024")</f>
        <v/>
      </c>
      <c r="V200">
        <f>HYPERLINK("https://klasma.github.io/Logging_2321/klagomål/A 17636-2024 FSC-klagomål.docx", "A 17636-2024")</f>
        <v/>
      </c>
      <c r="W200">
        <f>HYPERLINK("https://klasma.github.io/Logging_2321/klagomålsmail/A 17636-2024 FSC-klagomål mail.docx", "A 17636-2024")</f>
        <v/>
      </c>
      <c r="X200">
        <f>HYPERLINK("https://klasma.github.io/Logging_2321/tillsyn/A 17636-2024 tillsynsbegäran.docx", "A 17636-2024")</f>
        <v/>
      </c>
      <c r="Y200">
        <f>HYPERLINK("https://klasma.github.io/Logging_2321/tillsynsmail/A 17636-2024 tillsynsbegäran mail.docx", "A 17636-2024")</f>
        <v/>
      </c>
      <c r="Z200">
        <f>HYPERLINK("https://klasma.github.io/Logging_2321/fåglar/A 17636-2024 prioriterade fågelarter.docx", "A 17636-2024")</f>
        <v/>
      </c>
    </row>
    <row r="201" ht="15" customHeight="1">
      <c r="A201" t="inlineStr">
        <is>
          <t>A 23426-2024</t>
        </is>
      </c>
      <c r="B201" s="1" t="n">
        <v>45453</v>
      </c>
      <c r="C201" s="1" t="n">
        <v>45577</v>
      </c>
      <c r="D201" t="inlineStr">
        <is>
          <t>JÄMTLANDS LÄN</t>
        </is>
      </c>
      <c r="E201" t="inlineStr">
        <is>
          <t>ÅRE</t>
        </is>
      </c>
      <c r="F201" t="inlineStr">
        <is>
          <t>Övriga Aktiebolag</t>
        </is>
      </c>
      <c r="G201" t="n">
        <v>2.3</v>
      </c>
      <c r="H201" t="n">
        <v>0</v>
      </c>
      <c r="I201" t="n">
        <v>0</v>
      </c>
      <c r="J201" t="n">
        <v>1</v>
      </c>
      <c r="K201" t="n">
        <v>0</v>
      </c>
      <c r="L201" t="n">
        <v>0</v>
      </c>
      <c r="M201" t="n">
        <v>0</v>
      </c>
      <c r="N201" t="n">
        <v>0</v>
      </c>
      <c r="O201" t="n">
        <v>1</v>
      </c>
      <c r="P201" t="n">
        <v>0</v>
      </c>
      <c r="Q201" t="n">
        <v>1</v>
      </c>
      <c r="R201" s="2" t="inlineStr">
        <is>
          <t>Doftskinn</t>
        </is>
      </c>
      <c r="S201">
        <f>HYPERLINK("https://klasma.github.io/Logging_2321/artfynd/A 23426-2024 artfynd.xlsx", "A 23426-2024")</f>
        <v/>
      </c>
      <c r="T201">
        <f>HYPERLINK("https://klasma.github.io/Logging_2321/kartor/A 23426-2024 karta.png", "A 23426-2024")</f>
        <v/>
      </c>
      <c r="V201">
        <f>HYPERLINK("https://klasma.github.io/Logging_2321/klagomål/A 23426-2024 FSC-klagomål.docx", "A 23426-2024")</f>
        <v/>
      </c>
      <c r="W201">
        <f>HYPERLINK("https://klasma.github.io/Logging_2321/klagomålsmail/A 23426-2024 FSC-klagomål mail.docx", "A 23426-2024")</f>
        <v/>
      </c>
      <c r="X201">
        <f>HYPERLINK("https://klasma.github.io/Logging_2321/tillsyn/A 23426-2024 tillsynsbegäran.docx", "A 23426-2024")</f>
        <v/>
      </c>
      <c r="Y201">
        <f>HYPERLINK("https://klasma.github.io/Logging_2321/tillsynsmail/A 23426-2024 tillsynsbegäran mail.docx", "A 23426-2024")</f>
        <v/>
      </c>
    </row>
    <row r="202" ht="15" customHeight="1">
      <c r="A202" t="inlineStr">
        <is>
          <t>A 30032-2024</t>
        </is>
      </c>
      <c r="B202" s="1" t="n">
        <v>45485</v>
      </c>
      <c r="C202" s="1" t="n">
        <v>45577</v>
      </c>
      <c r="D202" t="inlineStr">
        <is>
          <t>JÄMTLANDS LÄN</t>
        </is>
      </c>
      <c r="E202" t="inlineStr">
        <is>
          <t>ÅRE</t>
        </is>
      </c>
      <c r="G202" t="n">
        <v>20.5</v>
      </c>
      <c r="H202" t="n">
        <v>1</v>
      </c>
      <c r="I202" t="n">
        <v>1</v>
      </c>
      <c r="J202" t="n">
        <v>0</v>
      </c>
      <c r="K202" t="n">
        <v>0</v>
      </c>
      <c r="L202" t="n">
        <v>0</v>
      </c>
      <c r="M202" t="n">
        <v>0</v>
      </c>
      <c r="N202" t="n">
        <v>0</v>
      </c>
      <c r="O202" t="n">
        <v>0</v>
      </c>
      <c r="P202" t="n">
        <v>0</v>
      </c>
      <c r="Q202" t="n">
        <v>1</v>
      </c>
      <c r="R202" s="2" t="inlineStr">
        <is>
          <t>Spindelblomster</t>
        </is>
      </c>
      <c r="S202">
        <f>HYPERLINK("https://klasma.github.io/Logging_2321/artfynd/A 30032-2024 artfynd.xlsx", "A 30032-2024")</f>
        <v/>
      </c>
      <c r="T202">
        <f>HYPERLINK("https://klasma.github.io/Logging_2321/kartor/A 30032-2024 karta.png", "A 30032-2024")</f>
        <v/>
      </c>
      <c r="V202">
        <f>HYPERLINK("https://klasma.github.io/Logging_2321/klagomål/A 30032-2024 FSC-klagomål.docx", "A 30032-2024")</f>
        <v/>
      </c>
      <c r="W202">
        <f>HYPERLINK("https://klasma.github.io/Logging_2321/klagomålsmail/A 30032-2024 FSC-klagomål mail.docx", "A 30032-2024")</f>
        <v/>
      </c>
      <c r="X202">
        <f>HYPERLINK("https://klasma.github.io/Logging_2321/tillsyn/A 30032-2024 tillsynsbegäran.docx", "A 30032-2024")</f>
        <v/>
      </c>
      <c r="Y202">
        <f>HYPERLINK("https://klasma.github.io/Logging_2321/tillsynsmail/A 30032-2024 tillsynsbegäran mail.docx", "A 30032-2024")</f>
        <v/>
      </c>
    </row>
    <row r="203" ht="15" customHeight="1">
      <c r="A203" t="inlineStr">
        <is>
          <t>A 32865-2024</t>
        </is>
      </c>
      <c r="B203" s="1" t="n">
        <v>45516</v>
      </c>
      <c r="C203" s="1" t="n">
        <v>45577</v>
      </c>
      <c r="D203" t="inlineStr">
        <is>
          <t>JÄMTLANDS LÄN</t>
        </is>
      </c>
      <c r="E203" t="inlineStr">
        <is>
          <t>ÅRE</t>
        </is>
      </c>
      <c r="G203" t="n">
        <v>29.5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32865-2024 artfynd.xlsx", "A 32865-2024")</f>
        <v/>
      </c>
      <c r="T203">
        <f>HYPERLINK("https://klasma.github.io/Logging_2321/kartor/A 32865-2024 karta.png", "A 32865-2024")</f>
        <v/>
      </c>
      <c r="V203">
        <f>HYPERLINK("https://klasma.github.io/Logging_2321/klagomål/A 32865-2024 FSC-klagomål.docx", "A 32865-2024")</f>
        <v/>
      </c>
      <c r="W203">
        <f>HYPERLINK("https://klasma.github.io/Logging_2321/klagomålsmail/A 32865-2024 FSC-klagomål mail.docx", "A 32865-2024")</f>
        <v/>
      </c>
      <c r="X203">
        <f>HYPERLINK("https://klasma.github.io/Logging_2321/tillsyn/A 32865-2024 tillsynsbegäran.docx", "A 32865-2024")</f>
        <v/>
      </c>
      <c r="Y203">
        <f>HYPERLINK("https://klasma.github.io/Logging_2321/tillsynsmail/A 32865-2024 tillsynsbegäran mail.docx", "A 32865-2024")</f>
        <v/>
      </c>
      <c r="Z203">
        <f>HYPERLINK("https://klasma.github.io/Logging_2321/fåglar/A 32865-2024 prioriterade fågelarter.docx", "A 32865-2024")</f>
        <v/>
      </c>
    </row>
    <row r="204" ht="15" customHeight="1">
      <c r="A204" t="inlineStr">
        <is>
          <t>A 42166-2024</t>
        </is>
      </c>
      <c r="B204" s="1" t="n">
        <v>45562</v>
      </c>
      <c r="C204" s="1" t="n">
        <v>45577</v>
      </c>
      <c r="D204" t="inlineStr">
        <is>
          <t>JÄMTLANDS LÄN</t>
        </is>
      </c>
      <c r="E204" t="inlineStr">
        <is>
          <t>ÅRE</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HYPERLINK("https://klasma.github.io/Logging_2321/artfynd/A 42166-2024 artfynd.xlsx", "A 42166-2024")</f>
        <v/>
      </c>
      <c r="T204">
        <f>HYPERLINK("https://klasma.github.io/Logging_2321/kartor/A 42166-2024 karta.png", "A 42166-2024")</f>
        <v/>
      </c>
      <c r="V204">
        <f>HYPERLINK("https://klasma.github.io/Logging_2321/klagomål/A 42166-2024 FSC-klagomål.docx", "A 42166-2024")</f>
        <v/>
      </c>
      <c r="W204">
        <f>HYPERLINK("https://klasma.github.io/Logging_2321/klagomålsmail/A 42166-2024 FSC-klagomål mail.docx", "A 42166-2024")</f>
        <v/>
      </c>
      <c r="X204">
        <f>HYPERLINK("https://klasma.github.io/Logging_2321/tillsyn/A 42166-2024 tillsynsbegäran.docx", "A 42166-2024")</f>
        <v/>
      </c>
      <c r="Y204">
        <f>HYPERLINK("https://klasma.github.io/Logging_2321/tillsynsmail/A 42166-2024 tillsynsbegäran mail.docx", "A 42166-2024")</f>
        <v/>
      </c>
    </row>
    <row r="205" ht="15" customHeight="1">
      <c r="A205" t="inlineStr">
        <is>
          <t>A 45144-2024</t>
        </is>
      </c>
      <c r="B205" s="1" t="n">
        <v>45575</v>
      </c>
      <c r="C205" s="1" t="n">
        <v>45577</v>
      </c>
      <c r="D205" t="inlineStr">
        <is>
          <t>JÄMTLANDS LÄN</t>
        </is>
      </c>
      <c r="E205" t="inlineStr">
        <is>
          <t>ÅRE</t>
        </is>
      </c>
      <c r="F205" t="inlineStr">
        <is>
          <t>Övriga Aktiebolag</t>
        </is>
      </c>
      <c r="G205" t="n">
        <v>14.7</v>
      </c>
      <c r="H205" t="n">
        <v>0</v>
      </c>
      <c r="I205" t="n">
        <v>0</v>
      </c>
      <c r="J205" t="n">
        <v>1</v>
      </c>
      <c r="K205" t="n">
        <v>0</v>
      </c>
      <c r="L205" t="n">
        <v>0</v>
      </c>
      <c r="M205" t="n">
        <v>0</v>
      </c>
      <c r="N205" t="n">
        <v>0</v>
      </c>
      <c r="O205" t="n">
        <v>1</v>
      </c>
      <c r="P205" t="n">
        <v>0</v>
      </c>
      <c r="Q205" t="n">
        <v>1</v>
      </c>
      <c r="R205" s="2" t="inlineStr">
        <is>
          <t>Garnlav</t>
        </is>
      </c>
      <c r="S205">
        <f>HYPERLINK("https://klasma.github.io/Logging_2321/artfynd/A 45144-2024 artfynd.xlsx", "A 45144-2024")</f>
        <v/>
      </c>
      <c r="T205">
        <f>HYPERLINK("https://klasma.github.io/Logging_2321/kartor/A 45144-2024 karta.png", "A 45144-2024")</f>
        <v/>
      </c>
      <c r="V205">
        <f>HYPERLINK("https://klasma.github.io/Logging_2321/klagomål/A 45144-2024 FSC-klagomål.docx", "A 45144-2024")</f>
        <v/>
      </c>
      <c r="W205">
        <f>HYPERLINK("https://klasma.github.io/Logging_2321/klagomålsmail/A 45144-2024 FSC-klagomål mail.docx", "A 45144-2024")</f>
        <v/>
      </c>
      <c r="X205">
        <f>HYPERLINK("https://klasma.github.io/Logging_2321/tillsyn/A 45144-2024 tillsynsbegäran.docx", "A 45144-2024")</f>
        <v/>
      </c>
      <c r="Y205">
        <f>HYPERLINK("https://klasma.github.io/Logging_2321/tillsynsmail/A 45144-2024 tillsynsbegäran mail.docx", "A 45144-2024")</f>
        <v/>
      </c>
    </row>
    <row r="206" ht="15" customHeight="1">
      <c r="A206" t="inlineStr">
        <is>
          <t>A 21532-2019</t>
        </is>
      </c>
      <c r="B206" s="1" t="n">
        <v>43580</v>
      </c>
      <c r="C206" s="1" t="n">
        <v>45577</v>
      </c>
      <c r="D206" t="inlineStr">
        <is>
          <t>JÄMTLANDS LÄN</t>
        </is>
      </c>
      <c r="E206" t="inlineStr">
        <is>
          <t>ÅRE</t>
        </is>
      </c>
      <c r="G206" t="n">
        <v>20.1</v>
      </c>
      <c r="H206" t="n">
        <v>0</v>
      </c>
      <c r="I206" t="n">
        <v>0</v>
      </c>
      <c r="J206" t="n">
        <v>0</v>
      </c>
      <c r="K206" t="n">
        <v>0</v>
      </c>
      <c r="L206" t="n">
        <v>0</v>
      </c>
      <c r="M206" t="n">
        <v>0</v>
      </c>
      <c r="N206" t="n">
        <v>0</v>
      </c>
      <c r="O206" t="n">
        <v>0</v>
      </c>
      <c r="P206" t="n">
        <v>0</v>
      </c>
      <c r="Q206" t="n">
        <v>0</v>
      </c>
      <c r="R206" s="2" t="inlineStr"/>
    </row>
    <row r="207" ht="15" customHeight="1">
      <c r="A207" t="inlineStr">
        <is>
          <t>A 21883-2019</t>
        </is>
      </c>
      <c r="B207" s="1" t="n">
        <v>43584</v>
      </c>
      <c r="C207" s="1" t="n">
        <v>45577</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22558-2019</t>
        </is>
      </c>
      <c r="B208" s="1" t="n">
        <v>43587</v>
      </c>
      <c r="C208" s="1" t="n">
        <v>45577</v>
      </c>
      <c r="D208" t="inlineStr">
        <is>
          <t>JÄMTLANDS LÄN</t>
        </is>
      </c>
      <c r="E208" t="inlineStr">
        <is>
          <t>ÅRE</t>
        </is>
      </c>
      <c r="G208" t="n">
        <v>79.09999999999999</v>
      </c>
      <c r="H208" t="n">
        <v>0</v>
      </c>
      <c r="I208" t="n">
        <v>0</v>
      </c>
      <c r="J208" t="n">
        <v>0</v>
      </c>
      <c r="K208" t="n">
        <v>0</v>
      </c>
      <c r="L208" t="n">
        <v>0</v>
      </c>
      <c r="M208" t="n">
        <v>0</v>
      </c>
      <c r="N208" t="n">
        <v>0</v>
      </c>
      <c r="O208" t="n">
        <v>0</v>
      </c>
      <c r="P208" t="n">
        <v>0</v>
      </c>
      <c r="Q208" t="n">
        <v>0</v>
      </c>
      <c r="R208" s="2" t="inlineStr"/>
    </row>
    <row r="209" ht="15" customHeight="1">
      <c r="A209" t="inlineStr">
        <is>
          <t>A 25099-2019</t>
        </is>
      </c>
      <c r="B209" s="1" t="n">
        <v>43605</v>
      </c>
      <c r="C209" s="1" t="n">
        <v>45577</v>
      </c>
      <c r="D209" t="inlineStr">
        <is>
          <t>JÄMTLANDS LÄN</t>
        </is>
      </c>
      <c r="E209" t="inlineStr">
        <is>
          <t>ÅRE</t>
        </is>
      </c>
      <c r="G209" t="n">
        <v>8.9</v>
      </c>
      <c r="H209" t="n">
        <v>0</v>
      </c>
      <c r="I209" t="n">
        <v>0</v>
      </c>
      <c r="J209" t="n">
        <v>0</v>
      </c>
      <c r="K209" t="n">
        <v>0</v>
      </c>
      <c r="L209" t="n">
        <v>0</v>
      </c>
      <c r="M209" t="n">
        <v>0</v>
      </c>
      <c r="N209" t="n">
        <v>0</v>
      </c>
      <c r="O209" t="n">
        <v>0</v>
      </c>
      <c r="P209" t="n">
        <v>0</v>
      </c>
      <c r="Q209" t="n">
        <v>0</v>
      </c>
      <c r="R209" s="2" t="inlineStr"/>
    </row>
    <row r="210" ht="15" customHeight="1">
      <c r="A210" t="inlineStr">
        <is>
          <t>A 26624-2019</t>
        </is>
      </c>
      <c r="B210" s="1" t="n">
        <v>43612</v>
      </c>
      <c r="C210" s="1" t="n">
        <v>45577</v>
      </c>
      <c r="D210" t="inlineStr">
        <is>
          <t>JÄMTLANDS LÄN</t>
        </is>
      </c>
      <c r="E210" t="inlineStr">
        <is>
          <t>ÅRE</t>
        </is>
      </c>
      <c r="G210" t="n">
        <v>2.4</v>
      </c>
      <c r="H210" t="n">
        <v>0</v>
      </c>
      <c r="I210" t="n">
        <v>0</v>
      </c>
      <c r="J210" t="n">
        <v>0</v>
      </c>
      <c r="K210" t="n">
        <v>0</v>
      </c>
      <c r="L210" t="n">
        <v>0</v>
      </c>
      <c r="M210" t="n">
        <v>0</v>
      </c>
      <c r="N210" t="n">
        <v>0</v>
      </c>
      <c r="O210" t="n">
        <v>0</v>
      </c>
      <c r="P210" t="n">
        <v>0</v>
      </c>
      <c r="Q210" t="n">
        <v>0</v>
      </c>
      <c r="R210" s="2" t="inlineStr"/>
    </row>
    <row r="211" ht="15" customHeight="1">
      <c r="A211" t="inlineStr">
        <is>
          <t>A 26626-2019</t>
        </is>
      </c>
      <c r="B211" s="1" t="n">
        <v>43612</v>
      </c>
      <c r="C211" s="1" t="n">
        <v>45577</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28793-2019</t>
        </is>
      </c>
      <c r="B212" s="1" t="n">
        <v>43627</v>
      </c>
      <c r="C212" s="1" t="n">
        <v>45577</v>
      </c>
      <c r="D212" t="inlineStr">
        <is>
          <t>JÄMTLANDS LÄN</t>
        </is>
      </c>
      <c r="E212" t="inlineStr">
        <is>
          <t>ÅRE</t>
        </is>
      </c>
      <c r="G212" t="n">
        <v>7.8</v>
      </c>
      <c r="H212" t="n">
        <v>0</v>
      </c>
      <c r="I212" t="n">
        <v>0</v>
      </c>
      <c r="J212" t="n">
        <v>0</v>
      </c>
      <c r="K212" t="n">
        <v>0</v>
      </c>
      <c r="L212" t="n">
        <v>0</v>
      </c>
      <c r="M212" t="n">
        <v>0</v>
      </c>
      <c r="N212" t="n">
        <v>0</v>
      </c>
      <c r="O212" t="n">
        <v>0</v>
      </c>
      <c r="P212" t="n">
        <v>0</v>
      </c>
      <c r="Q212" t="n">
        <v>0</v>
      </c>
      <c r="R212" s="2" t="inlineStr"/>
    </row>
    <row r="213" ht="15" customHeight="1">
      <c r="A213" t="inlineStr">
        <is>
          <t>A 29272-2019</t>
        </is>
      </c>
      <c r="B213" s="1" t="n">
        <v>43629</v>
      </c>
      <c r="C213" s="1" t="n">
        <v>45577</v>
      </c>
      <c r="D213" t="inlineStr">
        <is>
          <t>JÄMTLANDS LÄN</t>
        </is>
      </c>
      <c r="E213" t="inlineStr">
        <is>
          <t>ÅRE</t>
        </is>
      </c>
      <c r="G213" t="n">
        <v>10.9</v>
      </c>
      <c r="H213" t="n">
        <v>0</v>
      </c>
      <c r="I213" t="n">
        <v>0</v>
      </c>
      <c r="J213" t="n">
        <v>0</v>
      </c>
      <c r="K213" t="n">
        <v>0</v>
      </c>
      <c r="L213" t="n">
        <v>0</v>
      </c>
      <c r="M213" t="n">
        <v>0</v>
      </c>
      <c r="N213" t="n">
        <v>0</v>
      </c>
      <c r="O213" t="n">
        <v>0</v>
      </c>
      <c r="P213" t="n">
        <v>0</v>
      </c>
      <c r="Q213" t="n">
        <v>0</v>
      </c>
      <c r="R213" s="2" t="inlineStr"/>
    </row>
    <row r="214" ht="15" customHeight="1">
      <c r="A214" t="inlineStr">
        <is>
          <t>A 29769-2019</t>
        </is>
      </c>
      <c r="B214" s="1" t="n">
        <v>43632</v>
      </c>
      <c r="C214" s="1" t="n">
        <v>45577</v>
      </c>
      <c r="D214" t="inlineStr">
        <is>
          <t>JÄMTLANDS LÄN</t>
        </is>
      </c>
      <c r="E214" t="inlineStr">
        <is>
          <t>ÅRE</t>
        </is>
      </c>
      <c r="G214" t="n">
        <v>1.8</v>
      </c>
      <c r="H214" t="n">
        <v>0</v>
      </c>
      <c r="I214" t="n">
        <v>0</v>
      </c>
      <c r="J214" t="n">
        <v>0</v>
      </c>
      <c r="K214" t="n">
        <v>0</v>
      </c>
      <c r="L214" t="n">
        <v>0</v>
      </c>
      <c r="M214" t="n">
        <v>0</v>
      </c>
      <c r="N214" t="n">
        <v>0</v>
      </c>
      <c r="O214" t="n">
        <v>0</v>
      </c>
      <c r="P214" t="n">
        <v>0</v>
      </c>
      <c r="Q214" t="n">
        <v>0</v>
      </c>
      <c r="R214" s="2" t="inlineStr"/>
    </row>
    <row r="215" ht="15" customHeight="1">
      <c r="A215" t="inlineStr">
        <is>
          <t>A 29916-2019</t>
        </is>
      </c>
      <c r="B215" s="1" t="n">
        <v>43633</v>
      </c>
      <c r="C215" s="1" t="n">
        <v>45577</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30384-2019</t>
        </is>
      </c>
      <c r="B216" s="1" t="n">
        <v>43634</v>
      </c>
      <c r="C216" s="1" t="n">
        <v>45577</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33856-2019</t>
        </is>
      </c>
      <c r="B217" s="1" t="n">
        <v>43652</v>
      </c>
      <c r="C217" s="1" t="n">
        <v>45577</v>
      </c>
      <c r="D217" t="inlineStr">
        <is>
          <t>JÄMTLANDS LÄN</t>
        </is>
      </c>
      <c r="E217" t="inlineStr">
        <is>
          <t>ÅRE</t>
        </is>
      </c>
      <c r="G217" t="n">
        <v>9.6</v>
      </c>
      <c r="H217" t="n">
        <v>0</v>
      </c>
      <c r="I217" t="n">
        <v>0</v>
      </c>
      <c r="J217" t="n">
        <v>0</v>
      </c>
      <c r="K217" t="n">
        <v>0</v>
      </c>
      <c r="L217" t="n">
        <v>0</v>
      </c>
      <c r="M217" t="n">
        <v>0</v>
      </c>
      <c r="N217" t="n">
        <v>0</v>
      </c>
      <c r="O217" t="n">
        <v>0</v>
      </c>
      <c r="P217" t="n">
        <v>0</v>
      </c>
      <c r="Q217" t="n">
        <v>0</v>
      </c>
      <c r="R217" s="2" t="inlineStr"/>
    </row>
    <row r="218" ht="15" customHeight="1">
      <c r="A218" t="inlineStr">
        <is>
          <t>A 35391-2019</t>
        </is>
      </c>
      <c r="B218" s="1" t="n">
        <v>43661</v>
      </c>
      <c r="C218" s="1" t="n">
        <v>45577</v>
      </c>
      <c r="D218" t="inlineStr">
        <is>
          <t>JÄMTLANDS LÄN</t>
        </is>
      </c>
      <c r="E218" t="inlineStr">
        <is>
          <t>ÅRE</t>
        </is>
      </c>
      <c r="G218" t="n">
        <v>19.7</v>
      </c>
      <c r="H218" t="n">
        <v>0</v>
      </c>
      <c r="I218" t="n">
        <v>0</v>
      </c>
      <c r="J218" t="n">
        <v>0</v>
      </c>
      <c r="K218" t="n">
        <v>0</v>
      </c>
      <c r="L218" t="n">
        <v>0</v>
      </c>
      <c r="M218" t="n">
        <v>0</v>
      </c>
      <c r="N218" t="n">
        <v>0</v>
      </c>
      <c r="O218" t="n">
        <v>0</v>
      </c>
      <c r="P218" t="n">
        <v>0</v>
      </c>
      <c r="Q218" t="n">
        <v>0</v>
      </c>
      <c r="R218" s="2" t="inlineStr"/>
    </row>
    <row r="219" ht="15" customHeight="1">
      <c r="A219" t="inlineStr">
        <is>
          <t>A 35485-2019</t>
        </is>
      </c>
      <c r="B219" s="1" t="n">
        <v>43661</v>
      </c>
      <c r="C219" s="1" t="n">
        <v>45577</v>
      </c>
      <c r="D219" t="inlineStr">
        <is>
          <t>JÄMTLANDS LÄN</t>
        </is>
      </c>
      <c r="E219" t="inlineStr">
        <is>
          <t>ÅRE</t>
        </is>
      </c>
      <c r="G219" t="n">
        <v>5.5</v>
      </c>
      <c r="H219" t="n">
        <v>0</v>
      </c>
      <c r="I219" t="n">
        <v>0</v>
      </c>
      <c r="J219" t="n">
        <v>0</v>
      </c>
      <c r="K219" t="n">
        <v>0</v>
      </c>
      <c r="L219" t="n">
        <v>0</v>
      </c>
      <c r="M219" t="n">
        <v>0</v>
      </c>
      <c r="N219" t="n">
        <v>0</v>
      </c>
      <c r="O219" t="n">
        <v>0</v>
      </c>
      <c r="P219" t="n">
        <v>0</v>
      </c>
      <c r="Q219" t="n">
        <v>0</v>
      </c>
      <c r="R219" s="2" t="inlineStr"/>
    </row>
    <row r="220" ht="15" customHeight="1">
      <c r="A220" t="inlineStr">
        <is>
          <t>A 36975-2019</t>
        </is>
      </c>
      <c r="B220" s="1" t="n">
        <v>43676</v>
      </c>
      <c r="C220" s="1" t="n">
        <v>45577</v>
      </c>
      <c r="D220" t="inlineStr">
        <is>
          <t>JÄMTLANDS LÄN</t>
        </is>
      </c>
      <c r="E220" t="inlineStr">
        <is>
          <t>ÅRE</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41107-2019</t>
        </is>
      </c>
      <c r="B221" s="1" t="n">
        <v>43698</v>
      </c>
      <c r="C221" s="1" t="n">
        <v>45577</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42311-2019</t>
        </is>
      </c>
      <c r="B222" s="1" t="n">
        <v>43699</v>
      </c>
      <c r="C222" s="1" t="n">
        <v>45577</v>
      </c>
      <c r="D222" t="inlineStr">
        <is>
          <t>JÄMTLANDS LÄN</t>
        </is>
      </c>
      <c r="E222" t="inlineStr">
        <is>
          <t>ÅRE</t>
        </is>
      </c>
      <c r="G222" t="n">
        <v>13.7</v>
      </c>
      <c r="H222" t="n">
        <v>0</v>
      </c>
      <c r="I222" t="n">
        <v>0</v>
      </c>
      <c r="J222" t="n">
        <v>0</v>
      </c>
      <c r="K222" t="n">
        <v>0</v>
      </c>
      <c r="L222" t="n">
        <v>0</v>
      </c>
      <c r="M222" t="n">
        <v>0</v>
      </c>
      <c r="N222" t="n">
        <v>0</v>
      </c>
      <c r="O222" t="n">
        <v>0</v>
      </c>
      <c r="P222" t="n">
        <v>0</v>
      </c>
      <c r="Q222" t="n">
        <v>0</v>
      </c>
      <c r="R222" s="2" t="inlineStr"/>
    </row>
    <row r="223" ht="15" customHeight="1">
      <c r="A223" t="inlineStr">
        <is>
          <t>A 43678-2019</t>
        </is>
      </c>
      <c r="B223" s="1" t="n">
        <v>43707</v>
      </c>
      <c r="C223" s="1" t="n">
        <v>45577</v>
      </c>
      <c r="D223" t="inlineStr">
        <is>
          <t>JÄMTLANDS LÄN</t>
        </is>
      </c>
      <c r="E223" t="inlineStr">
        <is>
          <t>ÅRE</t>
        </is>
      </c>
      <c r="G223" t="n">
        <v>7.9</v>
      </c>
      <c r="H223" t="n">
        <v>0</v>
      </c>
      <c r="I223" t="n">
        <v>0</v>
      </c>
      <c r="J223" t="n">
        <v>0</v>
      </c>
      <c r="K223" t="n">
        <v>0</v>
      </c>
      <c r="L223" t="n">
        <v>0</v>
      </c>
      <c r="M223" t="n">
        <v>0</v>
      </c>
      <c r="N223" t="n">
        <v>0</v>
      </c>
      <c r="O223" t="n">
        <v>0</v>
      </c>
      <c r="P223" t="n">
        <v>0</v>
      </c>
      <c r="Q223" t="n">
        <v>0</v>
      </c>
      <c r="R223" s="2" t="inlineStr"/>
    </row>
    <row r="224" ht="15" customHeight="1">
      <c r="A224" t="inlineStr">
        <is>
          <t>A 43683-2019</t>
        </is>
      </c>
      <c r="B224" s="1" t="n">
        <v>43707</v>
      </c>
      <c r="C224" s="1" t="n">
        <v>45577</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44329-2019</t>
        </is>
      </c>
      <c r="B225" s="1" t="n">
        <v>43710</v>
      </c>
      <c r="C225" s="1" t="n">
        <v>45577</v>
      </c>
      <c r="D225" t="inlineStr">
        <is>
          <t>JÄMTLANDS LÄN</t>
        </is>
      </c>
      <c r="E225" t="inlineStr">
        <is>
          <t>ÅRE</t>
        </is>
      </c>
      <c r="G225" t="n">
        <v>2.1</v>
      </c>
      <c r="H225" t="n">
        <v>0</v>
      </c>
      <c r="I225" t="n">
        <v>0</v>
      </c>
      <c r="J225" t="n">
        <v>0</v>
      </c>
      <c r="K225" t="n">
        <v>0</v>
      </c>
      <c r="L225" t="n">
        <v>0</v>
      </c>
      <c r="M225" t="n">
        <v>0</v>
      </c>
      <c r="N225" t="n">
        <v>0</v>
      </c>
      <c r="O225" t="n">
        <v>0</v>
      </c>
      <c r="P225" t="n">
        <v>0</v>
      </c>
      <c r="Q225" t="n">
        <v>0</v>
      </c>
      <c r="R225" s="2" t="inlineStr"/>
    </row>
    <row r="226" ht="15" customHeight="1">
      <c r="A226" t="inlineStr">
        <is>
          <t>A 45794-2019</t>
        </is>
      </c>
      <c r="B226" s="1" t="n">
        <v>43717</v>
      </c>
      <c r="C226" s="1" t="n">
        <v>45577</v>
      </c>
      <c r="D226" t="inlineStr">
        <is>
          <t>JÄMTLANDS LÄN</t>
        </is>
      </c>
      <c r="E226" t="inlineStr">
        <is>
          <t>ÅRE</t>
        </is>
      </c>
      <c r="G226" t="n">
        <v>37.7</v>
      </c>
      <c r="H226" t="n">
        <v>0</v>
      </c>
      <c r="I226" t="n">
        <v>0</v>
      </c>
      <c r="J226" t="n">
        <v>0</v>
      </c>
      <c r="K226" t="n">
        <v>0</v>
      </c>
      <c r="L226" t="n">
        <v>0</v>
      </c>
      <c r="M226" t="n">
        <v>0</v>
      </c>
      <c r="N226" t="n">
        <v>0</v>
      </c>
      <c r="O226" t="n">
        <v>0</v>
      </c>
      <c r="P226" t="n">
        <v>0</v>
      </c>
      <c r="Q226" t="n">
        <v>0</v>
      </c>
      <c r="R226" s="2" t="inlineStr"/>
    </row>
    <row r="227" ht="15" customHeight="1">
      <c r="A227" t="inlineStr">
        <is>
          <t>A 45798-2019</t>
        </is>
      </c>
      <c r="B227" s="1" t="n">
        <v>43717</v>
      </c>
      <c r="C227" s="1" t="n">
        <v>45577</v>
      </c>
      <c r="D227" t="inlineStr">
        <is>
          <t>JÄMTLANDS LÄN</t>
        </is>
      </c>
      <c r="E227" t="inlineStr">
        <is>
          <t>ÅRE</t>
        </is>
      </c>
      <c r="G227" t="n">
        <v>14.6</v>
      </c>
      <c r="H227" t="n">
        <v>0</v>
      </c>
      <c r="I227" t="n">
        <v>0</v>
      </c>
      <c r="J227" t="n">
        <v>0</v>
      </c>
      <c r="K227" t="n">
        <v>0</v>
      </c>
      <c r="L227" t="n">
        <v>0</v>
      </c>
      <c r="M227" t="n">
        <v>0</v>
      </c>
      <c r="N227" t="n">
        <v>0</v>
      </c>
      <c r="O227" t="n">
        <v>0</v>
      </c>
      <c r="P227" t="n">
        <v>0</v>
      </c>
      <c r="Q227" t="n">
        <v>0</v>
      </c>
      <c r="R227" s="2" t="inlineStr"/>
    </row>
    <row r="228" ht="15" customHeight="1">
      <c r="A228" t="inlineStr">
        <is>
          <t>A 47259-2019</t>
        </is>
      </c>
      <c r="B228" s="1" t="n">
        <v>43721</v>
      </c>
      <c r="C228" s="1" t="n">
        <v>45577</v>
      </c>
      <c r="D228" t="inlineStr">
        <is>
          <t>JÄMTLANDS LÄN</t>
        </is>
      </c>
      <c r="E228" t="inlineStr">
        <is>
          <t>ÅRE</t>
        </is>
      </c>
      <c r="G228" t="n">
        <v>12.7</v>
      </c>
      <c r="H228" t="n">
        <v>0</v>
      </c>
      <c r="I228" t="n">
        <v>0</v>
      </c>
      <c r="J228" t="n">
        <v>0</v>
      </c>
      <c r="K228" t="n">
        <v>0</v>
      </c>
      <c r="L228" t="n">
        <v>0</v>
      </c>
      <c r="M228" t="n">
        <v>0</v>
      </c>
      <c r="N228" t="n">
        <v>0</v>
      </c>
      <c r="O228" t="n">
        <v>0</v>
      </c>
      <c r="P228" t="n">
        <v>0</v>
      </c>
      <c r="Q228" t="n">
        <v>0</v>
      </c>
      <c r="R228" s="2" t="inlineStr"/>
    </row>
    <row r="229" ht="15" customHeight="1">
      <c r="A229" t="inlineStr">
        <is>
          <t>A 48291-2019</t>
        </is>
      </c>
      <c r="B229" s="1" t="n">
        <v>43726</v>
      </c>
      <c r="C229" s="1" t="n">
        <v>45577</v>
      </c>
      <c r="D229" t="inlineStr">
        <is>
          <t>JÄMTLANDS LÄN</t>
        </is>
      </c>
      <c r="E229" t="inlineStr">
        <is>
          <t>ÅRE</t>
        </is>
      </c>
      <c r="G229" t="n">
        <v>1.7</v>
      </c>
      <c r="H229" t="n">
        <v>0</v>
      </c>
      <c r="I229" t="n">
        <v>0</v>
      </c>
      <c r="J229" t="n">
        <v>0</v>
      </c>
      <c r="K229" t="n">
        <v>0</v>
      </c>
      <c r="L229" t="n">
        <v>0</v>
      </c>
      <c r="M229" t="n">
        <v>0</v>
      </c>
      <c r="N229" t="n">
        <v>0</v>
      </c>
      <c r="O229" t="n">
        <v>0</v>
      </c>
      <c r="P229" t="n">
        <v>0</v>
      </c>
      <c r="Q229" t="n">
        <v>0</v>
      </c>
      <c r="R229" s="2" t="inlineStr"/>
    </row>
    <row r="230" ht="15" customHeight="1">
      <c r="A230" t="inlineStr">
        <is>
          <t>A 49867-2019</t>
        </is>
      </c>
      <c r="B230" s="1" t="n">
        <v>43733</v>
      </c>
      <c r="C230" s="1" t="n">
        <v>45577</v>
      </c>
      <c r="D230" t="inlineStr">
        <is>
          <t>JÄMTLANDS LÄN</t>
        </is>
      </c>
      <c r="E230" t="inlineStr">
        <is>
          <t>ÅRE</t>
        </is>
      </c>
      <c r="G230" t="n">
        <v>1.5</v>
      </c>
      <c r="H230" t="n">
        <v>0</v>
      </c>
      <c r="I230" t="n">
        <v>0</v>
      </c>
      <c r="J230" t="n">
        <v>0</v>
      </c>
      <c r="K230" t="n">
        <v>0</v>
      </c>
      <c r="L230" t="n">
        <v>0</v>
      </c>
      <c r="M230" t="n">
        <v>0</v>
      </c>
      <c r="N230" t="n">
        <v>0</v>
      </c>
      <c r="O230" t="n">
        <v>0</v>
      </c>
      <c r="P230" t="n">
        <v>0</v>
      </c>
      <c r="Q230" t="n">
        <v>0</v>
      </c>
      <c r="R230" s="2" t="inlineStr"/>
    </row>
    <row r="231" ht="15" customHeight="1">
      <c r="A231" t="inlineStr">
        <is>
          <t>A 49863-2019</t>
        </is>
      </c>
      <c r="B231" s="1" t="n">
        <v>43733</v>
      </c>
      <c r="C231" s="1" t="n">
        <v>45577</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49858-2019</t>
        </is>
      </c>
      <c r="B232" s="1" t="n">
        <v>43733</v>
      </c>
      <c r="C232" s="1" t="n">
        <v>45577</v>
      </c>
      <c r="D232" t="inlineStr">
        <is>
          <t>JÄMTLANDS LÄN</t>
        </is>
      </c>
      <c r="E232" t="inlineStr">
        <is>
          <t>ÅRE</t>
        </is>
      </c>
      <c r="G232" t="n">
        <v>0.9</v>
      </c>
      <c r="H232" t="n">
        <v>0</v>
      </c>
      <c r="I232" t="n">
        <v>0</v>
      </c>
      <c r="J232" t="n">
        <v>0</v>
      </c>
      <c r="K232" t="n">
        <v>0</v>
      </c>
      <c r="L232" t="n">
        <v>0</v>
      </c>
      <c r="M232" t="n">
        <v>0</v>
      </c>
      <c r="N232" t="n">
        <v>0</v>
      </c>
      <c r="O232" t="n">
        <v>0</v>
      </c>
      <c r="P232" t="n">
        <v>0</v>
      </c>
      <c r="Q232" t="n">
        <v>0</v>
      </c>
      <c r="R232" s="2" t="inlineStr"/>
    </row>
    <row r="233" ht="15" customHeight="1">
      <c r="A233" t="inlineStr">
        <is>
          <t>A 50012-2019</t>
        </is>
      </c>
      <c r="B233" s="1" t="n">
        <v>43733</v>
      </c>
      <c r="C233" s="1" t="n">
        <v>45577</v>
      </c>
      <c r="D233" t="inlineStr">
        <is>
          <t>JÄMTLANDS LÄN</t>
        </is>
      </c>
      <c r="E233" t="inlineStr">
        <is>
          <t>ÅRE</t>
        </is>
      </c>
      <c r="G233" t="n">
        <v>5.8</v>
      </c>
      <c r="H233" t="n">
        <v>0</v>
      </c>
      <c r="I233" t="n">
        <v>0</v>
      </c>
      <c r="J233" t="n">
        <v>0</v>
      </c>
      <c r="K233" t="n">
        <v>0</v>
      </c>
      <c r="L233" t="n">
        <v>0</v>
      </c>
      <c r="M233" t="n">
        <v>0</v>
      </c>
      <c r="N233" t="n">
        <v>0</v>
      </c>
      <c r="O233" t="n">
        <v>0</v>
      </c>
      <c r="P233" t="n">
        <v>0</v>
      </c>
      <c r="Q233" t="n">
        <v>0</v>
      </c>
      <c r="R233" s="2" t="inlineStr"/>
    </row>
    <row r="234" ht="15" customHeight="1">
      <c r="A234" t="inlineStr">
        <is>
          <t>A 52056-2019</t>
        </is>
      </c>
      <c r="B234" s="1" t="n">
        <v>43734</v>
      </c>
      <c r="C234" s="1" t="n">
        <v>45577</v>
      </c>
      <c r="D234" t="inlineStr">
        <is>
          <t>JÄMTLANDS LÄN</t>
        </is>
      </c>
      <c r="E234" t="inlineStr">
        <is>
          <t>ÅRE</t>
        </is>
      </c>
      <c r="G234" t="n">
        <v>3</v>
      </c>
      <c r="H234" t="n">
        <v>0</v>
      </c>
      <c r="I234" t="n">
        <v>0</v>
      </c>
      <c r="J234" t="n">
        <v>0</v>
      </c>
      <c r="K234" t="n">
        <v>0</v>
      </c>
      <c r="L234" t="n">
        <v>0</v>
      </c>
      <c r="M234" t="n">
        <v>0</v>
      </c>
      <c r="N234" t="n">
        <v>0</v>
      </c>
      <c r="O234" t="n">
        <v>0</v>
      </c>
      <c r="P234" t="n">
        <v>0</v>
      </c>
      <c r="Q234" t="n">
        <v>0</v>
      </c>
      <c r="R234" s="2" t="inlineStr"/>
    </row>
    <row r="235" ht="15" customHeight="1">
      <c r="A235" t="inlineStr">
        <is>
          <t>A 52047-2019</t>
        </is>
      </c>
      <c r="B235" s="1" t="n">
        <v>43734</v>
      </c>
      <c r="C235" s="1" t="n">
        <v>45577</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51818-2019</t>
        </is>
      </c>
      <c r="B236" s="1" t="n">
        <v>43741</v>
      </c>
      <c r="C236" s="1" t="n">
        <v>45577</v>
      </c>
      <c r="D236" t="inlineStr">
        <is>
          <t>JÄMTLANDS LÄN</t>
        </is>
      </c>
      <c r="E236" t="inlineStr">
        <is>
          <t>ÅRE</t>
        </is>
      </c>
      <c r="G236" t="n">
        <v>1.2</v>
      </c>
      <c r="H236" t="n">
        <v>0</v>
      </c>
      <c r="I236" t="n">
        <v>0</v>
      </c>
      <c r="J236" t="n">
        <v>0</v>
      </c>
      <c r="K236" t="n">
        <v>0</v>
      </c>
      <c r="L236" t="n">
        <v>0</v>
      </c>
      <c r="M236" t="n">
        <v>0</v>
      </c>
      <c r="N236" t="n">
        <v>0</v>
      </c>
      <c r="O236" t="n">
        <v>0</v>
      </c>
      <c r="P236" t="n">
        <v>0</v>
      </c>
      <c r="Q236" t="n">
        <v>0</v>
      </c>
      <c r="R236" s="2" t="inlineStr"/>
    </row>
    <row r="237" ht="15" customHeight="1">
      <c r="A237" t="inlineStr">
        <is>
          <t>A 55358-2019</t>
        </is>
      </c>
      <c r="B237" s="1" t="n">
        <v>43756</v>
      </c>
      <c r="C237" s="1" t="n">
        <v>45577</v>
      </c>
      <c r="D237" t="inlineStr">
        <is>
          <t>JÄMTLANDS LÄN</t>
        </is>
      </c>
      <c r="E237" t="inlineStr">
        <is>
          <t>ÅRE</t>
        </is>
      </c>
      <c r="G237" t="n">
        <v>4.9</v>
      </c>
      <c r="H237" t="n">
        <v>0</v>
      </c>
      <c r="I237" t="n">
        <v>0</v>
      </c>
      <c r="J237" t="n">
        <v>0</v>
      </c>
      <c r="K237" t="n">
        <v>0</v>
      </c>
      <c r="L237" t="n">
        <v>0</v>
      </c>
      <c r="M237" t="n">
        <v>0</v>
      </c>
      <c r="N237" t="n">
        <v>0</v>
      </c>
      <c r="O237" t="n">
        <v>0</v>
      </c>
      <c r="P237" t="n">
        <v>0</v>
      </c>
      <c r="Q237" t="n">
        <v>0</v>
      </c>
      <c r="R237" s="2" t="inlineStr"/>
    </row>
    <row r="238" ht="15" customHeight="1">
      <c r="A238" t="inlineStr">
        <is>
          <t>A 57825-2019</t>
        </is>
      </c>
      <c r="B238" s="1" t="n">
        <v>43768</v>
      </c>
      <c r="C238" s="1" t="n">
        <v>45577</v>
      </c>
      <c r="D238" t="inlineStr">
        <is>
          <t>JÄMTLANDS LÄN</t>
        </is>
      </c>
      <c r="E238" t="inlineStr">
        <is>
          <t>ÅRE</t>
        </is>
      </c>
      <c r="G238" t="n">
        <v>3.1</v>
      </c>
      <c r="H238" t="n">
        <v>0</v>
      </c>
      <c r="I238" t="n">
        <v>0</v>
      </c>
      <c r="J238" t="n">
        <v>0</v>
      </c>
      <c r="K238" t="n">
        <v>0</v>
      </c>
      <c r="L238" t="n">
        <v>0</v>
      </c>
      <c r="M238" t="n">
        <v>0</v>
      </c>
      <c r="N238" t="n">
        <v>0</v>
      </c>
      <c r="O238" t="n">
        <v>0</v>
      </c>
      <c r="P238" t="n">
        <v>0</v>
      </c>
      <c r="Q238" t="n">
        <v>0</v>
      </c>
      <c r="R238" s="2" t="inlineStr"/>
    </row>
    <row r="239" ht="15" customHeight="1">
      <c r="A239" t="inlineStr">
        <is>
          <t>A 59815-2019</t>
        </is>
      </c>
      <c r="B239" s="1" t="n">
        <v>43774</v>
      </c>
      <c r="C239" s="1" t="n">
        <v>45577</v>
      </c>
      <c r="D239" t="inlineStr">
        <is>
          <t>JÄMTLANDS LÄN</t>
        </is>
      </c>
      <c r="E239" t="inlineStr">
        <is>
          <t>ÅRE</t>
        </is>
      </c>
      <c r="G239" t="n">
        <v>2.8</v>
      </c>
      <c r="H239" t="n">
        <v>0</v>
      </c>
      <c r="I239" t="n">
        <v>0</v>
      </c>
      <c r="J239" t="n">
        <v>0</v>
      </c>
      <c r="K239" t="n">
        <v>0</v>
      </c>
      <c r="L239" t="n">
        <v>0</v>
      </c>
      <c r="M239" t="n">
        <v>0</v>
      </c>
      <c r="N239" t="n">
        <v>0</v>
      </c>
      <c r="O239" t="n">
        <v>0</v>
      </c>
      <c r="P239" t="n">
        <v>0</v>
      </c>
      <c r="Q239" t="n">
        <v>0</v>
      </c>
      <c r="R239" s="2" t="inlineStr"/>
    </row>
    <row r="240" ht="15" customHeight="1">
      <c r="A240" t="inlineStr">
        <is>
          <t>A 60093-2019</t>
        </is>
      </c>
      <c r="B240" s="1" t="n">
        <v>43777</v>
      </c>
      <c r="C240" s="1" t="n">
        <v>45577</v>
      </c>
      <c r="D240" t="inlineStr">
        <is>
          <t>JÄMTLANDS LÄN</t>
        </is>
      </c>
      <c r="E240" t="inlineStr">
        <is>
          <t>ÅRE</t>
        </is>
      </c>
      <c r="G240" t="n">
        <v>8.6</v>
      </c>
      <c r="H240" t="n">
        <v>0</v>
      </c>
      <c r="I240" t="n">
        <v>0</v>
      </c>
      <c r="J240" t="n">
        <v>0</v>
      </c>
      <c r="K240" t="n">
        <v>0</v>
      </c>
      <c r="L240" t="n">
        <v>0</v>
      </c>
      <c r="M240" t="n">
        <v>0</v>
      </c>
      <c r="N240" t="n">
        <v>0</v>
      </c>
      <c r="O240" t="n">
        <v>0</v>
      </c>
      <c r="P240" t="n">
        <v>0</v>
      </c>
      <c r="Q240" t="n">
        <v>0</v>
      </c>
      <c r="R240" s="2" t="inlineStr"/>
    </row>
    <row r="241" ht="15" customHeight="1">
      <c r="A241" t="inlineStr">
        <is>
          <t>A 62359-2019</t>
        </is>
      </c>
      <c r="B241" s="1" t="n">
        <v>43788</v>
      </c>
      <c r="C241" s="1" t="n">
        <v>45577</v>
      </c>
      <c r="D241" t="inlineStr">
        <is>
          <t>JÄMTLANDS LÄN</t>
        </is>
      </c>
      <c r="E241" t="inlineStr">
        <is>
          <t>ÅRE</t>
        </is>
      </c>
      <c r="F241" t="inlineStr">
        <is>
          <t>Övriga Aktiebolag</t>
        </is>
      </c>
      <c r="G241" t="n">
        <v>7</v>
      </c>
      <c r="H241" t="n">
        <v>0</v>
      </c>
      <c r="I241" t="n">
        <v>0</v>
      </c>
      <c r="J241" t="n">
        <v>0</v>
      </c>
      <c r="K241" t="n">
        <v>0</v>
      </c>
      <c r="L241" t="n">
        <v>0</v>
      </c>
      <c r="M241" t="n">
        <v>0</v>
      </c>
      <c r="N241" t="n">
        <v>0</v>
      </c>
      <c r="O241" t="n">
        <v>0</v>
      </c>
      <c r="P241" t="n">
        <v>0</v>
      </c>
      <c r="Q241" t="n">
        <v>0</v>
      </c>
      <c r="R241" s="2" t="inlineStr"/>
    </row>
    <row r="242" ht="15" customHeight="1">
      <c r="A242" t="inlineStr">
        <is>
          <t>A 62326-2019</t>
        </is>
      </c>
      <c r="B242" s="1" t="n">
        <v>43788</v>
      </c>
      <c r="C242" s="1" t="n">
        <v>45577</v>
      </c>
      <c r="D242" t="inlineStr">
        <is>
          <t>JÄMTLANDS LÄN</t>
        </is>
      </c>
      <c r="E242" t="inlineStr">
        <is>
          <t>ÅRE</t>
        </is>
      </c>
      <c r="G242" t="n">
        <v>3.7</v>
      </c>
      <c r="H242" t="n">
        <v>0</v>
      </c>
      <c r="I242" t="n">
        <v>0</v>
      </c>
      <c r="J242" t="n">
        <v>0</v>
      </c>
      <c r="K242" t="n">
        <v>0</v>
      </c>
      <c r="L242" t="n">
        <v>0</v>
      </c>
      <c r="M242" t="n">
        <v>0</v>
      </c>
      <c r="N242" t="n">
        <v>0</v>
      </c>
      <c r="O242" t="n">
        <v>0</v>
      </c>
      <c r="P242" t="n">
        <v>0</v>
      </c>
      <c r="Q242" t="n">
        <v>0</v>
      </c>
      <c r="R242" s="2" t="inlineStr"/>
    </row>
    <row r="243" ht="15" customHeight="1">
      <c r="A243" t="inlineStr">
        <is>
          <t>A 63729-2019</t>
        </is>
      </c>
      <c r="B243" s="1" t="n">
        <v>43788</v>
      </c>
      <c r="C243" s="1" t="n">
        <v>45577</v>
      </c>
      <c r="D243" t="inlineStr">
        <is>
          <t>JÄMTLANDS LÄN</t>
        </is>
      </c>
      <c r="E243" t="inlineStr">
        <is>
          <t>ÅRE</t>
        </is>
      </c>
      <c r="F243" t="inlineStr">
        <is>
          <t>Övriga Aktiebolag</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65986-2019</t>
        </is>
      </c>
      <c r="B244" s="1" t="n">
        <v>43801</v>
      </c>
      <c r="C244" s="1" t="n">
        <v>45577</v>
      </c>
      <c r="D244" t="inlineStr">
        <is>
          <t>JÄMTLANDS LÄN</t>
        </is>
      </c>
      <c r="E244" t="inlineStr">
        <is>
          <t>ÅRE</t>
        </is>
      </c>
      <c r="G244" t="n">
        <v>3</v>
      </c>
      <c r="H244" t="n">
        <v>0</v>
      </c>
      <c r="I244" t="n">
        <v>0</v>
      </c>
      <c r="J244" t="n">
        <v>0</v>
      </c>
      <c r="K244" t="n">
        <v>0</v>
      </c>
      <c r="L244" t="n">
        <v>0</v>
      </c>
      <c r="M244" t="n">
        <v>0</v>
      </c>
      <c r="N244" t="n">
        <v>0</v>
      </c>
      <c r="O244" t="n">
        <v>0</v>
      </c>
      <c r="P244" t="n">
        <v>0</v>
      </c>
      <c r="Q244" t="n">
        <v>0</v>
      </c>
      <c r="R244" s="2" t="inlineStr"/>
    </row>
    <row r="245" ht="15" customHeight="1">
      <c r="A245" t="inlineStr">
        <is>
          <t>A 66395-2019</t>
        </is>
      </c>
      <c r="B245" s="1" t="n">
        <v>43808</v>
      </c>
      <c r="C245" s="1" t="n">
        <v>45577</v>
      </c>
      <c r="D245" t="inlineStr">
        <is>
          <t>JÄMTLANDS LÄN</t>
        </is>
      </c>
      <c r="E245" t="inlineStr">
        <is>
          <t>ÅRE</t>
        </is>
      </c>
      <c r="G245" t="n">
        <v>1.6</v>
      </c>
      <c r="H245" t="n">
        <v>0</v>
      </c>
      <c r="I245" t="n">
        <v>0</v>
      </c>
      <c r="J245" t="n">
        <v>0</v>
      </c>
      <c r="K245" t="n">
        <v>0</v>
      </c>
      <c r="L245" t="n">
        <v>0</v>
      </c>
      <c r="M245" t="n">
        <v>0</v>
      </c>
      <c r="N245" t="n">
        <v>0</v>
      </c>
      <c r="O245" t="n">
        <v>0</v>
      </c>
      <c r="P245" t="n">
        <v>0</v>
      </c>
      <c r="Q245" t="n">
        <v>0</v>
      </c>
      <c r="R245" s="2" t="inlineStr"/>
    </row>
    <row r="246" ht="15" customHeight="1">
      <c r="A246" t="inlineStr">
        <is>
          <t>A 66774-2019</t>
        </is>
      </c>
      <c r="B246" s="1" t="n">
        <v>43810</v>
      </c>
      <c r="C246" s="1" t="n">
        <v>45577</v>
      </c>
      <c r="D246" t="inlineStr">
        <is>
          <t>JÄMTLANDS LÄN</t>
        </is>
      </c>
      <c r="E246" t="inlineStr">
        <is>
          <t>ÅRE</t>
        </is>
      </c>
      <c r="G246" t="n">
        <v>7.4</v>
      </c>
      <c r="H246" t="n">
        <v>0</v>
      </c>
      <c r="I246" t="n">
        <v>0</v>
      </c>
      <c r="J246" t="n">
        <v>0</v>
      </c>
      <c r="K246" t="n">
        <v>0</v>
      </c>
      <c r="L246" t="n">
        <v>0</v>
      </c>
      <c r="M246" t="n">
        <v>0</v>
      </c>
      <c r="N246" t="n">
        <v>0</v>
      </c>
      <c r="O246" t="n">
        <v>0</v>
      </c>
      <c r="P246" t="n">
        <v>0</v>
      </c>
      <c r="Q246" t="n">
        <v>0</v>
      </c>
      <c r="R246" s="2" t="inlineStr"/>
    </row>
    <row r="247" ht="15" customHeight="1">
      <c r="A247" t="inlineStr">
        <is>
          <t>A 66787-2019</t>
        </is>
      </c>
      <c r="B247" s="1" t="n">
        <v>43810</v>
      </c>
      <c r="C247" s="1" t="n">
        <v>45577</v>
      </c>
      <c r="D247" t="inlineStr">
        <is>
          <t>JÄMTLANDS LÄN</t>
        </is>
      </c>
      <c r="E247" t="inlineStr">
        <is>
          <t>ÅRE</t>
        </is>
      </c>
      <c r="G247" t="n">
        <v>2.7</v>
      </c>
      <c r="H247" t="n">
        <v>0</v>
      </c>
      <c r="I247" t="n">
        <v>0</v>
      </c>
      <c r="J247" t="n">
        <v>0</v>
      </c>
      <c r="K247" t="n">
        <v>0</v>
      </c>
      <c r="L247" t="n">
        <v>0</v>
      </c>
      <c r="M247" t="n">
        <v>0</v>
      </c>
      <c r="N247" t="n">
        <v>0</v>
      </c>
      <c r="O247" t="n">
        <v>0</v>
      </c>
      <c r="P247" t="n">
        <v>0</v>
      </c>
      <c r="Q247" t="n">
        <v>0</v>
      </c>
      <c r="R247" s="2" t="inlineStr"/>
    </row>
    <row r="248" ht="15" customHeight="1">
      <c r="A248" t="inlineStr">
        <is>
          <t>A 67988-2019</t>
        </is>
      </c>
      <c r="B248" s="1" t="n">
        <v>43811</v>
      </c>
      <c r="C248" s="1" t="n">
        <v>45577</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68076-2019</t>
        </is>
      </c>
      <c r="B249" s="1" t="n">
        <v>43816</v>
      </c>
      <c r="C249" s="1" t="n">
        <v>45577</v>
      </c>
      <c r="D249" t="inlineStr">
        <is>
          <t>JÄMTLANDS LÄN</t>
        </is>
      </c>
      <c r="E249" t="inlineStr">
        <is>
          <t>ÅRE</t>
        </is>
      </c>
      <c r="G249" t="n">
        <v>1.5</v>
      </c>
      <c r="H249" t="n">
        <v>0</v>
      </c>
      <c r="I249" t="n">
        <v>0</v>
      </c>
      <c r="J249" t="n">
        <v>0</v>
      </c>
      <c r="K249" t="n">
        <v>0</v>
      </c>
      <c r="L249" t="n">
        <v>0</v>
      </c>
      <c r="M249" t="n">
        <v>0</v>
      </c>
      <c r="N249" t="n">
        <v>0</v>
      </c>
      <c r="O249" t="n">
        <v>0</v>
      </c>
      <c r="P249" t="n">
        <v>0</v>
      </c>
      <c r="Q249" t="n">
        <v>0</v>
      </c>
      <c r="R249" s="2" t="inlineStr"/>
    </row>
    <row r="250" ht="15" customHeight="1">
      <c r="A250" t="inlineStr">
        <is>
          <t>A 68315-2019</t>
        </is>
      </c>
      <c r="B250" s="1" t="n">
        <v>43817</v>
      </c>
      <c r="C250" s="1" t="n">
        <v>45577</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824-2020</t>
        </is>
      </c>
      <c r="B251" s="1" t="n">
        <v>43818</v>
      </c>
      <c r="C251" s="1" t="n">
        <v>45577</v>
      </c>
      <c r="D251" t="inlineStr">
        <is>
          <t>JÄMTLANDS LÄN</t>
        </is>
      </c>
      <c r="E251" t="inlineStr">
        <is>
          <t>ÅRE</t>
        </is>
      </c>
      <c r="G251" t="n">
        <v>1.8</v>
      </c>
      <c r="H251" t="n">
        <v>0</v>
      </c>
      <c r="I251" t="n">
        <v>0</v>
      </c>
      <c r="J251" t="n">
        <v>0</v>
      </c>
      <c r="K251" t="n">
        <v>0</v>
      </c>
      <c r="L251" t="n">
        <v>0</v>
      </c>
      <c r="M251" t="n">
        <v>0</v>
      </c>
      <c r="N251" t="n">
        <v>0</v>
      </c>
      <c r="O251" t="n">
        <v>0</v>
      </c>
      <c r="P251" t="n">
        <v>0</v>
      </c>
      <c r="Q251" t="n">
        <v>0</v>
      </c>
      <c r="R251" s="2" t="inlineStr"/>
    </row>
    <row r="252" ht="15" customHeight="1">
      <c r="A252" t="inlineStr">
        <is>
          <t>A 70-2020</t>
        </is>
      </c>
      <c r="B252" s="1" t="n">
        <v>43832</v>
      </c>
      <c r="C252" s="1" t="n">
        <v>45577</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72-2020</t>
        </is>
      </c>
      <c r="B253" s="1" t="n">
        <v>43832</v>
      </c>
      <c r="C253" s="1" t="n">
        <v>45577</v>
      </c>
      <c r="D253" t="inlineStr">
        <is>
          <t>JÄMTLANDS LÄN</t>
        </is>
      </c>
      <c r="E253" t="inlineStr">
        <is>
          <t>ÅRE</t>
        </is>
      </c>
      <c r="G253" t="n">
        <v>4.7</v>
      </c>
      <c r="H253" t="n">
        <v>0</v>
      </c>
      <c r="I253" t="n">
        <v>0</v>
      </c>
      <c r="J253" t="n">
        <v>0</v>
      </c>
      <c r="K253" t="n">
        <v>0</v>
      </c>
      <c r="L253" t="n">
        <v>0</v>
      </c>
      <c r="M253" t="n">
        <v>0</v>
      </c>
      <c r="N253" t="n">
        <v>0</v>
      </c>
      <c r="O253" t="n">
        <v>0</v>
      </c>
      <c r="P253" t="n">
        <v>0</v>
      </c>
      <c r="Q253" t="n">
        <v>0</v>
      </c>
      <c r="R253" s="2" t="inlineStr"/>
    </row>
    <row r="254" ht="15" customHeight="1">
      <c r="A254" t="inlineStr">
        <is>
          <t>A 67-2020</t>
        </is>
      </c>
      <c r="B254" s="1" t="n">
        <v>43832</v>
      </c>
      <c r="C254" s="1" t="n">
        <v>45577</v>
      </c>
      <c r="D254" t="inlineStr">
        <is>
          <t>JÄMTLANDS LÄN</t>
        </is>
      </c>
      <c r="E254" t="inlineStr">
        <is>
          <t>ÅRE</t>
        </is>
      </c>
      <c r="G254" t="n">
        <v>0.4</v>
      </c>
      <c r="H254" t="n">
        <v>0</v>
      </c>
      <c r="I254" t="n">
        <v>0</v>
      </c>
      <c r="J254" t="n">
        <v>0</v>
      </c>
      <c r="K254" t="n">
        <v>0</v>
      </c>
      <c r="L254" t="n">
        <v>0</v>
      </c>
      <c r="M254" t="n">
        <v>0</v>
      </c>
      <c r="N254" t="n">
        <v>0</v>
      </c>
      <c r="O254" t="n">
        <v>0</v>
      </c>
      <c r="P254" t="n">
        <v>0</v>
      </c>
      <c r="Q254" t="n">
        <v>0</v>
      </c>
      <c r="R254" s="2" t="inlineStr"/>
    </row>
    <row r="255" ht="15" customHeight="1">
      <c r="A255" t="inlineStr">
        <is>
          <t>A 1819-2020</t>
        </is>
      </c>
      <c r="B255" s="1" t="n">
        <v>43833</v>
      </c>
      <c r="C255" s="1" t="n">
        <v>45577</v>
      </c>
      <c r="D255" t="inlineStr">
        <is>
          <t>JÄMTLANDS LÄN</t>
        </is>
      </c>
      <c r="E255" t="inlineStr">
        <is>
          <t>ÅRE</t>
        </is>
      </c>
      <c r="G255" t="n">
        <v>3.2</v>
      </c>
      <c r="H255" t="n">
        <v>0</v>
      </c>
      <c r="I255" t="n">
        <v>0</v>
      </c>
      <c r="J255" t="n">
        <v>0</v>
      </c>
      <c r="K255" t="n">
        <v>0</v>
      </c>
      <c r="L255" t="n">
        <v>0</v>
      </c>
      <c r="M255" t="n">
        <v>0</v>
      </c>
      <c r="N255" t="n">
        <v>0</v>
      </c>
      <c r="O255" t="n">
        <v>0</v>
      </c>
      <c r="P255" t="n">
        <v>0</v>
      </c>
      <c r="Q255" t="n">
        <v>0</v>
      </c>
      <c r="R255" s="2" t="inlineStr"/>
    </row>
    <row r="256" ht="15" customHeight="1">
      <c r="A256" t="inlineStr">
        <is>
          <t>A 3838-2020</t>
        </is>
      </c>
      <c r="B256" s="1" t="n">
        <v>43854</v>
      </c>
      <c r="C256" s="1" t="n">
        <v>45577</v>
      </c>
      <c r="D256" t="inlineStr">
        <is>
          <t>JÄMTLANDS LÄN</t>
        </is>
      </c>
      <c r="E256" t="inlineStr">
        <is>
          <t>ÅRE</t>
        </is>
      </c>
      <c r="G256" t="n">
        <v>3.2</v>
      </c>
      <c r="H256" t="n">
        <v>0</v>
      </c>
      <c r="I256" t="n">
        <v>0</v>
      </c>
      <c r="J256" t="n">
        <v>0</v>
      </c>
      <c r="K256" t="n">
        <v>0</v>
      </c>
      <c r="L256" t="n">
        <v>0</v>
      </c>
      <c r="M256" t="n">
        <v>0</v>
      </c>
      <c r="N256" t="n">
        <v>0</v>
      </c>
      <c r="O256" t="n">
        <v>0</v>
      </c>
      <c r="P256" t="n">
        <v>0</v>
      </c>
      <c r="Q256" t="n">
        <v>0</v>
      </c>
      <c r="R256" s="2" t="inlineStr"/>
    </row>
    <row r="257" ht="15" customHeight="1">
      <c r="A257" t="inlineStr">
        <is>
          <t>A 13402-2020</t>
        </is>
      </c>
      <c r="B257" s="1" t="n">
        <v>43902</v>
      </c>
      <c r="C257" s="1" t="n">
        <v>45577</v>
      </c>
      <c r="D257" t="inlineStr">
        <is>
          <t>JÄMTLANDS LÄN</t>
        </is>
      </c>
      <c r="E257" t="inlineStr">
        <is>
          <t>ÅRE</t>
        </is>
      </c>
      <c r="G257" t="n">
        <v>0.7</v>
      </c>
      <c r="H257" t="n">
        <v>0</v>
      </c>
      <c r="I257" t="n">
        <v>0</v>
      </c>
      <c r="J257" t="n">
        <v>0</v>
      </c>
      <c r="K257" t="n">
        <v>0</v>
      </c>
      <c r="L257" t="n">
        <v>0</v>
      </c>
      <c r="M257" t="n">
        <v>0</v>
      </c>
      <c r="N257" t="n">
        <v>0</v>
      </c>
      <c r="O257" t="n">
        <v>0</v>
      </c>
      <c r="P257" t="n">
        <v>0</v>
      </c>
      <c r="Q257" t="n">
        <v>0</v>
      </c>
      <c r="R257" s="2" t="inlineStr"/>
    </row>
    <row r="258" ht="15" customHeight="1">
      <c r="A258" t="inlineStr">
        <is>
          <t>A 13408-2020</t>
        </is>
      </c>
      <c r="B258" s="1" t="n">
        <v>43902</v>
      </c>
      <c r="C258" s="1" t="n">
        <v>45577</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14753-2020</t>
        </is>
      </c>
      <c r="B259" s="1" t="n">
        <v>43909</v>
      </c>
      <c r="C259" s="1" t="n">
        <v>45577</v>
      </c>
      <c r="D259" t="inlineStr">
        <is>
          <t>JÄMTLANDS LÄN</t>
        </is>
      </c>
      <c r="E259" t="inlineStr">
        <is>
          <t>ÅRE</t>
        </is>
      </c>
      <c r="G259" t="n">
        <v>1.6</v>
      </c>
      <c r="H259" t="n">
        <v>0</v>
      </c>
      <c r="I259" t="n">
        <v>0</v>
      </c>
      <c r="J259" t="n">
        <v>0</v>
      </c>
      <c r="K259" t="n">
        <v>0</v>
      </c>
      <c r="L259" t="n">
        <v>0</v>
      </c>
      <c r="M259" t="n">
        <v>0</v>
      </c>
      <c r="N259" t="n">
        <v>0</v>
      </c>
      <c r="O259" t="n">
        <v>0</v>
      </c>
      <c r="P259" t="n">
        <v>0</v>
      </c>
      <c r="Q259" t="n">
        <v>0</v>
      </c>
      <c r="R259" s="2" t="inlineStr"/>
    </row>
    <row r="260" ht="15" customHeight="1">
      <c r="A260" t="inlineStr">
        <is>
          <t>A 20538-2020</t>
        </is>
      </c>
      <c r="B260" s="1" t="n">
        <v>43948</v>
      </c>
      <c r="C260" s="1" t="n">
        <v>45577</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21448-2020</t>
        </is>
      </c>
      <c r="B261" s="1" t="n">
        <v>43956</v>
      </c>
      <c r="C261" s="1" t="n">
        <v>45577</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23393-2020</t>
        </is>
      </c>
      <c r="B262" s="1" t="n">
        <v>43968</v>
      </c>
      <c r="C262" s="1" t="n">
        <v>45577</v>
      </c>
      <c r="D262" t="inlineStr">
        <is>
          <t>JÄMTLANDS LÄN</t>
        </is>
      </c>
      <c r="E262" t="inlineStr">
        <is>
          <t>ÅRE</t>
        </is>
      </c>
      <c r="G262" t="n">
        <v>5</v>
      </c>
      <c r="H262" t="n">
        <v>0</v>
      </c>
      <c r="I262" t="n">
        <v>0</v>
      </c>
      <c r="J262" t="n">
        <v>0</v>
      </c>
      <c r="K262" t="n">
        <v>0</v>
      </c>
      <c r="L262" t="n">
        <v>0</v>
      </c>
      <c r="M262" t="n">
        <v>0</v>
      </c>
      <c r="N262" t="n">
        <v>0</v>
      </c>
      <c r="O262" t="n">
        <v>0</v>
      </c>
      <c r="P262" t="n">
        <v>0</v>
      </c>
      <c r="Q262" t="n">
        <v>0</v>
      </c>
      <c r="R262" s="2" t="inlineStr"/>
    </row>
    <row r="263" ht="15" customHeight="1">
      <c r="A263" t="inlineStr">
        <is>
          <t>A 24436-2020</t>
        </is>
      </c>
      <c r="B263" s="1" t="n">
        <v>43976</v>
      </c>
      <c r="C263" s="1" t="n">
        <v>45577</v>
      </c>
      <c r="D263" t="inlineStr">
        <is>
          <t>JÄMTLANDS LÄN</t>
        </is>
      </c>
      <c r="E263" t="inlineStr">
        <is>
          <t>ÅRE</t>
        </is>
      </c>
      <c r="G263" t="n">
        <v>3.3</v>
      </c>
      <c r="H263" t="n">
        <v>0</v>
      </c>
      <c r="I263" t="n">
        <v>0</v>
      </c>
      <c r="J263" t="n">
        <v>0</v>
      </c>
      <c r="K263" t="n">
        <v>0</v>
      </c>
      <c r="L263" t="n">
        <v>0</v>
      </c>
      <c r="M263" t="n">
        <v>0</v>
      </c>
      <c r="N263" t="n">
        <v>0</v>
      </c>
      <c r="O263" t="n">
        <v>0</v>
      </c>
      <c r="P263" t="n">
        <v>0</v>
      </c>
      <c r="Q263" t="n">
        <v>0</v>
      </c>
      <c r="R263" s="2" t="inlineStr"/>
    </row>
    <row r="264" ht="15" customHeight="1">
      <c r="A264" t="inlineStr">
        <is>
          <t>A 25587-2020</t>
        </is>
      </c>
      <c r="B264" s="1" t="n">
        <v>43983</v>
      </c>
      <c r="C264" s="1" t="n">
        <v>45577</v>
      </c>
      <c r="D264" t="inlineStr">
        <is>
          <t>JÄMTLANDS LÄN</t>
        </is>
      </c>
      <c r="E264" t="inlineStr">
        <is>
          <t>ÅRE</t>
        </is>
      </c>
      <c r="G264" t="n">
        <v>10.3</v>
      </c>
      <c r="H264" t="n">
        <v>0</v>
      </c>
      <c r="I264" t="n">
        <v>0</v>
      </c>
      <c r="J264" t="n">
        <v>0</v>
      </c>
      <c r="K264" t="n">
        <v>0</v>
      </c>
      <c r="L264" t="n">
        <v>0</v>
      </c>
      <c r="M264" t="n">
        <v>0</v>
      </c>
      <c r="N264" t="n">
        <v>0</v>
      </c>
      <c r="O264" t="n">
        <v>0</v>
      </c>
      <c r="P264" t="n">
        <v>0</v>
      </c>
      <c r="Q264" t="n">
        <v>0</v>
      </c>
      <c r="R264" s="2" t="inlineStr"/>
    </row>
    <row r="265" ht="15" customHeight="1">
      <c r="A265" t="inlineStr">
        <is>
          <t>A 25592-2020</t>
        </is>
      </c>
      <c r="B265" s="1" t="n">
        <v>43983</v>
      </c>
      <c r="C265" s="1" t="n">
        <v>45577</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27292-2020</t>
        </is>
      </c>
      <c r="B266" s="1" t="n">
        <v>43992</v>
      </c>
      <c r="C266" s="1" t="n">
        <v>45577</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27369-2020</t>
        </is>
      </c>
      <c r="B267" s="1" t="n">
        <v>43992</v>
      </c>
      <c r="C267" s="1" t="n">
        <v>45577</v>
      </c>
      <c r="D267" t="inlineStr">
        <is>
          <t>JÄMTLANDS LÄN</t>
        </is>
      </c>
      <c r="E267" t="inlineStr">
        <is>
          <t>ÅRE</t>
        </is>
      </c>
      <c r="G267" t="n">
        <v>7.3</v>
      </c>
      <c r="H267" t="n">
        <v>0</v>
      </c>
      <c r="I267" t="n">
        <v>0</v>
      </c>
      <c r="J267" t="n">
        <v>0</v>
      </c>
      <c r="K267" t="n">
        <v>0</v>
      </c>
      <c r="L267" t="n">
        <v>0</v>
      </c>
      <c r="M267" t="n">
        <v>0</v>
      </c>
      <c r="N267" t="n">
        <v>0</v>
      </c>
      <c r="O267" t="n">
        <v>0</v>
      </c>
      <c r="P267" t="n">
        <v>0</v>
      </c>
      <c r="Q267" t="n">
        <v>0</v>
      </c>
      <c r="R267" s="2" t="inlineStr"/>
    </row>
    <row r="268" ht="15" customHeight="1">
      <c r="A268" t="inlineStr">
        <is>
          <t>A 28422-2020</t>
        </is>
      </c>
      <c r="B268" s="1" t="n">
        <v>43998</v>
      </c>
      <c r="C268" s="1" t="n">
        <v>45577</v>
      </c>
      <c r="D268" t="inlineStr">
        <is>
          <t>JÄMTLANDS LÄN</t>
        </is>
      </c>
      <c r="E268" t="inlineStr">
        <is>
          <t>ÅRE</t>
        </is>
      </c>
      <c r="G268" t="n">
        <v>1.1</v>
      </c>
      <c r="H268" t="n">
        <v>0</v>
      </c>
      <c r="I268" t="n">
        <v>0</v>
      </c>
      <c r="J268" t="n">
        <v>0</v>
      </c>
      <c r="K268" t="n">
        <v>0</v>
      </c>
      <c r="L268" t="n">
        <v>0</v>
      </c>
      <c r="M268" t="n">
        <v>0</v>
      </c>
      <c r="N268" t="n">
        <v>0</v>
      </c>
      <c r="O268" t="n">
        <v>0</v>
      </c>
      <c r="P268" t="n">
        <v>0</v>
      </c>
      <c r="Q268" t="n">
        <v>0</v>
      </c>
      <c r="R268" s="2" t="inlineStr"/>
    </row>
    <row r="269" ht="15" customHeight="1">
      <c r="A269" t="inlineStr">
        <is>
          <t>A 28385-2020</t>
        </is>
      </c>
      <c r="B269" s="1" t="n">
        <v>43998</v>
      </c>
      <c r="C269" s="1" t="n">
        <v>45577</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28869-2020</t>
        </is>
      </c>
      <c r="B270" s="1" t="n">
        <v>44000</v>
      </c>
      <c r="C270" s="1" t="n">
        <v>45577</v>
      </c>
      <c r="D270" t="inlineStr">
        <is>
          <t>JÄMTLANDS LÄN</t>
        </is>
      </c>
      <c r="E270" t="inlineStr">
        <is>
          <t>ÅRE</t>
        </is>
      </c>
      <c r="F270" t="inlineStr">
        <is>
          <t>Kyrkan</t>
        </is>
      </c>
      <c r="G270" t="n">
        <v>1.7</v>
      </c>
      <c r="H270" t="n">
        <v>0</v>
      </c>
      <c r="I270" t="n">
        <v>0</v>
      </c>
      <c r="J270" t="n">
        <v>0</v>
      </c>
      <c r="K270" t="n">
        <v>0</v>
      </c>
      <c r="L270" t="n">
        <v>0</v>
      </c>
      <c r="M270" t="n">
        <v>0</v>
      </c>
      <c r="N270" t="n">
        <v>0</v>
      </c>
      <c r="O270" t="n">
        <v>0</v>
      </c>
      <c r="P270" t="n">
        <v>0</v>
      </c>
      <c r="Q270" t="n">
        <v>0</v>
      </c>
      <c r="R270" s="2" t="inlineStr"/>
    </row>
    <row r="271" ht="15" customHeight="1">
      <c r="A271" t="inlineStr">
        <is>
          <t>A 29083-2020</t>
        </is>
      </c>
      <c r="B271" s="1" t="n">
        <v>44002</v>
      </c>
      <c r="C271" s="1" t="n">
        <v>45577</v>
      </c>
      <c r="D271" t="inlineStr">
        <is>
          <t>JÄMTLANDS LÄN</t>
        </is>
      </c>
      <c r="E271" t="inlineStr">
        <is>
          <t>ÅRE</t>
        </is>
      </c>
      <c r="G271" t="n">
        <v>0.9</v>
      </c>
      <c r="H271" t="n">
        <v>0</v>
      </c>
      <c r="I271" t="n">
        <v>0</v>
      </c>
      <c r="J271" t="n">
        <v>0</v>
      </c>
      <c r="K271" t="n">
        <v>0</v>
      </c>
      <c r="L271" t="n">
        <v>0</v>
      </c>
      <c r="M271" t="n">
        <v>0</v>
      </c>
      <c r="N271" t="n">
        <v>0</v>
      </c>
      <c r="O271" t="n">
        <v>0</v>
      </c>
      <c r="P271" t="n">
        <v>0</v>
      </c>
      <c r="Q271" t="n">
        <v>0</v>
      </c>
      <c r="R271" s="2" t="inlineStr"/>
    </row>
    <row r="272" ht="15" customHeight="1">
      <c r="A272" t="inlineStr">
        <is>
          <t>A 29080-2020</t>
        </is>
      </c>
      <c r="B272" s="1" t="n">
        <v>44002</v>
      </c>
      <c r="C272" s="1" t="n">
        <v>45577</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33239-2020</t>
        </is>
      </c>
      <c r="B273" s="1" t="n">
        <v>44022</v>
      </c>
      <c r="C273" s="1" t="n">
        <v>45577</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33530-2020</t>
        </is>
      </c>
      <c r="B274" s="1" t="n">
        <v>44025</v>
      </c>
      <c r="C274" s="1" t="n">
        <v>45577</v>
      </c>
      <c r="D274" t="inlineStr">
        <is>
          <t>JÄMTLANDS LÄN</t>
        </is>
      </c>
      <c r="E274" t="inlineStr">
        <is>
          <t>ÅRE</t>
        </is>
      </c>
      <c r="G274" t="n">
        <v>3.1</v>
      </c>
      <c r="H274" t="n">
        <v>0</v>
      </c>
      <c r="I274" t="n">
        <v>0</v>
      </c>
      <c r="J274" t="n">
        <v>0</v>
      </c>
      <c r="K274" t="n">
        <v>0</v>
      </c>
      <c r="L274" t="n">
        <v>0</v>
      </c>
      <c r="M274" t="n">
        <v>0</v>
      </c>
      <c r="N274" t="n">
        <v>0</v>
      </c>
      <c r="O274" t="n">
        <v>0</v>
      </c>
      <c r="P274" t="n">
        <v>0</v>
      </c>
      <c r="Q274" t="n">
        <v>0</v>
      </c>
      <c r="R274" s="2" t="inlineStr"/>
    </row>
    <row r="275" ht="15" customHeight="1">
      <c r="A275" t="inlineStr">
        <is>
          <t>A 34013-2020</t>
        </is>
      </c>
      <c r="B275" s="1" t="n">
        <v>44028</v>
      </c>
      <c r="C275" s="1" t="n">
        <v>45577</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34207-2020</t>
        </is>
      </c>
      <c r="B276" s="1" t="n">
        <v>44029</v>
      </c>
      <c r="C276" s="1" t="n">
        <v>45577</v>
      </c>
      <c r="D276" t="inlineStr">
        <is>
          <t>JÄMTLANDS LÄN</t>
        </is>
      </c>
      <c r="E276" t="inlineStr">
        <is>
          <t>ÅRE</t>
        </is>
      </c>
      <c r="G276" t="n">
        <v>10.2</v>
      </c>
      <c r="H276" t="n">
        <v>0</v>
      </c>
      <c r="I276" t="n">
        <v>0</v>
      </c>
      <c r="J276" t="n">
        <v>0</v>
      </c>
      <c r="K276" t="n">
        <v>0</v>
      </c>
      <c r="L276" t="n">
        <v>0</v>
      </c>
      <c r="M276" t="n">
        <v>0</v>
      </c>
      <c r="N276" t="n">
        <v>0</v>
      </c>
      <c r="O276" t="n">
        <v>0</v>
      </c>
      <c r="P276" t="n">
        <v>0</v>
      </c>
      <c r="Q276" t="n">
        <v>0</v>
      </c>
      <c r="R276" s="2" t="inlineStr"/>
    </row>
    <row r="277" ht="15" customHeight="1">
      <c r="A277" t="inlineStr">
        <is>
          <t>A 34529-2020</t>
        </is>
      </c>
      <c r="B277" s="1" t="n">
        <v>44033</v>
      </c>
      <c r="C277" s="1" t="n">
        <v>45577</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34678-2020</t>
        </is>
      </c>
      <c r="B278" s="1" t="n">
        <v>44033</v>
      </c>
      <c r="C278" s="1" t="n">
        <v>45577</v>
      </c>
      <c r="D278" t="inlineStr">
        <is>
          <t>JÄMTLANDS LÄN</t>
        </is>
      </c>
      <c r="E278" t="inlineStr">
        <is>
          <t>ÅRE</t>
        </is>
      </c>
      <c r="G278" t="n">
        <v>2.8</v>
      </c>
      <c r="H278" t="n">
        <v>0</v>
      </c>
      <c r="I278" t="n">
        <v>0</v>
      </c>
      <c r="J278" t="n">
        <v>0</v>
      </c>
      <c r="K278" t="n">
        <v>0</v>
      </c>
      <c r="L278" t="n">
        <v>0</v>
      </c>
      <c r="M278" t="n">
        <v>0</v>
      </c>
      <c r="N278" t="n">
        <v>0</v>
      </c>
      <c r="O278" t="n">
        <v>0</v>
      </c>
      <c r="P278" t="n">
        <v>0</v>
      </c>
      <c r="Q278" t="n">
        <v>0</v>
      </c>
      <c r="R278" s="2" t="inlineStr"/>
    </row>
    <row r="279" ht="15" customHeight="1">
      <c r="A279" t="inlineStr">
        <is>
          <t>A 34640-2020</t>
        </is>
      </c>
      <c r="B279" s="1" t="n">
        <v>44034</v>
      </c>
      <c r="C279" s="1" t="n">
        <v>45577</v>
      </c>
      <c r="D279" t="inlineStr">
        <is>
          <t>JÄMTLANDS LÄN</t>
        </is>
      </c>
      <c r="E279" t="inlineStr">
        <is>
          <t>ÅRE</t>
        </is>
      </c>
      <c r="G279" t="n">
        <v>9.4</v>
      </c>
      <c r="H279" t="n">
        <v>0</v>
      </c>
      <c r="I279" t="n">
        <v>0</v>
      </c>
      <c r="J279" t="n">
        <v>0</v>
      </c>
      <c r="K279" t="n">
        <v>0</v>
      </c>
      <c r="L279" t="n">
        <v>0</v>
      </c>
      <c r="M279" t="n">
        <v>0</v>
      </c>
      <c r="N279" t="n">
        <v>0</v>
      </c>
      <c r="O279" t="n">
        <v>0</v>
      </c>
      <c r="P279" t="n">
        <v>0</v>
      </c>
      <c r="Q279" t="n">
        <v>0</v>
      </c>
      <c r="R279" s="2" t="inlineStr"/>
    </row>
    <row r="280" ht="15" customHeight="1">
      <c r="A280" t="inlineStr">
        <is>
          <t>A 35849-2020</t>
        </is>
      </c>
      <c r="B280" s="1" t="n">
        <v>44047</v>
      </c>
      <c r="C280" s="1" t="n">
        <v>45577</v>
      </c>
      <c r="D280" t="inlineStr">
        <is>
          <t>JÄMTLANDS LÄN</t>
        </is>
      </c>
      <c r="E280" t="inlineStr">
        <is>
          <t>ÅRE</t>
        </is>
      </c>
      <c r="G280" t="n">
        <v>21.3</v>
      </c>
      <c r="H280" t="n">
        <v>0</v>
      </c>
      <c r="I280" t="n">
        <v>0</v>
      </c>
      <c r="J280" t="n">
        <v>0</v>
      </c>
      <c r="K280" t="n">
        <v>0</v>
      </c>
      <c r="L280" t="n">
        <v>0</v>
      </c>
      <c r="M280" t="n">
        <v>0</v>
      </c>
      <c r="N280" t="n">
        <v>0</v>
      </c>
      <c r="O280" t="n">
        <v>0</v>
      </c>
      <c r="P280" t="n">
        <v>0</v>
      </c>
      <c r="Q280" t="n">
        <v>0</v>
      </c>
      <c r="R280" s="2" t="inlineStr"/>
    </row>
    <row r="281" ht="15" customHeight="1">
      <c r="A281" t="inlineStr">
        <is>
          <t>A 36506-2020</t>
        </is>
      </c>
      <c r="B281" s="1" t="n">
        <v>44050</v>
      </c>
      <c r="C281" s="1" t="n">
        <v>45577</v>
      </c>
      <c r="D281" t="inlineStr">
        <is>
          <t>JÄMTLANDS LÄN</t>
        </is>
      </c>
      <c r="E281" t="inlineStr">
        <is>
          <t>ÅRE</t>
        </is>
      </c>
      <c r="G281" t="n">
        <v>0.1</v>
      </c>
      <c r="H281" t="n">
        <v>0</v>
      </c>
      <c r="I281" t="n">
        <v>0</v>
      </c>
      <c r="J281" t="n">
        <v>0</v>
      </c>
      <c r="K281" t="n">
        <v>0</v>
      </c>
      <c r="L281" t="n">
        <v>0</v>
      </c>
      <c r="M281" t="n">
        <v>0</v>
      </c>
      <c r="N281" t="n">
        <v>0</v>
      </c>
      <c r="O281" t="n">
        <v>0</v>
      </c>
      <c r="P281" t="n">
        <v>0</v>
      </c>
      <c r="Q281" t="n">
        <v>0</v>
      </c>
      <c r="R281" s="2" t="inlineStr"/>
    </row>
    <row r="282" ht="15" customHeight="1">
      <c r="A282" t="inlineStr">
        <is>
          <t>A 36501-2020</t>
        </is>
      </c>
      <c r="B282" s="1" t="n">
        <v>44050</v>
      </c>
      <c r="C282" s="1" t="n">
        <v>45577</v>
      </c>
      <c r="D282" t="inlineStr">
        <is>
          <t>JÄMTLANDS LÄN</t>
        </is>
      </c>
      <c r="E282" t="inlineStr">
        <is>
          <t>ÅRE</t>
        </is>
      </c>
      <c r="G282" t="n">
        <v>5.1</v>
      </c>
      <c r="H282" t="n">
        <v>0</v>
      </c>
      <c r="I282" t="n">
        <v>0</v>
      </c>
      <c r="J282" t="n">
        <v>0</v>
      </c>
      <c r="K282" t="n">
        <v>0</v>
      </c>
      <c r="L282" t="n">
        <v>0</v>
      </c>
      <c r="M282" t="n">
        <v>0</v>
      </c>
      <c r="N282" t="n">
        <v>0</v>
      </c>
      <c r="O282" t="n">
        <v>0</v>
      </c>
      <c r="P282" t="n">
        <v>0</v>
      </c>
      <c r="Q282" t="n">
        <v>0</v>
      </c>
      <c r="R282" s="2" t="inlineStr"/>
    </row>
    <row r="283" ht="15" customHeight="1">
      <c r="A283" t="inlineStr">
        <is>
          <t>A 38454-2020</t>
        </is>
      </c>
      <c r="B283" s="1" t="n">
        <v>44060</v>
      </c>
      <c r="C283" s="1" t="n">
        <v>45577</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38455-2020</t>
        </is>
      </c>
      <c r="B284" s="1" t="n">
        <v>44060</v>
      </c>
      <c r="C284" s="1" t="n">
        <v>45577</v>
      </c>
      <c r="D284" t="inlineStr">
        <is>
          <t>JÄMTLANDS LÄN</t>
        </is>
      </c>
      <c r="E284" t="inlineStr">
        <is>
          <t>ÅRE</t>
        </is>
      </c>
      <c r="G284" t="n">
        <v>2.1</v>
      </c>
      <c r="H284" t="n">
        <v>0</v>
      </c>
      <c r="I284" t="n">
        <v>0</v>
      </c>
      <c r="J284" t="n">
        <v>0</v>
      </c>
      <c r="K284" t="n">
        <v>0</v>
      </c>
      <c r="L284" t="n">
        <v>0</v>
      </c>
      <c r="M284" t="n">
        <v>0</v>
      </c>
      <c r="N284" t="n">
        <v>0</v>
      </c>
      <c r="O284" t="n">
        <v>0</v>
      </c>
      <c r="P284" t="n">
        <v>0</v>
      </c>
      <c r="Q284" t="n">
        <v>0</v>
      </c>
      <c r="R284" s="2" t="inlineStr"/>
    </row>
    <row r="285" ht="15" customHeight="1">
      <c r="A285" t="inlineStr">
        <is>
          <t>A 40148-2020</t>
        </is>
      </c>
      <c r="B285" s="1" t="n">
        <v>44068</v>
      </c>
      <c r="C285" s="1" t="n">
        <v>45577</v>
      </c>
      <c r="D285" t="inlineStr">
        <is>
          <t>JÄMTLANDS LÄN</t>
        </is>
      </c>
      <c r="E285" t="inlineStr">
        <is>
          <t>ÅRE</t>
        </is>
      </c>
      <c r="G285" t="n">
        <v>0.5</v>
      </c>
      <c r="H285" t="n">
        <v>0</v>
      </c>
      <c r="I285" t="n">
        <v>0</v>
      </c>
      <c r="J285" t="n">
        <v>0</v>
      </c>
      <c r="K285" t="n">
        <v>0</v>
      </c>
      <c r="L285" t="n">
        <v>0</v>
      </c>
      <c r="M285" t="n">
        <v>0</v>
      </c>
      <c r="N285" t="n">
        <v>0</v>
      </c>
      <c r="O285" t="n">
        <v>0</v>
      </c>
      <c r="P285" t="n">
        <v>0</v>
      </c>
      <c r="Q285" t="n">
        <v>0</v>
      </c>
      <c r="R285" s="2" t="inlineStr"/>
    </row>
    <row r="286" ht="15" customHeight="1">
      <c r="A286" t="inlineStr">
        <is>
          <t>A 42337-2020</t>
        </is>
      </c>
      <c r="B286" s="1" t="n">
        <v>44076</v>
      </c>
      <c r="C286" s="1" t="n">
        <v>45577</v>
      </c>
      <c r="D286" t="inlineStr">
        <is>
          <t>JÄMTLANDS LÄN</t>
        </is>
      </c>
      <c r="E286" t="inlineStr">
        <is>
          <t>ÅRE</t>
        </is>
      </c>
      <c r="G286" t="n">
        <v>3.6</v>
      </c>
      <c r="H286" t="n">
        <v>0</v>
      </c>
      <c r="I286" t="n">
        <v>0</v>
      </c>
      <c r="J286" t="n">
        <v>0</v>
      </c>
      <c r="K286" t="n">
        <v>0</v>
      </c>
      <c r="L286" t="n">
        <v>0</v>
      </c>
      <c r="M286" t="n">
        <v>0</v>
      </c>
      <c r="N286" t="n">
        <v>0</v>
      </c>
      <c r="O286" t="n">
        <v>0</v>
      </c>
      <c r="P286" t="n">
        <v>0</v>
      </c>
      <c r="Q286" t="n">
        <v>0</v>
      </c>
      <c r="R286" s="2" t="inlineStr"/>
    </row>
    <row r="287" ht="15" customHeight="1">
      <c r="A287" t="inlineStr">
        <is>
          <t>A 42643-2020</t>
        </is>
      </c>
      <c r="B287" s="1" t="n">
        <v>44077</v>
      </c>
      <c r="C287" s="1" t="n">
        <v>45577</v>
      </c>
      <c r="D287" t="inlineStr">
        <is>
          <t>JÄMTLANDS LÄN</t>
        </is>
      </c>
      <c r="E287" t="inlineStr">
        <is>
          <t>ÅRE</t>
        </is>
      </c>
      <c r="G287" t="n">
        <v>7.5</v>
      </c>
      <c r="H287" t="n">
        <v>0</v>
      </c>
      <c r="I287" t="n">
        <v>0</v>
      </c>
      <c r="J287" t="n">
        <v>0</v>
      </c>
      <c r="K287" t="n">
        <v>0</v>
      </c>
      <c r="L287" t="n">
        <v>0</v>
      </c>
      <c r="M287" t="n">
        <v>0</v>
      </c>
      <c r="N287" t="n">
        <v>0</v>
      </c>
      <c r="O287" t="n">
        <v>0</v>
      </c>
      <c r="P287" t="n">
        <v>0</v>
      </c>
      <c r="Q287" t="n">
        <v>0</v>
      </c>
      <c r="R287" s="2" t="inlineStr"/>
    </row>
    <row r="288" ht="15" customHeight="1">
      <c r="A288" t="inlineStr">
        <is>
          <t>A 42634-2020</t>
        </is>
      </c>
      <c r="B288" s="1" t="n">
        <v>44077</v>
      </c>
      <c r="C288" s="1" t="n">
        <v>45577</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43167-2020</t>
        </is>
      </c>
      <c r="B289" s="1" t="n">
        <v>44077</v>
      </c>
      <c r="C289" s="1" t="n">
        <v>45577</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42650-2020</t>
        </is>
      </c>
      <c r="B290" s="1" t="n">
        <v>44077</v>
      </c>
      <c r="C290" s="1" t="n">
        <v>45577</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46982-2020</t>
        </is>
      </c>
      <c r="B291" s="1" t="n">
        <v>44096</v>
      </c>
      <c r="C291" s="1" t="n">
        <v>45577</v>
      </c>
      <c r="D291" t="inlineStr">
        <is>
          <t>JÄMTLANDS LÄN</t>
        </is>
      </c>
      <c r="E291" t="inlineStr">
        <is>
          <t>ÅRE</t>
        </is>
      </c>
      <c r="G291" t="n">
        <v>2</v>
      </c>
      <c r="H291" t="n">
        <v>0</v>
      </c>
      <c r="I291" t="n">
        <v>0</v>
      </c>
      <c r="J291" t="n">
        <v>0</v>
      </c>
      <c r="K291" t="n">
        <v>0</v>
      </c>
      <c r="L291" t="n">
        <v>0</v>
      </c>
      <c r="M291" t="n">
        <v>0</v>
      </c>
      <c r="N291" t="n">
        <v>0</v>
      </c>
      <c r="O291" t="n">
        <v>0</v>
      </c>
      <c r="P291" t="n">
        <v>0</v>
      </c>
      <c r="Q291" t="n">
        <v>0</v>
      </c>
      <c r="R291" s="2" t="inlineStr"/>
    </row>
    <row r="292" ht="15" customHeight="1">
      <c r="A292" t="inlineStr">
        <is>
          <t>A 48177-2020</t>
        </is>
      </c>
      <c r="B292" s="1" t="n">
        <v>44102</v>
      </c>
      <c r="C292" s="1" t="n">
        <v>45577</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49661-2020</t>
        </is>
      </c>
      <c r="B293" s="1" t="n">
        <v>44105</v>
      </c>
      <c r="C293" s="1" t="n">
        <v>45577</v>
      </c>
      <c r="D293" t="inlineStr">
        <is>
          <t>JÄMTLANDS LÄN</t>
        </is>
      </c>
      <c r="E293" t="inlineStr">
        <is>
          <t>ÅRE</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49744-2020</t>
        </is>
      </c>
      <c r="B294" s="1" t="n">
        <v>44106</v>
      </c>
      <c r="C294" s="1" t="n">
        <v>45577</v>
      </c>
      <c r="D294" t="inlineStr">
        <is>
          <t>JÄMTLANDS LÄN</t>
        </is>
      </c>
      <c r="E294" t="inlineStr">
        <is>
          <t>ÅRE</t>
        </is>
      </c>
      <c r="G294" t="n">
        <v>0.8</v>
      </c>
      <c r="H294" t="n">
        <v>0</v>
      </c>
      <c r="I294" t="n">
        <v>0</v>
      </c>
      <c r="J294" t="n">
        <v>0</v>
      </c>
      <c r="K294" t="n">
        <v>0</v>
      </c>
      <c r="L294" t="n">
        <v>0</v>
      </c>
      <c r="M294" t="n">
        <v>0</v>
      </c>
      <c r="N294" t="n">
        <v>0</v>
      </c>
      <c r="O294" t="n">
        <v>0</v>
      </c>
      <c r="P294" t="n">
        <v>0</v>
      </c>
      <c r="Q294" t="n">
        <v>0</v>
      </c>
      <c r="R294" s="2" t="inlineStr"/>
    </row>
    <row r="295" ht="15" customHeight="1">
      <c r="A295" t="inlineStr">
        <is>
          <t>A 49748-2020</t>
        </is>
      </c>
      <c r="B295" s="1" t="n">
        <v>44106</v>
      </c>
      <c r="C295" s="1" t="n">
        <v>45577</v>
      </c>
      <c r="D295" t="inlineStr">
        <is>
          <t>JÄMTLANDS LÄN</t>
        </is>
      </c>
      <c r="E295" t="inlineStr">
        <is>
          <t>ÅRE</t>
        </is>
      </c>
      <c r="G295" t="n">
        <v>13.4</v>
      </c>
      <c r="H295" t="n">
        <v>0</v>
      </c>
      <c r="I295" t="n">
        <v>0</v>
      </c>
      <c r="J295" t="n">
        <v>0</v>
      </c>
      <c r="K295" t="n">
        <v>0</v>
      </c>
      <c r="L295" t="n">
        <v>0</v>
      </c>
      <c r="M295" t="n">
        <v>0</v>
      </c>
      <c r="N295" t="n">
        <v>0</v>
      </c>
      <c r="O295" t="n">
        <v>0</v>
      </c>
      <c r="P295" t="n">
        <v>0</v>
      </c>
      <c r="Q295" t="n">
        <v>0</v>
      </c>
      <c r="R295" s="2" t="inlineStr"/>
    </row>
    <row r="296" ht="15" customHeight="1">
      <c r="A296" t="inlineStr">
        <is>
          <t>A 49747-2020</t>
        </is>
      </c>
      <c r="B296" s="1" t="n">
        <v>44106</v>
      </c>
      <c r="C296" s="1" t="n">
        <v>45577</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52548-2020</t>
        </is>
      </c>
      <c r="B297" s="1" t="n">
        <v>44116</v>
      </c>
      <c r="C297" s="1" t="n">
        <v>45577</v>
      </c>
      <c r="D297" t="inlineStr">
        <is>
          <t>JÄMTLANDS LÄN</t>
        </is>
      </c>
      <c r="E297" t="inlineStr">
        <is>
          <t>ÅRE</t>
        </is>
      </c>
      <c r="G297" t="n">
        <v>7.5</v>
      </c>
      <c r="H297" t="n">
        <v>0</v>
      </c>
      <c r="I297" t="n">
        <v>0</v>
      </c>
      <c r="J297" t="n">
        <v>0</v>
      </c>
      <c r="K297" t="n">
        <v>0</v>
      </c>
      <c r="L297" t="n">
        <v>0</v>
      </c>
      <c r="M297" t="n">
        <v>0</v>
      </c>
      <c r="N297" t="n">
        <v>0</v>
      </c>
      <c r="O297" t="n">
        <v>0</v>
      </c>
      <c r="P297" t="n">
        <v>0</v>
      </c>
      <c r="Q297" t="n">
        <v>0</v>
      </c>
      <c r="R297" s="2" t="inlineStr"/>
    </row>
    <row r="298" ht="15" customHeight="1">
      <c r="A298" t="inlineStr">
        <is>
          <t>A 53042-2020</t>
        </is>
      </c>
      <c r="B298" s="1" t="n">
        <v>44120</v>
      </c>
      <c r="C298" s="1" t="n">
        <v>45577</v>
      </c>
      <c r="D298" t="inlineStr">
        <is>
          <t>JÄMTLANDS LÄN</t>
        </is>
      </c>
      <c r="E298" t="inlineStr">
        <is>
          <t>ÅRE</t>
        </is>
      </c>
      <c r="G298" t="n">
        <v>17.1</v>
      </c>
      <c r="H298" t="n">
        <v>0</v>
      </c>
      <c r="I298" t="n">
        <v>0</v>
      </c>
      <c r="J298" t="n">
        <v>0</v>
      </c>
      <c r="K298" t="n">
        <v>0</v>
      </c>
      <c r="L298" t="n">
        <v>0</v>
      </c>
      <c r="M298" t="n">
        <v>0</v>
      </c>
      <c r="N298" t="n">
        <v>0</v>
      </c>
      <c r="O298" t="n">
        <v>0</v>
      </c>
      <c r="P298" t="n">
        <v>0</v>
      </c>
      <c r="Q298" t="n">
        <v>0</v>
      </c>
      <c r="R298" s="2" t="inlineStr"/>
    </row>
    <row r="299" ht="15" customHeight="1">
      <c r="A299" t="inlineStr">
        <is>
          <t>A 54015-2020</t>
        </is>
      </c>
      <c r="B299" s="1" t="n">
        <v>44125</v>
      </c>
      <c r="C299" s="1" t="n">
        <v>45577</v>
      </c>
      <c r="D299" t="inlineStr">
        <is>
          <t>JÄMTLANDS LÄN</t>
        </is>
      </c>
      <c r="E299" t="inlineStr">
        <is>
          <t>ÅRE</t>
        </is>
      </c>
      <c r="F299" t="inlineStr">
        <is>
          <t>Övriga Aktiebolag</t>
        </is>
      </c>
      <c r="G299" t="n">
        <v>3.6</v>
      </c>
      <c r="H299" t="n">
        <v>0</v>
      </c>
      <c r="I299" t="n">
        <v>0</v>
      </c>
      <c r="J299" t="n">
        <v>0</v>
      </c>
      <c r="K299" t="n">
        <v>0</v>
      </c>
      <c r="L299" t="n">
        <v>0</v>
      </c>
      <c r="M299" t="n">
        <v>0</v>
      </c>
      <c r="N299" t="n">
        <v>0</v>
      </c>
      <c r="O299" t="n">
        <v>0</v>
      </c>
      <c r="P299" t="n">
        <v>0</v>
      </c>
      <c r="Q299" t="n">
        <v>0</v>
      </c>
      <c r="R299" s="2" t="inlineStr"/>
    </row>
    <row r="300" ht="15" customHeight="1">
      <c r="A300" t="inlineStr">
        <is>
          <t>A 54945-2020</t>
        </is>
      </c>
      <c r="B300" s="1" t="n">
        <v>44129</v>
      </c>
      <c r="C300" s="1" t="n">
        <v>45577</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54944-2020</t>
        </is>
      </c>
      <c r="B301" s="1" t="n">
        <v>44129</v>
      </c>
      <c r="C301" s="1" t="n">
        <v>45577</v>
      </c>
      <c r="D301" t="inlineStr">
        <is>
          <t>JÄMTLANDS LÄN</t>
        </is>
      </c>
      <c r="E301" t="inlineStr">
        <is>
          <t>ÅRE</t>
        </is>
      </c>
      <c r="G301" t="n">
        <v>0.3</v>
      </c>
      <c r="H301" t="n">
        <v>0</v>
      </c>
      <c r="I301" t="n">
        <v>0</v>
      </c>
      <c r="J301" t="n">
        <v>0</v>
      </c>
      <c r="K301" t="n">
        <v>0</v>
      </c>
      <c r="L301" t="n">
        <v>0</v>
      </c>
      <c r="M301" t="n">
        <v>0</v>
      </c>
      <c r="N301" t="n">
        <v>0</v>
      </c>
      <c r="O301" t="n">
        <v>0</v>
      </c>
      <c r="P301" t="n">
        <v>0</v>
      </c>
      <c r="Q301" t="n">
        <v>0</v>
      </c>
      <c r="R301" s="2" t="inlineStr"/>
    </row>
    <row r="302" ht="15" customHeight="1">
      <c r="A302" t="inlineStr">
        <is>
          <t>A 56352-2020</t>
        </is>
      </c>
      <c r="B302" s="1" t="n">
        <v>44135</v>
      </c>
      <c r="C302" s="1" t="n">
        <v>45577</v>
      </c>
      <c r="D302" t="inlineStr">
        <is>
          <t>JÄMTLANDS LÄN</t>
        </is>
      </c>
      <c r="E302" t="inlineStr">
        <is>
          <t>ÅRE</t>
        </is>
      </c>
      <c r="G302" t="n">
        <v>95.09999999999999</v>
      </c>
      <c r="H302" t="n">
        <v>0</v>
      </c>
      <c r="I302" t="n">
        <v>0</v>
      </c>
      <c r="J302" t="n">
        <v>0</v>
      </c>
      <c r="K302" t="n">
        <v>0</v>
      </c>
      <c r="L302" t="n">
        <v>0</v>
      </c>
      <c r="M302" t="n">
        <v>0</v>
      </c>
      <c r="N302" t="n">
        <v>0</v>
      </c>
      <c r="O302" t="n">
        <v>0</v>
      </c>
      <c r="P302" t="n">
        <v>0</v>
      </c>
      <c r="Q302" t="n">
        <v>0</v>
      </c>
      <c r="R302" s="2" t="inlineStr"/>
    </row>
    <row r="303" ht="15" customHeight="1">
      <c r="A303" t="inlineStr">
        <is>
          <t>A 57578-2020</t>
        </is>
      </c>
      <c r="B303" s="1" t="n">
        <v>44140</v>
      </c>
      <c r="C303" s="1" t="n">
        <v>45577</v>
      </c>
      <c r="D303" t="inlineStr">
        <is>
          <t>JÄMTLANDS LÄN</t>
        </is>
      </c>
      <c r="E303" t="inlineStr">
        <is>
          <t>ÅRE</t>
        </is>
      </c>
      <c r="G303" t="n">
        <v>94.40000000000001</v>
      </c>
      <c r="H303" t="n">
        <v>0</v>
      </c>
      <c r="I303" t="n">
        <v>0</v>
      </c>
      <c r="J303" t="n">
        <v>0</v>
      </c>
      <c r="K303" t="n">
        <v>0</v>
      </c>
      <c r="L303" t="n">
        <v>0</v>
      </c>
      <c r="M303" t="n">
        <v>0</v>
      </c>
      <c r="N303" t="n">
        <v>0</v>
      </c>
      <c r="O303" t="n">
        <v>0</v>
      </c>
      <c r="P303" t="n">
        <v>0</v>
      </c>
      <c r="Q303" t="n">
        <v>0</v>
      </c>
      <c r="R303" s="2" t="inlineStr"/>
    </row>
    <row r="304" ht="15" customHeight="1">
      <c r="A304" t="inlineStr">
        <is>
          <t>A 57594-2020</t>
        </is>
      </c>
      <c r="B304" s="1" t="n">
        <v>44140</v>
      </c>
      <c r="C304" s="1" t="n">
        <v>45577</v>
      </c>
      <c r="D304" t="inlineStr">
        <is>
          <t>JÄMTLANDS LÄN</t>
        </is>
      </c>
      <c r="E304" t="inlineStr">
        <is>
          <t>ÅRE</t>
        </is>
      </c>
      <c r="G304" t="n">
        <v>14.9</v>
      </c>
      <c r="H304" t="n">
        <v>0</v>
      </c>
      <c r="I304" t="n">
        <v>0</v>
      </c>
      <c r="J304" t="n">
        <v>0</v>
      </c>
      <c r="K304" t="n">
        <v>0</v>
      </c>
      <c r="L304" t="n">
        <v>0</v>
      </c>
      <c r="M304" t="n">
        <v>0</v>
      </c>
      <c r="N304" t="n">
        <v>0</v>
      </c>
      <c r="O304" t="n">
        <v>0</v>
      </c>
      <c r="P304" t="n">
        <v>0</v>
      </c>
      <c r="Q304" t="n">
        <v>0</v>
      </c>
      <c r="R304" s="2" t="inlineStr"/>
    </row>
    <row r="305" ht="15" customHeight="1">
      <c r="A305" t="inlineStr">
        <is>
          <t>A 57586-2020</t>
        </is>
      </c>
      <c r="B305" s="1" t="n">
        <v>44140</v>
      </c>
      <c r="C305" s="1" t="n">
        <v>45577</v>
      </c>
      <c r="D305" t="inlineStr">
        <is>
          <t>JÄMTLANDS LÄN</t>
        </is>
      </c>
      <c r="E305" t="inlineStr">
        <is>
          <t>ÅRE</t>
        </is>
      </c>
      <c r="G305" t="n">
        <v>9.5</v>
      </c>
      <c r="H305" t="n">
        <v>0</v>
      </c>
      <c r="I305" t="n">
        <v>0</v>
      </c>
      <c r="J305" t="n">
        <v>0</v>
      </c>
      <c r="K305" t="n">
        <v>0</v>
      </c>
      <c r="L305" t="n">
        <v>0</v>
      </c>
      <c r="M305" t="n">
        <v>0</v>
      </c>
      <c r="N305" t="n">
        <v>0</v>
      </c>
      <c r="O305" t="n">
        <v>0</v>
      </c>
      <c r="P305" t="n">
        <v>0</v>
      </c>
      <c r="Q305" t="n">
        <v>0</v>
      </c>
      <c r="R305" s="2" t="inlineStr"/>
    </row>
    <row r="306" ht="15" customHeight="1">
      <c r="A306" t="inlineStr">
        <is>
          <t>A 58960-2020</t>
        </is>
      </c>
      <c r="B306" s="1" t="n">
        <v>44146</v>
      </c>
      <c r="C306" s="1" t="n">
        <v>45577</v>
      </c>
      <c r="D306" t="inlineStr">
        <is>
          <t>JÄMTLANDS LÄN</t>
        </is>
      </c>
      <c r="E306" t="inlineStr">
        <is>
          <t>ÅRE</t>
        </is>
      </c>
      <c r="G306" t="n">
        <v>5.5</v>
      </c>
      <c r="H306" t="n">
        <v>0</v>
      </c>
      <c r="I306" t="n">
        <v>0</v>
      </c>
      <c r="J306" t="n">
        <v>0</v>
      </c>
      <c r="K306" t="n">
        <v>0</v>
      </c>
      <c r="L306" t="n">
        <v>0</v>
      </c>
      <c r="M306" t="n">
        <v>0</v>
      </c>
      <c r="N306" t="n">
        <v>0</v>
      </c>
      <c r="O306" t="n">
        <v>0</v>
      </c>
      <c r="P306" t="n">
        <v>0</v>
      </c>
      <c r="Q306" t="n">
        <v>0</v>
      </c>
      <c r="R306" s="2" t="inlineStr"/>
    </row>
    <row r="307" ht="15" customHeight="1">
      <c r="A307" t="inlineStr">
        <is>
          <t>A 60016-2020</t>
        </is>
      </c>
      <c r="B307" s="1" t="n">
        <v>44151</v>
      </c>
      <c r="C307" s="1" t="n">
        <v>45577</v>
      </c>
      <c r="D307" t="inlineStr">
        <is>
          <t>JÄMTLANDS LÄN</t>
        </is>
      </c>
      <c r="E307" t="inlineStr">
        <is>
          <t>ÅRE</t>
        </is>
      </c>
      <c r="G307" t="n">
        <v>14.7</v>
      </c>
      <c r="H307" t="n">
        <v>0</v>
      </c>
      <c r="I307" t="n">
        <v>0</v>
      </c>
      <c r="J307" t="n">
        <v>0</v>
      </c>
      <c r="K307" t="n">
        <v>0</v>
      </c>
      <c r="L307" t="n">
        <v>0</v>
      </c>
      <c r="M307" t="n">
        <v>0</v>
      </c>
      <c r="N307" t="n">
        <v>0</v>
      </c>
      <c r="O307" t="n">
        <v>0</v>
      </c>
      <c r="P307" t="n">
        <v>0</v>
      </c>
      <c r="Q307" t="n">
        <v>0</v>
      </c>
      <c r="R307" s="2" t="inlineStr"/>
    </row>
    <row r="308" ht="15" customHeight="1">
      <c r="A308" t="inlineStr">
        <is>
          <t>A 61347-2020</t>
        </is>
      </c>
      <c r="B308" s="1" t="n">
        <v>44155</v>
      </c>
      <c r="C308" s="1" t="n">
        <v>45577</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61595-2020</t>
        </is>
      </c>
      <c r="B309" s="1" t="n">
        <v>44158</v>
      </c>
      <c r="C309" s="1" t="n">
        <v>45577</v>
      </c>
      <c r="D309" t="inlineStr">
        <is>
          <t>JÄMTLANDS LÄN</t>
        </is>
      </c>
      <c r="E309" t="inlineStr">
        <is>
          <t>ÅRE</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64355-2020</t>
        </is>
      </c>
      <c r="B310" s="1" t="n">
        <v>44168</v>
      </c>
      <c r="C310" s="1" t="n">
        <v>45577</v>
      </c>
      <c r="D310" t="inlineStr">
        <is>
          <t>JÄMTLANDS LÄN</t>
        </is>
      </c>
      <c r="E310" t="inlineStr">
        <is>
          <t>ÅRE</t>
        </is>
      </c>
      <c r="G310" t="n">
        <v>2.1</v>
      </c>
      <c r="H310" t="n">
        <v>0</v>
      </c>
      <c r="I310" t="n">
        <v>0</v>
      </c>
      <c r="J310" t="n">
        <v>0</v>
      </c>
      <c r="K310" t="n">
        <v>0</v>
      </c>
      <c r="L310" t="n">
        <v>0</v>
      </c>
      <c r="M310" t="n">
        <v>0</v>
      </c>
      <c r="N310" t="n">
        <v>0</v>
      </c>
      <c r="O310" t="n">
        <v>0</v>
      </c>
      <c r="P310" t="n">
        <v>0</v>
      </c>
      <c r="Q310" t="n">
        <v>0</v>
      </c>
      <c r="R310" s="2" t="inlineStr"/>
    </row>
    <row r="311" ht="15" customHeight="1">
      <c r="A311" t="inlineStr">
        <is>
          <t>A 66083-2020</t>
        </is>
      </c>
      <c r="B311" s="1" t="n">
        <v>44172</v>
      </c>
      <c r="C311" s="1" t="n">
        <v>45577</v>
      </c>
      <c r="D311" t="inlineStr">
        <is>
          <t>JÄMTLANDS LÄN</t>
        </is>
      </c>
      <c r="E311" t="inlineStr">
        <is>
          <t>ÅRE</t>
        </is>
      </c>
      <c r="G311" t="n">
        <v>563.3</v>
      </c>
      <c r="H311" t="n">
        <v>0</v>
      </c>
      <c r="I311" t="n">
        <v>0</v>
      </c>
      <c r="J311" t="n">
        <v>0</v>
      </c>
      <c r="K311" t="n">
        <v>0</v>
      </c>
      <c r="L311" t="n">
        <v>0</v>
      </c>
      <c r="M311" t="n">
        <v>0</v>
      </c>
      <c r="N311" t="n">
        <v>0</v>
      </c>
      <c r="O311" t="n">
        <v>0</v>
      </c>
      <c r="P311" t="n">
        <v>0</v>
      </c>
      <c r="Q311" t="n">
        <v>0</v>
      </c>
      <c r="R311" s="2" t="inlineStr"/>
    </row>
    <row r="312" ht="15" customHeight="1">
      <c r="A312" t="inlineStr">
        <is>
          <t>A 65439-2020</t>
        </is>
      </c>
      <c r="B312" s="1" t="n">
        <v>44173</v>
      </c>
      <c r="C312" s="1" t="n">
        <v>45577</v>
      </c>
      <c r="D312" t="inlineStr">
        <is>
          <t>JÄMTLANDS LÄN</t>
        </is>
      </c>
      <c r="E312" t="inlineStr">
        <is>
          <t>ÅRE</t>
        </is>
      </c>
      <c r="G312" t="n">
        <v>6.2</v>
      </c>
      <c r="H312" t="n">
        <v>0</v>
      </c>
      <c r="I312" t="n">
        <v>0</v>
      </c>
      <c r="J312" t="n">
        <v>0</v>
      </c>
      <c r="K312" t="n">
        <v>0</v>
      </c>
      <c r="L312" t="n">
        <v>0</v>
      </c>
      <c r="M312" t="n">
        <v>0</v>
      </c>
      <c r="N312" t="n">
        <v>0</v>
      </c>
      <c r="O312" t="n">
        <v>0</v>
      </c>
      <c r="P312" t="n">
        <v>0</v>
      </c>
      <c r="Q312" t="n">
        <v>0</v>
      </c>
      <c r="R312" s="2" t="inlineStr"/>
    </row>
    <row r="313" ht="15" customHeight="1">
      <c r="A313" t="inlineStr">
        <is>
          <t>A 65512-2020</t>
        </is>
      </c>
      <c r="B313" s="1" t="n">
        <v>44173</v>
      </c>
      <c r="C313" s="1" t="n">
        <v>45577</v>
      </c>
      <c r="D313" t="inlineStr">
        <is>
          <t>JÄMTLANDS LÄN</t>
        </is>
      </c>
      <c r="E313" t="inlineStr">
        <is>
          <t>ÅRE</t>
        </is>
      </c>
      <c r="G313" t="n">
        <v>5.6</v>
      </c>
      <c r="H313" t="n">
        <v>0</v>
      </c>
      <c r="I313" t="n">
        <v>0</v>
      </c>
      <c r="J313" t="n">
        <v>0</v>
      </c>
      <c r="K313" t="n">
        <v>0</v>
      </c>
      <c r="L313" t="n">
        <v>0</v>
      </c>
      <c r="M313" t="n">
        <v>0</v>
      </c>
      <c r="N313" t="n">
        <v>0</v>
      </c>
      <c r="O313" t="n">
        <v>0</v>
      </c>
      <c r="P313" t="n">
        <v>0</v>
      </c>
      <c r="Q313" t="n">
        <v>0</v>
      </c>
      <c r="R313" s="2" t="inlineStr"/>
    </row>
    <row r="314" ht="15" customHeight="1">
      <c r="A314" t="inlineStr">
        <is>
          <t>A 65519-2020</t>
        </is>
      </c>
      <c r="B314" s="1" t="n">
        <v>44173</v>
      </c>
      <c r="C314" s="1" t="n">
        <v>45577</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66755-2020</t>
        </is>
      </c>
      <c r="B315" s="1" t="n">
        <v>44179</v>
      </c>
      <c r="C315" s="1" t="n">
        <v>45577</v>
      </c>
      <c r="D315" t="inlineStr">
        <is>
          <t>JÄMTLANDS LÄN</t>
        </is>
      </c>
      <c r="E315" t="inlineStr">
        <is>
          <t>ÅRE</t>
        </is>
      </c>
      <c r="G315" t="n">
        <v>3.5</v>
      </c>
      <c r="H315" t="n">
        <v>0</v>
      </c>
      <c r="I315" t="n">
        <v>0</v>
      </c>
      <c r="J315" t="n">
        <v>0</v>
      </c>
      <c r="K315" t="n">
        <v>0</v>
      </c>
      <c r="L315" t="n">
        <v>0</v>
      </c>
      <c r="M315" t="n">
        <v>0</v>
      </c>
      <c r="N315" t="n">
        <v>0</v>
      </c>
      <c r="O315" t="n">
        <v>0</v>
      </c>
      <c r="P315" t="n">
        <v>0</v>
      </c>
      <c r="Q315" t="n">
        <v>0</v>
      </c>
      <c r="R315" s="2" t="inlineStr"/>
    </row>
    <row r="316" ht="15" customHeight="1">
      <c r="A316" t="inlineStr">
        <is>
          <t>A 66790-2020</t>
        </is>
      </c>
      <c r="B316" s="1" t="n">
        <v>44179</v>
      </c>
      <c r="C316" s="1" t="n">
        <v>45577</v>
      </c>
      <c r="D316" t="inlineStr">
        <is>
          <t>JÄMTLANDS LÄN</t>
        </is>
      </c>
      <c r="E316" t="inlineStr">
        <is>
          <t>ÅRE</t>
        </is>
      </c>
      <c r="G316" t="n">
        <v>2.3</v>
      </c>
      <c r="H316" t="n">
        <v>0</v>
      </c>
      <c r="I316" t="n">
        <v>0</v>
      </c>
      <c r="J316" t="n">
        <v>0</v>
      </c>
      <c r="K316" t="n">
        <v>0</v>
      </c>
      <c r="L316" t="n">
        <v>0</v>
      </c>
      <c r="M316" t="n">
        <v>0</v>
      </c>
      <c r="N316" t="n">
        <v>0</v>
      </c>
      <c r="O316" t="n">
        <v>0</v>
      </c>
      <c r="P316" t="n">
        <v>0</v>
      </c>
      <c r="Q316" t="n">
        <v>0</v>
      </c>
      <c r="R316" s="2" t="inlineStr"/>
    </row>
    <row r="317" ht="15" customHeight="1">
      <c r="A317" t="inlineStr">
        <is>
          <t>A 67270-2020</t>
        </is>
      </c>
      <c r="B317" s="1" t="n">
        <v>44179</v>
      </c>
      <c r="C317" s="1" t="n">
        <v>45577</v>
      </c>
      <c r="D317" t="inlineStr">
        <is>
          <t>JÄMTLANDS LÄN</t>
        </is>
      </c>
      <c r="E317" t="inlineStr">
        <is>
          <t>ÅRE</t>
        </is>
      </c>
      <c r="G317" t="n">
        <v>4.2</v>
      </c>
      <c r="H317" t="n">
        <v>0</v>
      </c>
      <c r="I317" t="n">
        <v>0</v>
      </c>
      <c r="J317" t="n">
        <v>0</v>
      </c>
      <c r="K317" t="n">
        <v>0</v>
      </c>
      <c r="L317" t="n">
        <v>0</v>
      </c>
      <c r="M317" t="n">
        <v>0</v>
      </c>
      <c r="N317" t="n">
        <v>0</v>
      </c>
      <c r="O317" t="n">
        <v>0</v>
      </c>
      <c r="P317" t="n">
        <v>0</v>
      </c>
      <c r="Q317" t="n">
        <v>0</v>
      </c>
      <c r="R317" s="2" t="inlineStr"/>
    </row>
    <row r="318" ht="15" customHeight="1">
      <c r="A318" t="inlineStr">
        <is>
          <t>A 67972-2020</t>
        </is>
      </c>
      <c r="B318" s="1" t="n">
        <v>44182</v>
      </c>
      <c r="C318" s="1" t="n">
        <v>45577</v>
      </c>
      <c r="D318" t="inlineStr">
        <is>
          <t>JÄMTLANDS LÄN</t>
        </is>
      </c>
      <c r="E318" t="inlineStr">
        <is>
          <t>ÅRE</t>
        </is>
      </c>
      <c r="G318" t="n">
        <v>6</v>
      </c>
      <c r="H318" t="n">
        <v>0</v>
      </c>
      <c r="I318" t="n">
        <v>0</v>
      </c>
      <c r="J318" t="n">
        <v>0</v>
      </c>
      <c r="K318" t="n">
        <v>0</v>
      </c>
      <c r="L318" t="n">
        <v>0</v>
      </c>
      <c r="M318" t="n">
        <v>0</v>
      </c>
      <c r="N318" t="n">
        <v>0</v>
      </c>
      <c r="O318" t="n">
        <v>0</v>
      </c>
      <c r="P318" t="n">
        <v>0</v>
      </c>
      <c r="Q318" t="n">
        <v>0</v>
      </c>
      <c r="R318" s="2" t="inlineStr"/>
    </row>
    <row r="319" ht="15" customHeight="1">
      <c r="A319" t="inlineStr">
        <is>
          <t>A 68545-2020</t>
        </is>
      </c>
      <c r="B319" s="1" t="n">
        <v>44186</v>
      </c>
      <c r="C319" s="1" t="n">
        <v>45577</v>
      </c>
      <c r="D319" t="inlineStr">
        <is>
          <t>JÄMTLANDS LÄN</t>
        </is>
      </c>
      <c r="E319" t="inlineStr">
        <is>
          <t>ÅRE</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68537-2020</t>
        </is>
      </c>
      <c r="B320" s="1" t="n">
        <v>44186</v>
      </c>
      <c r="C320" s="1" t="n">
        <v>45577</v>
      </c>
      <c r="D320" t="inlineStr">
        <is>
          <t>JÄMTLANDS LÄN</t>
        </is>
      </c>
      <c r="E320" t="inlineStr">
        <is>
          <t>ÅRE</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68518-2020</t>
        </is>
      </c>
      <c r="B321" s="1" t="n">
        <v>44186</v>
      </c>
      <c r="C321" s="1" t="n">
        <v>45577</v>
      </c>
      <c r="D321" t="inlineStr">
        <is>
          <t>JÄMTLANDS LÄN</t>
        </is>
      </c>
      <c r="E321" t="inlineStr">
        <is>
          <t>ÅRE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68594-2020</t>
        </is>
      </c>
      <c r="B322" s="1" t="n">
        <v>44186</v>
      </c>
      <c r="C322" s="1" t="n">
        <v>45577</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1339-2021</t>
        </is>
      </c>
      <c r="B323" s="1" t="n">
        <v>44208</v>
      </c>
      <c r="C323" s="1" t="n">
        <v>45577</v>
      </c>
      <c r="D323" t="inlineStr">
        <is>
          <t>JÄMTLANDS LÄN</t>
        </is>
      </c>
      <c r="E323" t="inlineStr">
        <is>
          <t>ÅRE</t>
        </is>
      </c>
      <c r="G323" t="n">
        <v>0.9</v>
      </c>
      <c r="H323" t="n">
        <v>0</v>
      </c>
      <c r="I323" t="n">
        <v>0</v>
      </c>
      <c r="J323" t="n">
        <v>0</v>
      </c>
      <c r="K323" t="n">
        <v>0</v>
      </c>
      <c r="L323" t="n">
        <v>0</v>
      </c>
      <c r="M323" t="n">
        <v>0</v>
      </c>
      <c r="N323" t="n">
        <v>0</v>
      </c>
      <c r="O323" t="n">
        <v>0</v>
      </c>
      <c r="P323" t="n">
        <v>0</v>
      </c>
      <c r="Q323" t="n">
        <v>0</v>
      </c>
      <c r="R323" s="2" t="inlineStr"/>
    </row>
    <row r="324" ht="15" customHeight="1">
      <c r="A324" t="inlineStr">
        <is>
          <t>A 4838-2021</t>
        </is>
      </c>
      <c r="B324" s="1" t="n">
        <v>44225</v>
      </c>
      <c r="C324" s="1" t="n">
        <v>45577</v>
      </c>
      <c r="D324" t="inlineStr">
        <is>
          <t>JÄMTLANDS LÄN</t>
        </is>
      </c>
      <c r="E324" t="inlineStr">
        <is>
          <t>ÅRE</t>
        </is>
      </c>
      <c r="G324" t="n">
        <v>12.4</v>
      </c>
      <c r="H324" t="n">
        <v>0</v>
      </c>
      <c r="I324" t="n">
        <v>0</v>
      </c>
      <c r="J324" t="n">
        <v>0</v>
      </c>
      <c r="K324" t="n">
        <v>0</v>
      </c>
      <c r="L324" t="n">
        <v>0</v>
      </c>
      <c r="M324" t="n">
        <v>0</v>
      </c>
      <c r="N324" t="n">
        <v>0</v>
      </c>
      <c r="O324" t="n">
        <v>0</v>
      </c>
      <c r="P324" t="n">
        <v>0</v>
      </c>
      <c r="Q324" t="n">
        <v>0</v>
      </c>
      <c r="R324" s="2" t="inlineStr"/>
    </row>
    <row r="325" ht="15" customHeight="1">
      <c r="A325" t="inlineStr">
        <is>
          <t>A 4870-2021</t>
        </is>
      </c>
      <c r="B325" s="1" t="n">
        <v>44225</v>
      </c>
      <c r="C325" s="1" t="n">
        <v>45577</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5401-2021</t>
        </is>
      </c>
      <c r="B326" s="1" t="n">
        <v>44229</v>
      </c>
      <c r="C326" s="1" t="n">
        <v>45577</v>
      </c>
      <c r="D326" t="inlineStr">
        <is>
          <t>JÄMTLANDS LÄN</t>
        </is>
      </c>
      <c r="E326" t="inlineStr">
        <is>
          <t>ÅRE</t>
        </is>
      </c>
      <c r="G326" t="n">
        <v>10</v>
      </c>
      <c r="H326" t="n">
        <v>0</v>
      </c>
      <c r="I326" t="n">
        <v>0</v>
      </c>
      <c r="J326" t="n">
        <v>0</v>
      </c>
      <c r="K326" t="n">
        <v>0</v>
      </c>
      <c r="L326" t="n">
        <v>0</v>
      </c>
      <c r="M326" t="n">
        <v>0</v>
      </c>
      <c r="N326" t="n">
        <v>0</v>
      </c>
      <c r="O326" t="n">
        <v>0</v>
      </c>
      <c r="P326" t="n">
        <v>0</v>
      </c>
      <c r="Q326" t="n">
        <v>0</v>
      </c>
      <c r="R326" s="2" t="inlineStr"/>
    </row>
    <row r="327" ht="15" customHeight="1">
      <c r="A327" t="inlineStr">
        <is>
          <t>A 5753-2021</t>
        </is>
      </c>
      <c r="B327" s="1" t="n">
        <v>44230</v>
      </c>
      <c r="C327" s="1" t="n">
        <v>45577</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8983-2021</t>
        </is>
      </c>
      <c r="B328" s="1" t="n">
        <v>44231</v>
      </c>
      <c r="C328" s="1" t="n">
        <v>45577</v>
      </c>
      <c r="D328" t="inlineStr">
        <is>
          <t>JÄMTLANDS LÄN</t>
        </is>
      </c>
      <c r="E328" t="inlineStr">
        <is>
          <t>ÅRE</t>
        </is>
      </c>
      <c r="G328" t="n">
        <v>4.1</v>
      </c>
      <c r="H328" t="n">
        <v>0</v>
      </c>
      <c r="I328" t="n">
        <v>0</v>
      </c>
      <c r="J328" t="n">
        <v>0</v>
      </c>
      <c r="K328" t="n">
        <v>0</v>
      </c>
      <c r="L328" t="n">
        <v>0</v>
      </c>
      <c r="M328" t="n">
        <v>0</v>
      </c>
      <c r="N328" t="n">
        <v>0</v>
      </c>
      <c r="O328" t="n">
        <v>0</v>
      </c>
      <c r="P328" t="n">
        <v>0</v>
      </c>
      <c r="Q328" t="n">
        <v>0</v>
      </c>
      <c r="R328" s="2" t="inlineStr"/>
    </row>
    <row r="329" ht="15" customHeight="1">
      <c r="A329" t="inlineStr">
        <is>
          <t>A 6232-2021</t>
        </is>
      </c>
      <c r="B329" s="1" t="n">
        <v>44231</v>
      </c>
      <c r="C329" s="1" t="n">
        <v>45577</v>
      </c>
      <c r="D329" t="inlineStr">
        <is>
          <t>JÄMTLANDS LÄN</t>
        </is>
      </c>
      <c r="E329" t="inlineStr">
        <is>
          <t>ÅRE</t>
        </is>
      </c>
      <c r="G329" t="n">
        <v>11.9</v>
      </c>
      <c r="H329" t="n">
        <v>0</v>
      </c>
      <c r="I329" t="n">
        <v>0</v>
      </c>
      <c r="J329" t="n">
        <v>0</v>
      </c>
      <c r="K329" t="n">
        <v>0</v>
      </c>
      <c r="L329" t="n">
        <v>0</v>
      </c>
      <c r="M329" t="n">
        <v>0</v>
      </c>
      <c r="N329" t="n">
        <v>0</v>
      </c>
      <c r="O329" t="n">
        <v>0</v>
      </c>
      <c r="P329" t="n">
        <v>0</v>
      </c>
      <c r="Q329" t="n">
        <v>0</v>
      </c>
      <c r="R329" s="2" t="inlineStr"/>
    </row>
    <row r="330" ht="15" customHeight="1">
      <c r="A330" t="inlineStr">
        <is>
          <t>A 8294-2021</t>
        </is>
      </c>
      <c r="B330" s="1" t="n">
        <v>44243</v>
      </c>
      <c r="C330" s="1" t="n">
        <v>45577</v>
      </c>
      <c r="D330" t="inlineStr">
        <is>
          <t>JÄMTLANDS LÄN</t>
        </is>
      </c>
      <c r="E330" t="inlineStr">
        <is>
          <t>ÅRE</t>
        </is>
      </c>
      <c r="G330" t="n">
        <v>16.5</v>
      </c>
      <c r="H330" t="n">
        <v>0</v>
      </c>
      <c r="I330" t="n">
        <v>0</v>
      </c>
      <c r="J330" t="n">
        <v>0</v>
      </c>
      <c r="K330" t="n">
        <v>0</v>
      </c>
      <c r="L330" t="n">
        <v>0</v>
      </c>
      <c r="M330" t="n">
        <v>0</v>
      </c>
      <c r="N330" t="n">
        <v>0</v>
      </c>
      <c r="O330" t="n">
        <v>0</v>
      </c>
      <c r="P330" t="n">
        <v>0</v>
      </c>
      <c r="Q330" t="n">
        <v>0</v>
      </c>
      <c r="R330" s="2" t="inlineStr"/>
    </row>
    <row r="331" ht="15" customHeight="1">
      <c r="A331" t="inlineStr">
        <is>
          <t>A 8217-2021</t>
        </is>
      </c>
      <c r="B331" s="1" t="n">
        <v>44244</v>
      </c>
      <c r="C331" s="1" t="n">
        <v>45577</v>
      </c>
      <c r="D331" t="inlineStr">
        <is>
          <t>JÄMTLANDS LÄN</t>
        </is>
      </c>
      <c r="E331" t="inlineStr">
        <is>
          <t>ÅRE</t>
        </is>
      </c>
      <c r="G331" t="n">
        <v>51.8</v>
      </c>
      <c r="H331" t="n">
        <v>0</v>
      </c>
      <c r="I331" t="n">
        <v>0</v>
      </c>
      <c r="J331" t="n">
        <v>0</v>
      </c>
      <c r="K331" t="n">
        <v>0</v>
      </c>
      <c r="L331" t="n">
        <v>0</v>
      </c>
      <c r="M331" t="n">
        <v>0</v>
      </c>
      <c r="N331" t="n">
        <v>0</v>
      </c>
      <c r="O331" t="n">
        <v>0</v>
      </c>
      <c r="P331" t="n">
        <v>0</v>
      </c>
      <c r="Q331" t="n">
        <v>0</v>
      </c>
      <c r="R331" s="2" t="inlineStr"/>
    </row>
    <row r="332" ht="15" customHeight="1">
      <c r="A332" t="inlineStr">
        <is>
          <t>A 8668-2021</t>
        </is>
      </c>
      <c r="B332" s="1" t="n">
        <v>44246</v>
      </c>
      <c r="C332" s="1" t="n">
        <v>45577</v>
      </c>
      <c r="D332" t="inlineStr">
        <is>
          <t>JÄMTLANDS LÄN</t>
        </is>
      </c>
      <c r="E332" t="inlineStr">
        <is>
          <t>ÅRE</t>
        </is>
      </c>
      <c r="G332" t="n">
        <v>19.5</v>
      </c>
      <c r="H332" t="n">
        <v>0</v>
      </c>
      <c r="I332" t="n">
        <v>0</v>
      </c>
      <c r="J332" t="n">
        <v>0</v>
      </c>
      <c r="K332" t="n">
        <v>0</v>
      </c>
      <c r="L332" t="n">
        <v>0</v>
      </c>
      <c r="M332" t="n">
        <v>0</v>
      </c>
      <c r="N332" t="n">
        <v>0</v>
      </c>
      <c r="O332" t="n">
        <v>0</v>
      </c>
      <c r="P332" t="n">
        <v>0</v>
      </c>
      <c r="Q332" t="n">
        <v>0</v>
      </c>
      <c r="R332" s="2" t="inlineStr"/>
    </row>
    <row r="333" ht="15" customHeight="1">
      <c r="A333" t="inlineStr">
        <is>
          <t>A 9613-2021</t>
        </is>
      </c>
      <c r="B333" s="1" t="n">
        <v>44251</v>
      </c>
      <c r="C333" s="1" t="n">
        <v>45577</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9777-2021</t>
        </is>
      </c>
      <c r="B334" s="1" t="n">
        <v>44252</v>
      </c>
      <c r="C334" s="1" t="n">
        <v>45577</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10191-2021</t>
        </is>
      </c>
      <c r="B335" s="1" t="n">
        <v>44256</v>
      </c>
      <c r="C335" s="1" t="n">
        <v>45577</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10285-2021</t>
        </is>
      </c>
      <c r="B336" s="1" t="n">
        <v>44257</v>
      </c>
      <c r="C336" s="1" t="n">
        <v>45577</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10283-2021</t>
        </is>
      </c>
      <c r="B337" s="1" t="n">
        <v>44257</v>
      </c>
      <c r="C337" s="1" t="n">
        <v>45577</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12387-2021</t>
        </is>
      </c>
      <c r="B338" s="1" t="n">
        <v>44267</v>
      </c>
      <c r="C338" s="1" t="n">
        <v>45577</v>
      </c>
      <c r="D338" t="inlineStr">
        <is>
          <t>JÄMTLANDS LÄN</t>
        </is>
      </c>
      <c r="E338" t="inlineStr">
        <is>
          <t>ÅRE</t>
        </is>
      </c>
      <c r="G338" t="n">
        <v>3.4</v>
      </c>
      <c r="H338" t="n">
        <v>0</v>
      </c>
      <c r="I338" t="n">
        <v>0</v>
      </c>
      <c r="J338" t="n">
        <v>0</v>
      </c>
      <c r="K338" t="n">
        <v>0</v>
      </c>
      <c r="L338" t="n">
        <v>0</v>
      </c>
      <c r="M338" t="n">
        <v>0</v>
      </c>
      <c r="N338" t="n">
        <v>0</v>
      </c>
      <c r="O338" t="n">
        <v>0</v>
      </c>
      <c r="P338" t="n">
        <v>0</v>
      </c>
      <c r="Q338" t="n">
        <v>0</v>
      </c>
      <c r="R338" s="2" t="inlineStr"/>
    </row>
    <row r="339" ht="15" customHeight="1">
      <c r="A339" t="inlineStr">
        <is>
          <t>A 12857-2021</t>
        </is>
      </c>
      <c r="B339" s="1" t="n">
        <v>44270</v>
      </c>
      <c r="C339" s="1" t="n">
        <v>45577</v>
      </c>
      <c r="D339" t="inlineStr">
        <is>
          <t>JÄMTLANDS LÄN</t>
        </is>
      </c>
      <c r="E339" t="inlineStr">
        <is>
          <t>ÅRE</t>
        </is>
      </c>
      <c r="F339" t="inlineStr">
        <is>
          <t>Kommuner</t>
        </is>
      </c>
      <c r="G339" t="n">
        <v>17.2</v>
      </c>
      <c r="H339" t="n">
        <v>0</v>
      </c>
      <c r="I339" t="n">
        <v>0</v>
      </c>
      <c r="J339" t="n">
        <v>0</v>
      </c>
      <c r="K339" t="n">
        <v>0</v>
      </c>
      <c r="L339" t="n">
        <v>0</v>
      </c>
      <c r="M339" t="n">
        <v>0</v>
      </c>
      <c r="N339" t="n">
        <v>0</v>
      </c>
      <c r="O339" t="n">
        <v>0</v>
      </c>
      <c r="P339" t="n">
        <v>0</v>
      </c>
      <c r="Q339" t="n">
        <v>0</v>
      </c>
      <c r="R339" s="2" t="inlineStr"/>
    </row>
    <row r="340" ht="15" customHeight="1">
      <c r="A340" t="inlineStr">
        <is>
          <t>A 12827-2021</t>
        </is>
      </c>
      <c r="B340" s="1" t="n">
        <v>44271</v>
      </c>
      <c r="C340" s="1" t="n">
        <v>45577</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14202-2021</t>
        </is>
      </c>
      <c r="B341" s="1" t="n">
        <v>44278</v>
      </c>
      <c r="C341" s="1" t="n">
        <v>45577</v>
      </c>
      <c r="D341" t="inlineStr">
        <is>
          <t>JÄMTLANDS LÄN</t>
        </is>
      </c>
      <c r="E341" t="inlineStr">
        <is>
          <t>ÅRE</t>
        </is>
      </c>
      <c r="G341" t="n">
        <v>17.8</v>
      </c>
      <c r="H341" t="n">
        <v>0</v>
      </c>
      <c r="I341" t="n">
        <v>0</v>
      </c>
      <c r="J341" t="n">
        <v>0</v>
      </c>
      <c r="K341" t="n">
        <v>0</v>
      </c>
      <c r="L341" t="n">
        <v>0</v>
      </c>
      <c r="M341" t="n">
        <v>0</v>
      </c>
      <c r="N341" t="n">
        <v>0</v>
      </c>
      <c r="O341" t="n">
        <v>0</v>
      </c>
      <c r="P341" t="n">
        <v>0</v>
      </c>
      <c r="Q341" t="n">
        <v>0</v>
      </c>
      <c r="R341" s="2" t="inlineStr"/>
    </row>
    <row r="342" ht="15" customHeight="1">
      <c r="A342" t="inlineStr">
        <is>
          <t>A 14210-2021</t>
        </is>
      </c>
      <c r="B342" s="1" t="n">
        <v>44278</v>
      </c>
      <c r="C342" s="1" t="n">
        <v>45577</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14204-2021</t>
        </is>
      </c>
      <c r="B343" s="1" t="n">
        <v>44278</v>
      </c>
      <c r="C343" s="1" t="n">
        <v>45577</v>
      </c>
      <c r="D343" t="inlineStr">
        <is>
          <t>JÄMTLANDS LÄN</t>
        </is>
      </c>
      <c r="E343" t="inlineStr">
        <is>
          <t>ÅRE</t>
        </is>
      </c>
      <c r="G343" t="n">
        <v>24.6</v>
      </c>
      <c r="H343" t="n">
        <v>0</v>
      </c>
      <c r="I343" t="n">
        <v>0</v>
      </c>
      <c r="J343" t="n">
        <v>0</v>
      </c>
      <c r="K343" t="n">
        <v>0</v>
      </c>
      <c r="L343" t="n">
        <v>0</v>
      </c>
      <c r="M343" t="n">
        <v>0</v>
      </c>
      <c r="N343" t="n">
        <v>0</v>
      </c>
      <c r="O343" t="n">
        <v>0</v>
      </c>
      <c r="P343" t="n">
        <v>0</v>
      </c>
      <c r="Q343" t="n">
        <v>0</v>
      </c>
      <c r="R343" s="2" t="inlineStr"/>
    </row>
    <row r="344" ht="15" customHeight="1">
      <c r="A344" t="inlineStr">
        <is>
          <t>A 14826-2021</t>
        </is>
      </c>
      <c r="B344" s="1" t="n">
        <v>44280</v>
      </c>
      <c r="C344" s="1" t="n">
        <v>45577</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15305-2021</t>
        </is>
      </c>
      <c r="B345" s="1" t="n">
        <v>44284</v>
      </c>
      <c r="C345" s="1" t="n">
        <v>45577</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16625-2021</t>
        </is>
      </c>
      <c r="B346" s="1" t="n">
        <v>44294</v>
      </c>
      <c r="C346" s="1" t="n">
        <v>45577</v>
      </c>
      <c r="D346" t="inlineStr">
        <is>
          <t>JÄMTLANDS LÄN</t>
        </is>
      </c>
      <c r="E346" t="inlineStr">
        <is>
          <t>ÅRE</t>
        </is>
      </c>
      <c r="F346" t="inlineStr">
        <is>
          <t>Övriga Aktiebolag</t>
        </is>
      </c>
      <c r="G346" t="n">
        <v>0.1</v>
      </c>
      <c r="H346" t="n">
        <v>0</v>
      </c>
      <c r="I346" t="n">
        <v>0</v>
      </c>
      <c r="J346" t="n">
        <v>0</v>
      </c>
      <c r="K346" t="n">
        <v>0</v>
      </c>
      <c r="L346" t="n">
        <v>0</v>
      </c>
      <c r="M346" t="n">
        <v>0</v>
      </c>
      <c r="N346" t="n">
        <v>0</v>
      </c>
      <c r="O346" t="n">
        <v>0</v>
      </c>
      <c r="P346" t="n">
        <v>0</v>
      </c>
      <c r="Q346" t="n">
        <v>0</v>
      </c>
      <c r="R346" s="2" t="inlineStr"/>
    </row>
    <row r="347" ht="15" customHeight="1">
      <c r="A347" t="inlineStr">
        <is>
          <t>A 17883-2021</t>
        </is>
      </c>
      <c r="B347" s="1" t="n">
        <v>44301</v>
      </c>
      <c r="C347" s="1" t="n">
        <v>45577</v>
      </c>
      <c r="D347" t="inlineStr">
        <is>
          <t>JÄMTLANDS LÄN</t>
        </is>
      </c>
      <c r="E347" t="inlineStr">
        <is>
          <t>ÅRE</t>
        </is>
      </c>
      <c r="F347" t="inlineStr">
        <is>
          <t>Övriga Aktiebolag</t>
        </is>
      </c>
      <c r="G347" t="n">
        <v>6.7</v>
      </c>
      <c r="H347" t="n">
        <v>0</v>
      </c>
      <c r="I347" t="n">
        <v>0</v>
      </c>
      <c r="J347" t="n">
        <v>0</v>
      </c>
      <c r="K347" t="n">
        <v>0</v>
      </c>
      <c r="L347" t="n">
        <v>0</v>
      </c>
      <c r="M347" t="n">
        <v>0</v>
      </c>
      <c r="N347" t="n">
        <v>0</v>
      </c>
      <c r="O347" t="n">
        <v>0</v>
      </c>
      <c r="P347" t="n">
        <v>0</v>
      </c>
      <c r="Q347" t="n">
        <v>0</v>
      </c>
      <c r="R347" s="2" t="inlineStr"/>
    </row>
    <row r="348" ht="15" customHeight="1">
      <c r="A348" t="inlineStr">
        <is>
          <t>A 18374-2021</t>
        </is>
      </c>
      <c r="B348" s="1" t="n">
        <v>44305</v>
      </c>
      <c r="C348" s="1" t="n">
        <v>45577</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18531-2021</t>
        </is>
      </c>
      <c r="B349" s="1" t="n">
        <v>44306</v>
      </c>
      <c r="C349" s="1" t="n">
        <v>45577</v>
      </c>
      <c r="D349" t="inlineStr">
        <is>
          <t>JÄMTLANDS LÄN</t>
        </is>
      </c>
      <c r="E349" t="inlineStr">
        <is>
          <t>ÅRE</t>
        </is>
      </c>
      <c r="G349" t="n">
        <v>4</v>
      </c>
      <c r="H349" t="n">
        <v>0</v>
      </c>
      <c r="I349" t="n">
        <v>0</v>
      </c>
      <c r="J349" t="n">
        <v>0</v>
      </c>
      <c r="K349" t="n">
        <v>0</v>
      </c>
      <c r="L349" t="n">
        <v>0</v>
      </c>
      <c r="M349" t="n">
        <v>0</v>
      </c>
      <c r="N349" t="n">
        <v>0</v>
      </c>
      <c r="O349" t="n">
        <v>0</v>
      </c>
      <c r="P349" t="n">
        <v>0</v>
      </c>
      <c r="Q349" t="n">
        <v>0</v>
      </c>
      <c r="R349" s="2" t="inlineStr"/>
    </row>
    <row r="350" ht="15" customHeight="1">
      <c r="A350" t="inlineStr">
        <is>
          <t>A 19275-2021</t>
        </is>
      </c>
      <c r="B350" s="1" t="n">
        <v>44309</v>
      </c>
      <c r="C350" s="1" t="n">
        <v>45577</v>
      </c>
      <c r="D350" t="inlineStr">
        <is>
          <t>JÄMTLANDS LÄN</t>
        </is>
      </c>
      <c r="E350" t="inlineStr">
        <is>
          <t>ÅRE</t>
        </is>
      </c>
      <c r="G350" t="n">
        <v>16.4</v>
      </c>
      <c r="H350" t="n">
        <v>0</v>
      </c>
      <c r="I350" t="n">
        <v>0</v>
      </c>
      <c r="J350" t="n">
        <v>0</v>
      </c>
      <c r="K350" t="n">
        <v>0</v>
      </c>
      <c r="L350" t="n">
        <v>0</v>
      </c>
      <c r="M350" t="n">
        <v>0</v>
      </c>
      <c r="N350" t="n">
        <v>0</v>
      </c>
      <c r="O350" t="n">
        <v>0</v>
      </c>
      <c r="P350" t="n">
        <v>0</v>
      </c>
      <c r="Q350" t="n">
        <v>0</v>
      </c>
      <c r="R350" s="2" t="inlineStr"/>
    </row>
    <row r="351" ht="15" customHeight="1">
      <c r="A351" t="inlineStr">
        <is>
          <t>A 20501-2021</t>
        </is>
      </c>
      <c r="B351" s="1" t="n">
        <v>44315</v>
      </c>
      <c r="C351" s="1" t="n">
        <v>45577</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21897-2021</t>
        </is>
      </c>
      <c r="B352" s="1" t="n">
        <v>44322</v>
      </c>
      <c r="C352" s="1" t="n">
        <v>45577</v>
      </c>
      <c r="D352" t="inlineStr">
        <is>
          <t>JÄMTLANDS LÄN</t>
        </is>
      </c>
      <c r="E352" t="inlineStr">
        <is>
          <t>ÅRE</t>
        </is>
      </c>
      <c r="G352" t="n">
        <v>41.4</v>
      </c>
      <c r="H352" t="n">
        <v>0</v>
      </c>
      <c r="I352" t="n">
        <v>0</v>
      </c>
      <c r="J352" t="n">
        <v>0</v>
      </c>
      <c r="K352" t="n">
        <v>0</v>
      </c>
      <c r="L352" t="n">
        <v>0</v>
      </c>
      <c r="M352" t="n">
        <v>0</v>
      </c>
      <c r="N352" t="n">
        <v>0</v>
      </c>
      <c r="O352" t="n">
        <v>0</v>
      </c>
      <c r="P352" t="n">
        <v>0</v>
      </c>
      <c r="Q352" t="n">
        <v>0</v>
      </c>
      <c r="R352" s="2" t="inlineStr"/>
    </row>
    <row r="353" ht="15" customHeight="1">
      <c r="A353" t="inlineStr">
        <is>
          <t>A 21905-2021</t>
        </is>
      </c>
      <c r="B353" s="1" t="n">
        <v>44322</v>
      </c>
      <c r="C353" s="1" t="n">
        <v>45577</v>
      </c>
      <c r="D353" t="inlineStr">
        <is>
          <t>JÄMTLANDS LÄN</t>
        </is>
      </c>
      <c r="E353" t="inlineStr">
        <is>
          <t>ÅRE</t>
        </is>
      </c>
      <c r="G353" t="n">
        <v>14.3</v>
      </c>
      <c r="H353" t="n">
        <v>0</v>
      </c>
      <c r="I353" t="n">
        <v>0</v>
      </c>
      <c r="J353" t="n">
        <v>0</v>
      </c>
      <c r="K353" t="n">
        <v>0</v>
      </c>
      <c r="L353" t="n">
        <v>0</v>
      </c>
      <c r="M353" t="n">
        <v>0</v>
      </c>
      <c r="N353" t="n">
        <v>0</v>
      </c>
      <c r="O353" t="n">
        <v>0</v>
      </c>
      <c r="P353" t="n">
        <v>0</v>
      </c>
      <c r="Q353" t="n">
        <v>0</v>
      </c>
      <c r="R353" s="2" t="inlineStr"/>
    </row>
    <row r="354" ht="15" customHeight="1">
      <c r="A354" t="inlineStr">
        <is>
          <t>A 22707-2021</t>
        </is>
      </c>
      <c r="B354" s="1" t="n">
        <v>44323</v>
      </c>
      <c r="C354" s="1" t="n">
        <v>45577</v>
      </c>
      <c r="D354" t="inlineStr">
        <is>
          <t>JÄMTLANDS LÄN</t>
        </is>
      </c>
      <c r="E354" t="inlineStr">
        <is>
          <t>ÅRE</t>
        </is>
      </c>
      <c r="G354" t="n">
        <v>6.3</v>
      </c>
      <c r="H354" t="n">
        <v>0</v>
      </c>
      <c r="I354" t="n">
        <v>0</v>
      </c>
      <c r="J354" t="n">
        <v>0</v>
      </c>
      <c r="K354" t="n">
        <v>0</v>
      </c>
      <c r="L354" t="n">
        <v>0</v>
      </c>
      <c r="M354" t="n">
        <v>0</v>
      </c>
      <c r="N354" t="n">
        <v>0</v>
      </c>
      <c r="O354" t="n">
        <v>0</v>
      </c>
      <c r="P354" t="n">
        <v>0</v>
      </c>
      <c r="Q354" t="n">
        <v>0</v>
      </c>
      <c r="R354" s="2" t="inlineStr"/>
    </row>
    <row r="355" ht="15" customHeight="1">
      <c r="A355" t="inlineStr">
        <is>
          <t>A 22505-2021</t>
        </is>
      </c>
      <c r="B355" s="1" t="n">
        <v>44326</v>
      </c>
      <c r="C355" s="1" t="n">
        <v>45577</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23561-2021</t>
        </is>
      </c>
      <c r="B356" s="1" t="n">
        <v>44334</v>
      </c>
      <c r="C356" s="1" t="n">
        <v>45577</v>
      </c>
      <c r="D356" t="inlineStr">
        <is>
          <t>JÄMTLANDS LÄN</t>
        </is>
      </c>
      <c r="E356" t="inlineStr">
        <is>
          <t>ÅRE</t>
        </is>
      </c>
      <c r="G356" t="n">
        <v>8.5</v>
      </c>
      <c r="H356" t="n">
        <v>0</v>
      </c>
      <c r="I356" t="n">
        <v>0</v>
      </c>
      <c r="J356" t="n">
        <v>0</v>
      </c>
      <c r="K356" t="n">
        <v>0</v>
      </c>
      <c r="L356" t="n">
        <v>0</v>
      </c>
      <c r="M356" t="n">
        <v>0</v>
      </c>
      <c r="N356" t="n">
        <v>0</v>
      </c>
      <c r="O356" t="n">
        <v>0</v>
      </c>
      <c r="P356" t="n">
        <v>0</v>
      </c>
      <c r="Q356" t="n">
        <v>0</v>
      </c>
      <c r="R356" s="2" t="inlineStr"/>
    </row>
    <row r="357" ht="15" customHeight="1">
      <c r="A357" t="inlineStr">
        <is>
          <t>A 24585-2021</t>
        </is>
      </c>
      <c r="B357" s="1" t="n">
        <v>44337</v>
      </c>
      <c r="C357" s="1" t="n">
        <v>45577</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26722-2021</t>
        </is>
      </c>
      <c r="B358" s="1" t="n">
        <v>44349</v>
      </c>
      <c r="C358" s="1" t="n">
        <v>45577</v>
      </c>
      <c r="D358" t="inlineStr">
        <is>
          <t>JÄMTLANDS LÄN</t>
        </is>
      </c>
      <c r="E358" t="inlineStr">
        <is>
          <t>ÅRE</t>
        </is>
      </c>
      <c r="G358" t="n">
        <v>11.4</v>
      </c>
      <c r="H358" t="n">
        <v>0</v>
      </c>
      <c r="I358" t="n">
        <v>0</v>
      </c>
      <c r="J358" t="n">
        <v>0</v>
      </c>
      <c r="K358" t="n">
        <v>0</v>
      </c>
      <c r="L358" t="n">
        <v>0</v>
      </c>
      <c r="M358" t="n">
        <v>0</v>
      </c>
      <c r="N358" t="n">
        <v>0</v>
      </c>
      <c r="O358" t="n">
        <v>0</v>
      </c>
      <c r="P358" t="n">
        <v>0</v>
      </c>
      <c r="Q358" t="n">
        <v>0</v>
      </c>
      <c r="R358" s="2" t="inlineStr"/>
    </row>
    <row r="359" ht="15" customHeight="1">
      <c r="A359" t="inlineStr">
        <is>
          <t>A 27010-2021</t>
        </is>
      </c>
      <c r="B359" s="1" t="n">
        <v>44350</v>
      </c>
      <c r="C359" s="1" t="n">
        <v>45577</v>
      </c>
      <c r="D359" t="inlineStr">
        <is>
          <t>JÄMTLANDS LÄN</t>
        </is>
      </c>
      <c r="E359" t="inlineStr">
        <is>
          <t>ÅRE</t>
        </is>
      </c>
      <c r="G359" t="n">
        <v>1.6</v>
      </c>
      <c r="H359" t="n">
        <v>0</v>
      </c>
      <c r="I359" t="n">
        <v>0</v>
      </c>
      <c r="J359" t="n">
        <v>0</v>
      </c>
      <c r="K359" t="n">
        <v>0</v>
      </c>
      <c r="L359" t="n">
        <v>0</v>
      </c>
      <c r="M359" t="n">
        <v>0</v>
      </c>
      <c r="N359" t="n">
        <v>0</v>
      </c>
      <c r="O359" t="n">
        <v>0</v>
      </c>
      <c r="P359" t="n">
        <v>0</v>
      </c>
      <c r="Q359" t="n">
        <v>0</v>
      </c>
      <c r="R359" s="2" t="inlineStr"/>
    </row>
    <row r="360" ht="15" customHeight="1">
      <c r="A360" t="inlineStr">
        <is>
          <t>A 27375-2021</t>
        </is>
      </c>
      <c r="B360" s="1" t="n">
        <v>44351</v>
      </c>
      <c r="C360" s="1" t="n">
        <v>45577</v>
      </c>
      <c r="D360" t="inlineStr">
        <is>
          <t>JÄMTLANDS LÄN</t>
        </is>
      </c>
      <c r="E360" t="inlineStr">
        <is>
          <t>ÅRE</t>
        </is>
      </c>
      <c r="G360" t="n">
        <v>7.4</v>
      </c>
      <c r="H360" t="n">
        <v>0</v>
      </c>
      <c r="I360" t="n">
        <v>0</v>
      </c>
      <c r="J360" t="n">
        <v>0</v>
      </c>
      <c r="K360" t="n">
        <v>0</v>
      </c>
      <c r="L360" t="n">
        <v>0</v>
      </c>
      <c r="M360" t="n">
        <v>0</v>
      </c>
      <c r="N360" t="n">
        <v>0</v>
      </c>
      <c r="O360" t="n">
        <v>0</v>
      </c>
      <c r="P360" t="n">
        <v>0</v>
      </c>
      <c r="Q360" t="n">
        <v>0</v>
      </c>
      <c r="R360" s="2" t="inlineStr"/>
    </row>
    <row r="361" ht="15" customHeight="1">
      <c r="A361" t="inlineStr">
        <is>
          <t>A 27390-2021</t>
        </is>
      </c>
      <c r="B361" s="1" t="n">
        <v>44351</v>
      </c>
      <c r="C361" s="1" t="n">
        <v>45577</v>
      </c>
      <c r="D361" t="inlineStr">
        <is>
          <t>JÄMTLANDS LÄN</t>
        </is>
      </c>
      <c r="E361" t="inlineStr">
        <is>
          <t>ÅRE</t>
        </is>
      </c>
      <c r="G361" t="n">
        <v>14.9</v>
      </c>
      <c r="H361" t="n">
        <v>0</v>
      </c>
      <c r="I361" t="n">
        <v>0</v>
      </c>
      <c r="J361" t="n">
        <v>0</v>
      </c>
      <c r="K361" t="n">
        <v>0</v>
      </c>
      <c r="L361" t="n">
        <v>0</v>
      </c>
      <c r="M361" t="n">
        <v>0</v>
      </c>
      <c r="N361" t="n">
        <v>0</v>
      </c>
      <c r="O361" t="n">
        <v>0</v>
      </c>
      <c r="P361" t="n">
        <v>0</v>
      </c>
      <c r="Q361" t="n">
        <v>0</v>
      </c>
      <c r="R361" s="2" t="inlineStr"/>
    </row>
    <row r="362" ht="15" customHeight="1">
      <c r="A362" t="inlineStr">
        <is>
          <t>A 27946-2021</t>
        </is>
      </c>
      <c r="B362" s="1" t="n">
        <v>44354</v>
      </c>
      <c r="C362" s="1" t="n">
        <v>45577</v>
      </c>
      <c r="D362" t="inlineStr">
        <is>
          <t>JÄMTLANDS LÄN</t>
        </is>
      </c>
      <c r="E362" t="inlineStr">
        <is>
          <t>ÅRE</t>
        </is>
      </c>
      <c r="G362" t="n">
        <v>0.3</v>
      </c>
      <c r="H362" t="n">
        <v>0</v>
      </c>
      <c r="I362" t="n">
        <v>0</v>
      </c>
      <c r="J362" t="n">
        <v>0</v>
      </c>
      <c r="K362" t="n">
        <v>0</v>
      </c>
      <c r="L362" t="n">
        <v>0</v>
      </c>
      <c r="M362" t="n">
        <v>0</v>
      </c>
      <c r="N362" t="n">
        <v>0</v>
      </c>
      <c r="O362" t="n">
        <v>0</v>
      </c>
      <c r="P362" t="n">
        <v>0</v>
      </c>
      <c r="Q362" t="n">
        <v>0</v>
      </c>
      <c r="R362" s="2" t="inlineStr"/>
    </row>
    <row r="363" ht="15" customHeight="1">
      <c r="A363" t="inlineStr">
        <is>
          <t>A 28881-2021</t>
        </is>
      </c>
      <c r="B363" s="1" t="n">
        <v>44357</v>
      </c>
      <c r="C363" s="1" t="n">
        <v>45577</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28817-2021</t>
        </is>
      </c>
      <c r="B364" s="1" t="n">
        <v>44357</v>
      </c>
      <c r="C364" s="1" t="n">
        <v>45577</v>
      </c>
      <c r="D364" t="inlineStr">
        <is>
          <t>JÄMTLANDS LÄN</t>
        </is>
      </c>
      <c r="E364" t="inlineStr">
        <is>
          <t>ÅRE</t>
        </is>
      </c>
      <c r="G364" t="n">
        <v>21.4</v>
      </c>
      <c r="H364" t="n">
        <v>0</v>
      </c>
      <c r="I364" t="n">
        <v>0</v>
      </c>
      <c r="J364" t="n">
        <v>0</v>
      </c>
      <c r="K364" t="n">
        <v>0</v>
      </c>
      <c r="L364" t="n">
        <v>0</v>
      </c>
      <c r="M364" t="n">
        <v>0</v>
      </c>
      <c r="N364" t="n">
        <v>0</v>
      </c>
      <c r="O364" t="n">
        <v>0</v>
      </c>
      <c r="P364" t="n">
        <v>0</v>
      </c>
      <c r="Q364" t="n">
        <v>0</v>
      </c>
      <c r="R364" s="2" t="inlineStr"/>
    </row>
    <row r="365" ht="15" customHeight="1">
      <c r="A365" t="inlineStr">
        <is>
          <t>A 31388-2021</t>
        </is>
      </c>
      <c r="B365" s="1" t="n">
        <v>44369</v>
      </c>
      <c r="C365" s="1" t="n">
        <v>45577</v>
      </c>
      <c r="D365" t="inlineStr">
        <is>
          <t>JÄMTLANDS LÄN</t>
        </is>
      </c>
      <c r="E365" t="inlineStr">
        <is>
          <t>ÅRE</t>
        </is>
      </c>
      <c r="G365" t="n">
        <v>2</v>
      </c>
      <c r="H365" t="n">
        <v>0</v>
      </c>
      <c r="I365" t="n">
        <v>0</v>
      </c>
      <c r="J365" t="n">
        <v>0</v>
      </c>
      <c r="K365" t="n">
        <v>0</v>
      </c>
      <c r="L365" t="n">
        <v>0</v>
      </c>
      <c r="M365" t="n">
        <v>0</v>
      </c>
      <c r="N365" t="n">
        <v>0</v>
      </c>
      <c r="O365" t="n">
        <v>0</v>
      </c>
      <c r="P365" t="n">
        <v>0</v>
      </c>
      <c r="Q365" t="n">
        <v>0</v>
      </c>
      <c r="R365" s="2" t="inlineStr"/>
    </row>
    <row r="366" ht="15" customHeight="1">
      <c r="A366" t="inlineStr">
        <is>
          <t>A 32241-2021</t>
        </is>
      </c>
      <c r="B366" s="1" t="n">
        <v>44371</v>
      </c>
      <c r="C366" s="1" t="n">
        <v>45577</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34357-2021</t>
        </is>
      </c>
      <c r="B367" s="1" t="n">
        <v>44379</v>
      </c>
      <c r="C367" s="1" t="n">
        <v>45577</v>
      </c>
      <c r="D367" t="inlineStr">
        <is>
          <t>JÄMTLANDS LÄN</t>
        </is>
      </c>
      <c r="E367" t="inlineStr">
        <is>
          <t>ÅRE</t>
        </is>
      </c>
      <c r="G367" t="n">
        <v>7.1</v>
      </c>
      <c r="H367" t="n">
        <v>0</v>
      </c>
      <c r="I367" t="n">
        <v>0</v>
      </c>
      <c r="J367" t="n">
        <v>0</v>
      </c>
      <c r="K367" t="n">
        <v>0</v>
      </c>
      <c r="L367" t="n">
        <v>0</v>
      </c>
      <c r="M367" t="n">
        <v>0</v>
      </c>
      <c r="N367" t="n">
        <v>0</v>
      </c>
      <c r="O367" t="n">
        <v>0</v>
      </c>
      <c r="P367" t="n">
        <v>0</v>
      </c>
      <c r="Q367" t="n">
        <v>0</v>
      </c>
      <c r="R367" s="2" t="inlineStr"/>
    </row>
    <row r="368" ht="15" customHeight="1">
      <c r="A368" t="inlineStr">
        <is>
          <t>A 36868-2021</t>
        </is>
      </c>
      <c r="B368" s="1" t="n">
        <v>44393</v>
      </c>
      <c r="C368" s="1" t="n">
        <v>45577</v>
      </c>
      <c r="D368" t="inlineStr">
        <is>
          <t>JÄMTLANDS LÄN</t>
        </is>
      </c>
      <c r="E368" t="inlineStr">
        <is>
          <t>ÅRE</t>
        </is>
      </c>
      <c r="G368" t="n">
        <v>2.5</v>
      </c>
      <c r="H368" t="n">
        <v>0</v>
      </c>
      <c r="I368" t="n">
        <v>0</v>
      </c>
      <c r="J368" t="n">
        <v>0</v>
      </c>
      <c r="K368" t="n">
        <v>0</v>
      </c>
      <c r="L368" t="n">
        <v>0</v>
      </c>
      <c r="M368" t="n">
        <v>0</v>
      </c>
      <c r="N368" t="n">
        <v>0</v>
      </c>
      <c r="O368" t="n">
        <v>0</v>
      </c>
      <c r="P368" t="n">
        <v>0</v>
      </c>
      <c r="Q368" t="n">
        <v>0</v>
      </c>
      <c r="R368" s="2" t="inlineStr"/>
    </row>
    <row r="369" ht="15" customHeight="1">
      <c r="A369" t="inlineStr">
        <is>
          <t>A 37086-2021</t>
        </is>
      </c>
      <c r="B369" s="1" t="n">
        <v>44395</v>
      </c>
      <c r="C369" s="1" t="n">
        <v>45577</v>
      </c>
      <c r="D369" t="inlineStr">
        <is>
          <t>JÄMTLANDS LÄN</t>
        </is>
      </c>
      <c r="E369" t="inlineStr">
        <is>
          <t>ÅRE</t>
        </is>
      </c>
      <c r="G369" t="n">
        <v>34.1</v>
      </c>
      <c r="H369" t="n">
        <v>0</v>
      </c>
      <c r="I369" t="n">
        <v>0</v>
      </c>
      <c r="J369" t="n">
        <v>0</v>
      </c>
      <c r="K369" t="n">
        <v>0</v>
      </c>
      <c r="L369" t="n">
        <v>0</v>
      </c>
      <c r="M369" t="n">
        <v>0</v>
      </c>
      <c r="N369" t="n">
        <v>0</v>
      </c>
      <c r="O369" t="n">
        <v>0</v>
      </c>
      <c r="P369" t="n">
        <v>0</v>
      </c>
      <c r="Q369" t="n">
        <v>0</v>
      </c>
      <c r="R369" s="2" t="inlineStr"/>
    </row>
    <row r="370" ht="15" customHeight="1">
      <c r="A370" t="inlineStr">
        <is>
          <t>A 37156-2021</t>
        </is>
      </c>
      <c r="B370" s="1" t="n">
        <v>44396</v>
      </c>
      <c r="C370" s="1" t="n">
        <v>45577</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37461-2021</t>
        </is>
      </c>
      <c r="B371" s="1" t="n">
        <v>44398</v>
      </c>
      <c r="C371" s="1" t="n">
        <v>45577</v>
      </c>
      <c r="D371" t="inlineStr">
        <is>
          <t>JÄMTLANDS LÄN</t>
        </is>
      </c>
      <c r="E371" t="inlineStr">
        <is>
          <t>ÅRE</t>
        </is>
      </c>
      <c r="G371" t="n">
        <v>11.7</v>
      </c>
      <c r="H371" t="n">
        <v>0</v>
      </c>
      <c r="I371" t="n">
        <v>0</v>
      </c>
      <c r="J371" t="n">
        <v>0</v>
      </c>
      <c r="K371" t="n">
        <v>0</v>
      </c>
      <c r="L371" t="n">
        <v>0</v>
      </c>
      <c r="M371" t="n">
        <v>0</v>
      </c>
      <c r="N371" t="n">
        <v>0</v>
      </c>
      <c r="O371" t="n">
        <v>0</v>
      </c>
      <c r="P371" t="n">
        <v>0</v>
      </c>
      <c r="Q371" t="n">
        <v>0</v>
      </c>
      <c r="R371" s="2" t="inlineStr"/>
    </row>
    <row r="372" ht="15" customHeight="1">
      <c r="A372" t="inlineStr">
        <is>
          <t>A 38450-2021</t>
        </is>
      </c>
      <c r="B372" s="1" t="n">
        <v>44406</v>
      </c>
      <c r="C372" s="1" t="n">
        <v>45577</v>
      </c>
      <c r="D372" t="inlineStr">
        <is>
          <t>JÄMTLANDS LÄN</t>
        </is>
      </c>
      <c r="E372" t="inlineStr">
        <is>
          <t>ÅRE</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38456-2021</t>
        </is>
      </c>
      <c r="B373" s="1" t="n">
        <v>44406</v>
      </c>
      <c r="C373" s="1" t="n">
        <v>45577</v>
      </c>
      <c r="D373" t="inlineStr">
        <is>
          <t>JÄMTLANDS LÄN</t>
        </is>
      </c>
      <c r="E373" t="inlineStr">
        <is>
          <t>ÅRE</t>
        </is>
      </c>
      <c r="G373" t="n">
        <v>19.8</v>
      </c>
      <c r="H373" t="n">
        <v>0</v>
      </c>
      <c r="I373" t="n">
        <v>0</v>
      </c>
      <c r="J373" t="n">
        <v>0</v>
      </c>
      <c r="K373" t="n">
        <v>0</v>
      </c>
      <c r="L373" t="n">
        <v>0</v>
      </c>
      <c r="M373" t="n">
        <v>0</v>
      </c>
      <c r="N373" t="n">
        <v>0</v>
      </c>
      <c r="O373" t="n">
        <v>0</v>
      </c>
      <c r="P373" t="n">
        <v>0</v>
      </c>
      <c r="Q373" t="n">
        <v>0</v>
      </c>
      <c r="R373" s="2" t="inlineStr"/>
    </row>
    <row r="374" ht="15" customHeight="1">
      <c r="A374" t="inlineStr">
        <is>
          <t>A 40336-2021</t>
        </is>
      </c>
      <c r="B374" s="1" t="n">
        <v>44419</v>
      </c>
      <c r="C374" s="1" t="n">
        <v>45577</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40339-2021</t>
        </is>
      </c>
      <c r="B375" s="1" t="n">
        <v>44419</v>
      </c>
      <c r="C375" s="1" t="n">
        <v>45577</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40341-2021</t>
        </is>
      </c>
      <c r="B376" s="1" t="n">
        <v>44419</v>
      </c>
      <c r="C376" s="1" t="n">
        <v>45577</v>
      </c>
      <c r="D376" t="inlineStr">
        <is>
          <t>JÄMTLANDS LÄN</t>
        </is>
      </c>
      <c r="E376" t="inlineStr">
        <is>
          <t>ÅRE</t>
        </is>
      </c>
      <c r="G376" t="n">
        <v>3</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45577</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51042-2021</t>
        </is>
      </c>
      <c r="B378" s="1" t="n">
        <v>44461</v>
      </c>
      <c r="C378" s="1" t="n">
        <v>45577</v>
      </c>
      <c r="D378" t="inlineStr">
        <is>
          <t>JÄMTLANDS LÄN</t>
        </is>
      </c>
      <c r="E378" t="inlineStr">
        <is>
          <t>ÅRE</t>
        </is>
      </c>
      <c r="G378" t="n">
        <v>0.8</v>
      </c>
      <c r="H378" t="n">
        <v>0</v>
      </c>
      <c r="I378" t="n">
        <v>0</v>
      </c>
      <c r="J378" t="n">
        <v>0</v>
      </c>
      <c r="K378" t="n">
        <v>0</v>
      </c>
      <c r="L378" t="n">
        <v>0</v>
      </c>
      <c r="M378" t="n">
        <v>0</v>
      </c>
      <c r="N378" t="n">
        <v>0</v>
      </c>
      <c r="O378" t="n">
        <v>0</v>
      </c>
      <c r="P378" t="n">
        <v>0</v>
      </c>
      <c r="Q378" t="n">
        <v>0</v>
      </c>
      <c r="R378" s="2" t="inlineStr"/>
    </row>
    <row r="379" ht="15" customHeight="1">
      <c r="A379" t="inlineStr">
        <is>
          <t>A 51040-2021</t>
        </is>
      </c>
      <c r="B379" s="1" t="n">
        <v>44461</v>
      </c>
      <c r="C379" s="1" t="n">
        <v>45577</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52427-2021</t>
        </is>
      </c>
      <c r="B380" s="1" t="n">
        <v>44466</v>
      </c>
      <c r="C380" s="1" t="n">
        <v>45577</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56197-2021</t>
        </is>
      </c>
      <c r="B381" s="1" t="n">
        <v>44478</v>
      </c>
      <c r="C381" s="1" t="n">
        <v>45577</v>
      </c>
      <c r="D381" t="inlineStr">
        <is>
          <t>JÄMTLANDS LÄN</t>
        </is>
      </c>
      <c r="E381" t="inlineStr">
        <is>
          <t>ÅRE</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56192-2021</t>
        </is>
      </c>
      <c r="B382" s="1" t="n">
        <v>44477</v>
      </c>
      <c r="C382" s="1" t="n">
        <v>45577</v>
      </c>
      <c r="D382" t="inlineStr">
        <is>
          <t>JÄMTLANDS LÄN</t>
        </is>
      </c>
      <c r="E382" t="inlineStr">
        <is>
          <t>ÅRE</t>
        </is>
      </c>
      <c r="F382" t="inlineStr">
        <is>
          <t>Övriga Aktiebolag</t>
        </is>
      </c>
      <c r="G382" t="n">
        <v>21.5</v>
      </c>
      <c r="H382" t="n">
        <v>0</v>
      </c>
      <c r="I382" t="n">
        <v>0</v>
      </c>
      <c r="J382" t="n">
        <v>0</v>
      </c>
      <c r="K382" t="n">
        <v>0</v>
      </c>
      <c r="L382" t="n">
        <v>0</v>
      </c>
      <c r="M382" t="n">
        <v>0</v>
      </c>
      <c r="N382" t="n">
        <v>0</v>
      </c>
      <c r="O382" t="n">
        <v>0</v>
      </c>
      <c r="P382" t="n">
        <v>0</v>
      </c>
      <c r="Q382" t="n">
        <v>0</v>
      </c>
      <c r="R382" s="2" t="inlineStr"/>
    </row>
    <row r="383" ht="15" customHeight="1">
      <c r="A383" t="inlineStr">
        <is>
          <t>A 57150-2021</t>
        </is>
      </c>
      <c r="B383" s="1" t="n">
        <v>44482</v>
      </c>
      <c r="C383" s="1" t="n">
        <v>45577</v>
      </c>
      <c r="D383" t="inlineStr">
        <is>
          <t>JÄMTLANDS LÄN</t>
        </is>
      </c>
      <c r="E383" t="inlineStr">
        <is>
          <t>ÅRE</t>
        </is>
      </c>
      <c r="G383" t="n">
        <v>1.3</v>
      </c>
      <c r="H383" t="n">
        <v>0</v>
      </c>
      <c r="I383" t="n">
        <v>0</v>
      </c>
      <c r="J383" t="n">
        <v>0</v>
      </c>
      <c r="K383" t="n">
        <v>0</v>
      </c>
      <c r="L383" t="n">
        <v>0</v>
      </c>
      <c r="M383" t="n">
        <v>0</v>
      </c>
      <c r="N383" t="n">
        <v>0</v>
      </c>
      <c r="O383" t="n">
        <v>0</v>
      </c>
      <c r="P383" t="n">
        <v>0</v>
      </c>
      <c r="Q383" t="n">
        <v>0</v>
      </c>
      <c r="R383" s="2" t="inlineStr"/>
    </row>
    <row r="384" ht="15" customHeight="1">
      <c r="A384" t="inlineStr">
        <is>
          <t>A 57158-2021</t>
        </is>
      </c>
      <c r="B384" s="1" t="n">
        <v>44482</v>
      </c>
      <c r="C384" s="1" t="n">
        <v>45577</v>
      </c>
      <c r="D384" t="inlineStr">
        <is>
          <t>JÄMTLANDS LÄN</t>
        </is>
      </c>
      <c r="E384" t="inlineStr">
        <is>
          <t>ÅRE</t>
        </is>
      </c>
      <c r="G384" t="n">
        <v>0.4</v>
      </c>
      <c r="H384" t="n">
        <v>0</v>
      </c>
      <c r="I384" t="n">
        <v>0</v>
      </c>
      <c r="J384" t="n">
        <v>0</v>
      </c>
      <c r="K384" t="n">
        <v>0</v>
      </c>
      <c r="L384" t="n">
        <v>0</v>
      </c>
      <c r="M384" t="n">
        <v>0</v>
      </c>
      <c r="N384" t="n">
        <v>0</v>
      </c>
      <c r="O384" t="n">
        <v>0</v>
      </c>
      <c r="P384" t="n">
        <v>0</v>
      </c>
      <c r="Q384" t="n">
        <v>0</v>
      </c>
      <c r="R384" s="2" t="inlineStr"/>
    </row>
    <row r="385" ht="15" customHeight="1">
      <c r="A385" t="inlineStr">
        <is>
          <t>A 57512-2021</t>
        </is>
      </c>
      <c r="B385" s="1" t="n">
        <v>44483</v>
      </c>
      <c r="C385" s="1" t="n">
        <v>45577</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57710-2021</t>
        </is>
      </c>
      <c r="B386" s="1" t="n">
        <v>44484</v>
      </c>
      <c r="C386" s="1" t="n">
        <v>45577</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58230-2021</t>
        </is>
      </c>
      <c r="B387" s="1" t="n">
        <v>44487</v>
      </c>
      <c r="C387" s="1" t="n">
        <v>45577</v>
      </c>
      <c r="D387" t="inlineStr">
        <is>
          <t>JÄMTLANDS LÄN</t>
        </is>
      </c>
      <c r="E387" t="inlineStr">
        <is>
          <t>ÅRE</t>
        </is>
      </c>
      <c r="G387" t="n">
        <v>19.3</v>
      </c>
      <c r="H387" t="n">
        <v>0</v>
      </c>
      <c r="I387" t="n">
        <v>0</v>
      </c>
      <c r="J387" t="n">
        <v>0</v>
      </c>
      <c r="K387" t="n">
        <v>0</v>
      </c>
      <c r="L387" t="n">
        <v>0</v>
      </c>
      <c r="M387" t="n">
        <v>0</v>
      </c>
      <c r="N387" t="n">
        <v>0</v>
      </c>
      <c r="O387" t="n">
        <v>0</v>
      </c>
      <c r="P387" t="n">
        <v>0</v>
      </c>
      <c r="Q387" t="n">
        <v>0</v>
      </c>
      <c r="R387" s="2" t="inlineStr"/>
    </row>
    <row r="388" ht="15" customHeight="1">
      <c r="A388" t="inlineStr">
        <is>
          <t>A 58232-2021</t>
        </is>
      </c>
      <c r="B388" s="1" t="n">
        <v>44487</v>
      </c>
      <c r="C388" s="1" t="n">
        <v>45577</v>
      </c>
      <c r="D388" t="inlineStr">
        <is>
          <t>JÄMTLANDS LÄN</t>
        </is>
      </c>
      <c r="E388" t="inlineStr">
        <is>
          <t>ÅRE</t>
        </is>
      </c>
      <c r="G388" t="n">
        <v>43.7</v>
      </c>
      <c r="H388" t="n">
        <v>0</v>
      </c>
      <c r="I388" t="n">
        <v>0</v>
      </c>
      <c r="J388" t="n">
        <v>0</v>
      </c>
      <c r="K388" t="n">
        <v>0</v>
      </c>
      <c r="L388" t="n">
        <v>0</v>
      </c>
      <c r="M388" t="n">
        <v>0</v>
      </c>
      <c r="N388" t="n">
        <v>0</v>
      </c>
      <c r="O388" t="n">
        <v>0</v>
      </c>
      <c r="P388" t="n">
        <v>0</v>
      </c>
      <c r="Q388" t="n">
        <v>0</v>
      </c>
      <c r="R388" s="2" t="inlineStr"/>
    </row>
    <row r="389" ht="15" customHeight="1">
      <c r="A389" t="inlineStr">
        <is>
          <t>A 58228-2021</t>
        </is>
      </c>
      <c r="B389" s="1" t="n">
        <v>44487</v>
      </c>
      <c r="C389" s="1" t="n">
        <v>45577</v>
      </c>
      <c r="D389" t="inlineStr">
        <is>
          <t>JÄMTLANDS LÄN</t>
        </is>
      </c>
      <c r="E389" t="inlineStr">
        <is>
          <t>ÅRE</t>
        </is>
      </c>
      <c r="G389" t="n">
        <v>46.2</v>
      </c>
      <c r="H389" t="n">
        <v>0</v>
      </c>
      <c r="I389" t="n">
        <v>0</v>
      </c>
      <c r="J389" t="n">
        <v>0</v>
      </c>
      <c r="K389" t="n">
        <v>0</v>
      </c>
      <c r="L389" t="n">
        <v>0</v>
      </c>
      <c r="M389" t="n">
        <v>0</v>
      </c>
      <c r="N389" t="n">
        <v>0</v>
      </c>
      <c r="O389" t="n">
        <v>0</v>
      </c>
      <c r="P389" t="n">
        <v>0</v>
      </c>
      <c r="Q389" t="n">
        <v>0</v>
      </c>
      <c r="R389" s="2" t="inlineStr"/>
    </row>
    <row r="390" ht="15" customHeight="1">
      <c r="A390" t="inlineStr">
        <is>
          <t>A 58940-2021</t>
        </is>
      </c>
      <c r="B390" s="1" t="n">
        <v>44489</v>
      </c>
      <c r="C390" s="1" t="n">
        <v>45577</v>
      </c>
      <c r="D390" t="inlineStr">
        <is>
          <t>JÄMTLANDS LÄN</t>
        </is>
      </c>
      <c r="E390" t="inlineStr">
        <is>
          <t>ÅRE</t>
        </is>
      </c>
      <c r="G390" t="n">
        <v>5.8</v>
      </c>
      <c r="H390" t="n">
        <v>0</v>
      </c>
      <c r="I390" t="n">
        <v>0</v>
      </c>
      <c r="J390" t="n">
        <v>0</v>
      </c>
      <c r="K390" t="n">
        <v>0</v>
      </c>
      <c r="L390" t="n">
        <v>0</v>
      </c>
      <c r="M390" t="n">
        <v>0</v>
      </c>
      <c r="N390" t="n">
        <v>0</v>
      </c>
      <c r="O390" t="n">
        <v>0</v>
      </c>
      <c r="P390" t="n">
        <v>0</v>
      </c>
      <c r="Q390" t="n">
        <v>0</v>
      </c>
      <c r="R390" s="2" t="inlineStr"/>
    </row>
    <row r="391" ht="15" customHeight="1">
      <c r="A391" t="inlineStr">
        <is>
          <t>A 59352-2021</t>
        </is>
      </c>
      <c r="B391" s="1" t="n">
        <v>44490</v>
      </c>
      <c r="C391" s="1" t="n">
        <v>45577</v>
      </c>
      <c r="D391" t="inlineStr">
        <is>
          <t>JÄMTLANDS LÄN</t>
        </is>
      </c>
      <c r="E391" t="inlineStr">
        <is>
          <t>ÅRE</t>
        </is>
      </c>
      <c r="G391" t="n">
        <v>0.4</v>
      </c>
      <c r="H391" t="n">
        <v>0</v>
      </c>
      <c r="I391" t="n">
        <v>0</v>
      </c>
      <c r="J391" t="n">
        <v>0</v>
      </c>
      <c r="K391" t="n">
        <v>0</v>
      </c>
      <c r="L391" t="n">
        <v>0</v>
      </c>
      <c r="M391" t="n">
        <v>0</v>
      </c>
      <c r="N391" t="n">
        <v>0</v>
      </c>
      <c r="O391" t="n">
        <v>0</v>
      </c>
      <c r="P391" t="n">
        <v>0</v>
      </c>
      <c r="Q391" t="n">
        <v>0</v>
      </c>
      <c r="R391" s="2" t="inlineStr"/>
    </row>
    <row r="392" ht="15" customHeight="1">
      <c r="A392" t="inlineStr">
        <is>
          <t>A 59397-2021</t>
        </is>
      </c>
      <c r="B392" s="1" t="n">
        <v>44491</v>
      </c>
      <c r="C392" s="1" t="n">
        <v>45577</v>
      </c>
      <c r="D392" t="inlineStr">
        <is>
          <t>JÄMTLANDS LÄN</t>
        </is>
      </c>
      <c r="E392" t="inlineStr">
        <is>
          <t>ÅRE</t>
        </is>
      </c>
      <c r="F392" t="inlineStr">
        <is>
          <t>Övriga Aktiebolag</t>
        </is>
      </c>
      <c r="G392" t="n">
        <v>7.6</v>
      </c>
      <c r="H392" t="n">
        <v>0</v>
      </c>
      <c r="I392" t="n">
        <v>0</v>
      </c>
      <c r="J392" t="n">
        <v>0</v>
      </c>
      <c r="K392" t="n">
        <v>0</v>
      </c>
      <c r="L392" t="n">
        <v>0</v>
      </c>
      <c r="M392" t="n">
        <v>0</v>
      </c>
      <c r="N392" t="n">
        <v>0</v>
      </c>
      <c r="O392" t="n">
        <v>0</v>
      </c>
      <c r="P392" t="n">
        <v>0</v>
      </c>
      <c r="Q392" t="n">
        <v>0</v>
      </c>
      <c r="R392" s="2" t="inlineStr"/>
    </row>
    <row r="393" ht="15" customHeight="1">
      <c r="A393" t="inlineStr">
        <is>
          <t>A 60132-2021</t>
        </is>
      </c>
      <c r="B393" s="1" t="n">
        <v>44495</v>
      </c>
      <c r="C393" s="1" t="n">
        <v>45577</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60122-2021</t>
        </is>
      </c>
      <c r="B394" s="1" t="n">
        <v>44495</v>
      </c>
      <c r="C394" s="1" t="n">
        <v>45577</v>
      </c>
      <c r="D394" t="inlineStr">
        <is>
          <t>JÄMTLANDS LÄN</t>
        </is>
      </c>
      <c r="E394" t="inlineStr">
        <is>
          <t>ÅRE</t>
        </is>
      </c>
      <c r="G394" t="n">
        <v>46.7</v>
      </c>
      <c r="H394" t="n">
        <v>0</v>
      </c>
      <c r="I394" t="n">
        <v>0</v>
      </c>
      <c r="J394" t="n">
        <v>0</v>
      </c>
      <c r="K394" t="n">
        <v>0</v>
      </c>
      <c r="L394" t="n">
        <v>0</v>
      </c>
      <c r="M394" t="n">
        <v>0</v>
      </c>
      <c r="N394" t="n">
        <v>0</v>
      </c>
      <c r="O394" t="n">
        <v>0</v>
      </c>
      <c r="P394" t="n">
        <v>0</v>
      </c>
      <c r="Q394" t="n">
        <v>0</v>
      </c>
      <c r="R394" s="2" t="inlineStr"/>
    </row>
    <row r="395" ht="15" customHeight="1">
      <c r="A395" t="inlineStr">
        <is>
          <t>A 61566-2021</t>
        </is>
      </c>
      <c r="B395" s="1" t="n">
        <v>44496</v>
      </c>
      <c r="C395" s="1" t="n">
        <v>45577</v>
      </c>
      <c r="D395" t="inlineStr">
        <is>
          <t>JÄMTLANDS LÄN</t>
        </is>
      </c>
      <c r="E395" t="inlineStr">
        <is>
          <t>ÅRE</t>
        </is>
      </c>
      <c r="F395" t="inlineStr">
        <is>
          <t>Övriga statliga verk och myndigheter</t>
        </is>
      </c>
      <c r="G395" t="n">
        <v>10.9</v>
      </c>
      <c r="H395" t="n">
        <v>0</v>
      </c>
      <c r="I395" t="n">
        <v>0</v>
      </c>
      <c r="J395" t="n">
        <v>0</v>
      </c>
      <c r="K395" t="n">
        <v>0</v>
      </c>
      <c r="L395" t="n">
        <v>0</v>
      </c>
      <c r="M395" t="n">
        <v>0</v>
      </c>
      <c r="N395" t="n">
        <v>0</v>
      </c>
      <c r="O395" t="n">
        <v>0</v>
      </c>
      <c r="P395" t="n">
        <v>0</v>
      </c>
      <c r="Q395" t="n">
        <v>0</v>
      </c>
      <c r="R395" s="2" t="inlineStr"/>
    </row>
    <row r="396" ht="15" customHeight="1">
      <c r="A396" t="inlineStr">
        <is>
          <t>A 61524-2021</t>
        </is>
      </c>
      <c r="B396" s="1" t="n">
        <v>44496</v>
      </c>
      <c r="C396" s="1" t="n">
        <v>45577</v>
      </c>
      <c r="D396" t="inlineStr">
        <is>
          <t>JÄMTLANDS LÄN</t>
        </is>
      </c>
      <c r="E396" t="inlineStr">
        <is>
          <t>ÅRE</t>
        </is>
      </c>
      <c r="F396" t="inlineStr">
        <is>
          <t>Övriga statliga verk och myndigheter</t>
        </is>
      </c>
      <c r="G396" t="n">
        <v>15</v>
      </c>
      <c r="H396" t="n">
        <v>0</v>
      </c>
      <c r="I396" t="n">
        <v>0</v>
      </c>
      <c r="J396" t="n">
        <v>0</v>
      </c>
      <c r="K396" t="n">
        <v>0</v>
      </c>
      <c r="L396" t="n">
        <v>0</v>
      </c>
      <c r="M396" t="n">
        <v>0</v>
      </c>
      <c r="N396" t="n">
        <v>0</v>
      </c>
      <c r="O396" t="n">
        <v>0</v>
      </c>
      <c r="P396" t="n">
        <v>0</v>
      </c>
      <c r="Q396" t="n">
        <v>0</v>
      </c>
      <c r="R396" s="2" t="inlineStr"/>
    </row>
    <row r="397" ht="15" customHeight="1">
      <c r="A397" t="inlineStr">
        <is>
          <t>A 61331-2021</t>
        </is>
      </c>
      <c r="B397" s="1" t="n">
        <v>44498</v>
      </c>
      <c r="C397" s="1" t="n">
        <v>45577</v>
      </c>
      <c r="D397" t="inlineStr">
        <is>
          <t>JÄMTLANDS LÄN</t>
        </is>
      </c>
      <c r="E397" t="inlineStr">
        <is>
          <t>ÅRE</t>
        </is>
      </c>
      <c r="G397" t="n">
        <v>8.4</v>
      </c>
      <c r="H397" t="n">
        <v>0</v>
      </c>
      <c r="I397" t="n">
        <v>0</v>
      </c>
      <c r="J397" t="n">
        <v>0</v>
      </c>
      <c r="K397" t="n">
        <v>0</v>
      </c>
      <c r="L397" t="n">
        <v>0</v>
      </c>
      <c r="M397" t="n">
        <v>0</v>
      </c>
      <c r="N397" t="n">
        <v>0</v>
      </c>
      <c r="O397" t="n">
        <v>0</v>
      </c>
      <c r="P397" t="n">
        <v>0</v>
      </c>
      <c r="Q397" t="n">
        <v>0</v>
      </c>
      <c r="R397" s="2" t="inlineStr"/>
    </row>
    <row r="398" ht="15" customHeight="1">
      <c r="A398" t="inlineStr">
        <is>
          <t>A 61803-2021</t>
        </is>
      </c>
      <c r="B398" s="1" t="n">
        <v>44498</v>
      </c>
      <c r="C398" s="1" t="n">
        <v>45577</v>
      </c>
      <c r="D398" t="inlineStr">
        <is>
          <t>JÄMTLANDS LÄN</t>
        </is>
      </c>
      <c r="E398" t="inlineStr">
        <is>
          <t>ÅRE</t>
        </is>
      </c>
      <c r="G398" t="n">
        <v>0.9</v>
      </c>
      <c r="H398" t="n">
        <v>0</v>
      </c>
      <c r="I398" t="n">
        <v>0</v>
      </c>
      <c r="J398" t="n">
        <v>0</v>
      </c>
      <c r="K398" t="n">
        <v>0</v>
      </c>
      <c r="L398" t="n">
        <v>0</v>
      </c>
      <c r="M398" t="n">
        <v>0</v>
      </c>
      <c r="N398" t="n">
        <v>0</v>
      </c>
      <c r="O398" t="n">
        <v>0</v>
      </c>
      <c r="P398" t="n">
        <v>0</v>
      </c>
      <c r="Q398" t="n">
        <v>0</v>
      </c>
      <c r="R398" s="2" t="inlineStr"/>
    </row>
    <row r="399" ht="15" customHeight="1">
      <c r="A399" t="inlineStr">
        <is>
          <t>A 61806-2021</t>
        </is>
      </c>
      <c r="B399" s="1" t="n">
        <v>44498</v>
      </c>
      <c r="C399" s="1" t="n">
        <v>45577</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61815-2021</t>
        </is>
      </c>
      <c r="B400" s="1" t="n">
        <v>44498</v>
      </c>
      <c r="C400" s="1" t="n">
        <v>45577</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61375-2021</t>
        </is>
      </c>
      <c r="B401" s="1" t="n">
        <v>44499</v>
      </c>
      <c r="C401" s="1" t="n">
        <v>45577</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62183-2021</t>
        </is>
      </c>
      <c r="B402" s="1" t="n">
        <v>44502</v>
      </c>
      <c r="C402" s="1" t="n">
        <v>45577</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62352-2021</t>
        </is>
      </c>
      <c r="B403" s="1" t="n">
        <v>44502</v>
      </c>
      <c r="C403" s="1" t="n">
        <v>45577</v>
      </c>
      <c r="D403" t="inlineStr">
        <is>
          <t>JÄMTLANDS LÄN</t>
        </is>
      </c>
      <c r="E403" t="inlineStr">
        <is>
          <t>ÅRE</t>
        </is>
      </c>
      <c r="F403" t="inlineStr">
        <is>
          <t>Övriga statliga verk och myndigheter</t>
        </is>
      </c>
      <c r="G403" t="n">
        <v>64.90000000000001</v>
      </c>
      <c r="H403" t="n">
        <v>0</v>
      </c>
      <c r="I403" t="n">
        <v>0</v>
      </c>
      <c r="J403" t="n">
        <v>0</v>
      </c>
      <c r="K403" t="n">
        <v>0</v>
      </c>
      <c r="L403" t="n">
        <v>0</v>
      </c>
      <c r="M403" t="n">
        <v>0</v>
      </c>
      <c r="N403" t="n">
        <v>0</v>
      </c>
      <c r="O403" t="n">
        <v>0</v>
      </c>
      <c r="P403" t="n">
        <v>0</v>
      </c>
      <c r="Q403" t="n">
        <v>0</v>
      </c>
      <c r="R403" s="2" t="inlineStr"/>
    </row>
    <row r="404" ht="15" customHeight="1">
      <c r="A404" t="inlineStr">
        <is>
          <t>A 63226-2021</t>
        </is>
      </c>
      <c r="B404" s="1" t="n">
        <v>44504</v>
      </c>
      <c r="C404" s="1" t="n">
        <v>45577</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64196-2021</t>
        </is>
      </c>
      <c r="B405" s="1" t="n">
        <v>44510</v>
      </c>
      <c r="C405" s="1" t="n">
        <v>45577</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64237-2021</t>
        </is>
      </c>
      <c r="B406" s="1" t="n">
        <v>44510</v>
      </c>
      <c r="C406" s="1" t="n">
        <v>45577</v>
      </c>
      <c r="D406" t="inlineStr">
        <is>
          <t>JÄMTLANDS LÄN</t>
        </is>
      </c>
      <c r="E406" t="inlineStr">
        <is>
          <t>ÅRE</t>
        </is>
      </c>
      <c r="G406" t="n">
        <v>2.7</v>
      </c>
      <c r="H406" t="n">
        <v>0</v>
      </c>
      <c r="I406" t="n">
        <v>0</v>
      </c>
      <c r="J406" t="n">
        <v>0</v>
      </c>
      <c r="K406" t="n">
        <v>0</v>
      </c>
      <c r="L406" t="n">
        <v>0</v>
      </c>
      <c r="M406" t="n">
        <v>0</v>
      </c>
      <c r="N406" t="n">
        <v>0</v>
      </c>
      <c r="O406" t="n">
        <v>0</v>
      </c>
      <c r="P406" t="n">
        <v>0</v>
      </c>
      <c r="Q406" t="n">
        <v>0</v>
      </c>
      <c r="R406" s="2" t="inlineStr"/>
    </row>
    <row r="407" ht="15" customHeight="1">
      <c r="A407" t="inlineStr">
        <is>
          <t>A 64219-2021</t>
        </is>
      </c>
      <c r="B407" s="1" t="n">
        <v>44510</v>
      </c>
      <c r="C407" s="1" t="n">
        <v>45577</v>
      </c>
      <c r="D407" t="inlineStr">
        <is>
          <t>JÄMTLANDS LÄN</t>
        </is>
      </c>
      <c r="E407" t="inlineStr">
        <is>
          <t>ÅRE</t>
        </is>
      </c>
      <c r="G407" t="n">
        <v>5.1</v>
      </c>
      <c r="H407" t="n">
        <v>0</v>
      </c>
      <c r="I407" t="n">
        <v>0</v>
      </c>
      <c r="J407" t="n">
        <v>0</v>
      </c>
      <c r="K407" t="n">
        <v>0</v>
      </c>
      <c r="L407" t="n">
        <v>0</v>
      </c>
      <c r="M407" t="n">
        <v>0</v>
      </c>
      <c r="N407" t="n">
        <v>0</v>
      </c>
      <c r="O407" t="n">
        <v>0</v>
      </c>
      <c r="P407" t="n">
        <v>0</v>
      </c>
      <c r="Q407" t="n">
        <v>0</v>
      </c>
      <c r="R407" s="2" t="inlineStr"/>
    </row>
    <row r="408" ht="15" customHeight="1">
      <c r="A408" t="inlineStr">
        <is>
          <t>A 64245-2021</t>
        </is>
      </c>
      <c r="B408" s="1" t="n">
        <v>44510</v>
      </c>
      <c r="C408" s="1" t="n">
        <v>45577</v>
      </c>
      <c r="D408" t="inlineStr">
        <is>
          <t>JÄMTLANDS LÄN</t>
        </is>
      </c>
      <c r="E408" t="inlineStr">
        <is>
          <t>ÅRE</t>
        </is>
      </c>
      <c r="G408" t="n">
        <v>1.8</v>
      </c>
      <c r="H408" t="n">
        <v>0</v>
      </c>
      <c r="I408" t="n">
        <v>0</v>
      </c>
      <c r="J408" t="n">
        <v>0</v>
      </c>
      <c r="K408" t="n">
        <v>0</v>
      </c>
      <c r="L408" t="n">
        <v>0</v>
      </c>
      <c r="M408" t="n">
        <v>0</v>
      </c>
      <c r="N408" t="n">
        <v>0</v>
      </c>
      <c r="O408" t="n">
        <v>0</v>
      </c>
      <c r="P408" t="n">
        <v>0</v>
      </c>
      <c r="Q408" t="n">
        <v>0</v>
      </c>
      <c r="R408" s="2" t="inlineStr"/>
    </row>
    <row r="409" ht="15" customHeight="1">
      <c r="A409" t="inlineStr">
        <is>
          <t>A 65239-2021</t>
        </is>
      </c>
      <c r="B409" s="1" t="n">
        <v>44515</v>
      </c>
      <c r="C409" s="1" t="n">
        <v>45577</v>
      </c>
      <c r="D409" t="inlineStr">
        <is>
          <t>JÄMTLANDS LÄN</t>
        </is>
      </c>
      <c r="E409" t="inlineStr">
        <is>
          <t>ÅRE</t>
        </is>
      </c>
      <c r="G409" t="n">
        <v>0</v>
      </c>
      <c r="H409" t="n">
        <v>0</v>
      </c>
      <c r="I409" t="n">
        <v>0</v>
      </c>
      <c r="J409" t="n">
        <v>0</v>
      </c>
      <c r="K409" t="n">
        <v>0</v>
      </c>
      <c r="L409" t="n">
        <v>0</v>
      </c>
      <c r="M409" t="n">
        <v>0</v>
      </c>
      <c r="N409" t="n">
        <v>0</v>
      </c>
      <c r="O409" t="n">
        <v>0</v>
      </c>
      <c r="P409" t="n">
        <v>0</v>
      </c>
      <c r="Q409" t="n">
        <v>0</v>
      </c>
      <c r="R409" s="2" t="inlineStr"/>
    </row>
    <row r="410" ht="15" customHeight="1">
      <c r="A410" t="inlineStr">
        <is>
          <t>A 65415-2021</t>
        </is>
      </c>
      <c r="B410" s="1" t="n">
        <v>44515</v>
      </c>
      <c r="C410" s="1" t="n">
        <v>45577</v>
      </c>
      <c r="D410" t="inlineStr">
        <is>
          <t>JÄMTLANDS LÄN</t>
        </is>
      </c>
      <c r="E410" t="inlineStr">
        <is>
          <t>ÅRE</t>
        </is>
      </c>
      <c r="G410" t="n">
        <v>2.7</v>
      </c>
      <c r="H410" t="n">
        <v>0</v>
      </c>
      <c r="I410" t="n">
        <v>0</v>
      </c>
      <c r="J410" t="n">
        <v>0</v>
      </c>
      <c r="K410" t="n">
        <v>0</v>
      </c>
      <c r="L410" t="n">
        <v>0</v>
      </c>
      <c r="M410" t="n">
        <v>0</v>
      </c>
      <c r="N410" t="n">
        <v>0</v>
      </c>
      <c r="O410" t="n">
        <v>0</v>
      </c>
      <c r="P410" t="n">
        <v>0</v>
      </c>
      <c r="Q410" t="n">
        <v>0</v>
      </c>
      <c r="R410" s="2" t="inlineStr"/>
    </row>
    <row r="411" ht="15" customHeight="1">
      <c r="A411" t="inlineStr">
        <is>
          <t>A 65782-2021</t>
        </is>
      </c>
      <c r="B411" s="1" t="n">
        <v>44516</v>
      </c>
      <c r="C411" s="1" t="n">
        <v>45577</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65784-2021</t>
        </is>
      </c>
      <c r="B412" s="1" t="n">
        <v>44516</v>
      </c>
      <c r="C412" s="1" t="n">
        <v>45577</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67541-2021</t>
        </is>
      </c>
      <c r="B413" s="1" t="n">
        <v>44524</v>
      </c>
      <c r="C413" s="1" t="n">
        <v>45577</v>
      </c>
      <c r="D413" t="inlineStr">
        <is>
          <t>JÄMTLANDS LÄN</t>
        </is>
      </c>
      <c r="E413" t="inlineStr">
        <is>
          <t>ÅRE</t>
        </is>
      </c>
      <c r="G413" t="n">
        <v>3</v>
      </c>
      <c r="H413" t="n">
        <v>0</v>
      </c>
      <c r="I413" t="n">
        <v>0</v>
      </c>
      <c r="J413" t="n">
        <v>0</v>
      </c>
      <c r="K413" t="n">
        <v>0</v>
      </c>
      <c r="L413" t="n">
        <v>0</v>
      </c>
      <c r="M413" t="n">
        <v>0</v>
      </c>
      <c r="N413" t="n">
        <v>0</v>
      </c>
      <c r="O413" t="n">
        <v>0</v>
      </c>
      <c r="P413" t="n">
        <v>0</v>
      </c>
      <c r="Q413" t="n">
        <v>0</v>
      </c>
      <c r="R413" s="2" t="inlineStr"/>
    </row>
    <row r="414" ht="15" customHeight="1">
      <c r="A414" t="inlineStr">
        <is>
          <t>A 69170-2021</t>
        </is>
      </c>
      <c r="B414" s="1" t="n">
        <v>44529</v>
      </c>
      <c r="C414" s="1" t="n">
        <v>45577</v>
      </c>
      <c r="D414" t="inlineStr">
        <is>
          <t>JÄMTLANDS LÄN</t>
        </is>
      </c>
      <c r="E414" t="inlineStr">
        <is>
          <t>ÅRE</t>
        </is>
      </c>
      <c r="G414" t="n">
        <v>114.4</v>
      </c>
      <c r="H414" t="n">
        <v>0</v>
      </c>
      <c r="I414" t="n">
        <v>0</v>
      </c>
      <c r="J414" t="n">
        <v>0</v>
      </c>
      <c r="K414" t="n">
        <v>0</v>
      </c>
      <c r="L414" t="n">
        <v>0</v>
      </c>
      <c r="M414" t="n">
        <v>0</v>
      </c>
      <c r="N414" t="n">
        <v>0</v>
      </c>
      <c r="O414" t="n">
        <v>0</v>
      </c>
      <c r="P414" t="n">
        <v>0</v>
      </c>
      <c r="Q414" t="n">
        <v>0</v>
      </c>
      <c r="R414" s="2" t="inlineStr"/>
    </row>
    <row r="415" ht="15" customHeight="1">
      <c r="A415" t="inlineStr">
        <is>
          <t>A 69568-2021</t>
        </is>
      </c>
      <c r="B415" s="1" t="n">
        <v>44531</v>
      </c>
      <c r="C415" s="1" t="n">
        <v>45577</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69592-2021</t>
        </is>
      </c>
      <c r="B416" s="1" t="n">
        <v>44531</v>
      </c>
      <c r="C416" s="1" t="n">
        <v>45577</v>
      </c>
      <c r="D416" t="inlineStr">
        <is>
          <t>JÄMTLANDS LÄN</t>
        </is>
      </c>
      <c r="E416" t="inlineStr">
        <is>
          <t>ÅRE</t>
        </is>
      </c>
      <c r="G416" t="n">
        <v>4.7</v>
      </c>
      <c r="H416" t="n">
        <v>0</v>
      </c>
      <c r="I416" t="n">
        <v>0</v>
      </c>
      <c r="J416" t="n">
        <v>0</v>
      </c>
      <c r="K416" t="n">
        <v>0</v>
      </c>
      <c r="L416" t="n">
        <v>0</v>
      </c>
      <c r="M416" t="n">
        <v>0</v>
      </c>
      <c r="N416" t="n">
        <v>0</v>
      </c>
      <c r="O416" t="n">
        <v>0</v>
      </c>
      <c r="P416" t="n">
        <v>0</v>
      </c>
      <c r="Q416" t="n">
        <v>0</v>
      </c>
      <c r="R416" s="2" t="inlineStr"/>
    </row>
    <row r="417" ht="15" customHeight="1">
      <c r="A417" t="inlineStr">
        <is>
          <t>A 69801-2021</t>
        </is>
      </c>
      <c r="B417" s="1" t="n">
        <v>44532</v>
      </c>
      <c r="C417" s="1" t="n">
        <v>45577</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70523-2021</t>
        </is>
      </c>
      <c r="B418" s="1" t="n">
        <v>44536</v>
      </c>
      <c r="C418" s="1" t="n">
        <v>45577</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70522-2021</t>
        </is>
      </c>
      <c r="B419" s="1" t="n">
        <v>44536</v>
      </c>
      <c r="C419" s="1" t="n">
        <v>45577</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71005-2021</t>
        </is>
      </c>
      <c r="B420" s="1" t="n">
        <v>44538</v>
      </c>
      <c r="C420" s="1" t="n">
        <v>45577</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71043-2021</t>
        </is>
      </c>
      <c r="B421" s="1" t="n">
        <v>44538</v>
      </c>
      <c r="C421" s="1" t="n">
        <v>45577</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71968-2021</t>
        </is>
      </c>
      <c r="B422" s="1" t="n">
        <v>44540</v>
      </c>
      <c r="C422" s="1" t="n">
        <v>45577</v>
      </c>
      <c r="D422" t="inlineStr">
        <is>
          <t>JÄMTLANDS LÄN</t>
        </is>
      </c>
      <c r="E422" t="inlineStr">
        <is>
          <t>ÅRE</t>
        </is>
      </c>
      <c r="G422" t="n">
        <v>7</v>
      </c>
      <c r="H422" t="n">
        <v>0</v>
      </c>
      <c r="I422" t="n">
        <v>0</v>
      </c>
      <c r="J422" t="n">
        <v>0</v>
      </c>
      <c r="K422" t="n">
        <v>0</v>
      </c>
      <c r="L422" t="n">
        <v>0</v>
      </c>
      <c r="M422" t="n">
        <v>0</v>
      </c>
      <c r="N422" t="n">
        <v>0</v>
      </c>
      <c r="O422" t="n">
        <v>0</v>
      </c>
      <c r="P422" t="n">
        <v>0</v>
      </c>
      <c r="Q422" t="n">
        <v>0</v>
      </c>
      <c r="R422" s="2" t="inlineStr"/>
    </row>
    <row r="423" ht="15" customHeight="1">
      <c r="A423" t="inlineStr">
        <is>
          <t>A 71900-2021</t>
        </is>
      </c>
      <c r="B423" s="1" t="n">
        <v>44543</v>
      </c>
      <c r="C423" s="1" t="n">
        <v>45577</v>
      </c>
      <c r="D423" t="inlineStr">
        <is>
          <t>JÄMTLANDS LÄN</t>
        </is>
      </c>
      <c r="E423" t="inlineStr">
        <is>
          <t>ÅRE</t>
        </is>
      </c>
      <c r="G423" t="n">
        <v>7.7</v>
      </c>
      <c r="H423" t="n">
        <v>0</v>
      </c>
      <c r="I423" t="n">
        <v>0</v>
      </c>
      <c r="J423" t="n">
        <v>0</v>
      </c>
      <c r="K423" t="n">
        <v>0</v>
      </c>
      <c r="L423" t="n">
        <v>0</v>
      </c>
      <c r="M423" t="n">
        <v>0</v>
      </c>
      <c r="N423" t="n">
        <v>0</v>
      </c>
      <c r="O423" t="n">
        <v>0</v>
      </c>
      <c r="P423" t="n">
        <v>0</v>
      </c>
      <c r="Q423" t="n">
        <v>0</v>
      </c>
      <c r="R423" s="2" t="inlineStr"/>
    </row>
    <row r="424" ht="15" customHeight="1">
      <c r="A424" t="inlineStr">
        <is>
          <t>A 72214-2021</t>
        </is>
      </c>
      <c r="B424" s="1" t="n">
        <v>44544</v>
      </c>
      <c r="C424" s="1" t="n">
        <v>45577</v>
      </c>
      <c r="D424" t="inlineStr">
        <is>
          <t>JÄMTLANDS LÄN</t>
        </is>
      </c>
      <c r="E424" t="inlineStr">
        <is>
          <t>ÅRE</t>
        </is>
      </c>
      <c r="G424" t="n">
        <v>14.1</v>
      </c>
      <c r="H424" t="n">
        <v>0</v>
      </c>
      <c r="I424" t="n">
        <v>0</v>
      </c>
      <c r="J424" t="n">
        <v>0</v>
      </c>
      <c r="K424" t="n">
        <v>0</v>
      </c>
      <c r="L424" t="n">
        <v>0</v>
      </c>
      <c r="M424" t="n">
        <v>0</v>
      </c>
      <c r="N424" t="n">
        <v>0</v>
      </c>
      <c r="O424" t="n">
        <v>0</v>
      </c>
      <c r="P424" t="n">
        <v>0</v>
      </c>
      <c r="Q424" t="n">
        <v>0</v>
      </c>
      <c r="R424" s="2" t="inlineStr"/>
    </row>
    <row r="425" ht="15" customHeight="1">
      <c r="A425" t="inlineStr">
        <is>
          <t>A 72215-2021</t>
        </is>
      </c>
      <c r="B425" s="1" t="n">
        <v>44544</v>
      </c>
      <c r="C425" s="1" t="n">
        <v>45577</v>
      </c>
      <c r="D425" t="inlineStr">
        <is>
          <t>JÄMTLANDS LÄN</t>
        </is>
      </c>
      <c r="E425" t="inlineStr">
        <is>
          <t>ÅRE</t>
        </is>
      </c>
      <c r="G425" t="n">
        <v>3.9</v>
      </c>
      <c r="H425" t="n">
        <v>0</v>
      </c>
      <c r="I425" t="n">
        <v>0</v>
      </c>
      <c r="J425" t="n">
        <v>0</v>
      </c>
      <c r="K425" t="n">
        <v>0</v>
      </c>
      <c r="L425" t="n">
        <v>0</v>
      </c>
      <c r="M425" t="n">
        <v>0</v>
      </c>
      <c r="N425" t="n">
        <v>0</v>
      </c>
      <c r="O425" t="n">
        <v>0</v>
      </c>
      <c r="P425" t="n">
        <v>0</v>
      </c>
      <c r="Q425" t="n">
        <v>0</v>
      </c>
      <c r="R425" s="2" t="inlineStr"/>
    </row>
    <row r="426" ht="15" customHeight="1">
      <c r="A426" t="inlineStr">
        <is>
          <t>A 73086-2021</t>
        </is>
      </c>
      <c r="B426" s="1" t="n">
        <v>44550</v>
      </c>
      <c r="C426" s="1" t="n">
        <v>45577</v>
      </c>
      <c r="D426" t="inlineStr">
        <is>
          <t>JÄMTLANDS LÄN</t>
        </is>
      </c>
      <c r="E426" t="inlineStr">
        <is>
          <t>ÅRE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73738-2021</t>
        </is>
      </c>
      <c r="B427" s="1" t="n">
        <v>44551</v>
      </c>
      <c r="C427" s="1" t="n">
        <v>45577</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73629-2021</t>
        </is>
      </c>
      <c r="B428" s="1" t="n">
        <v>44552</v>
      </c>
      <c r="C428" s="1" t="n">
        <v>45577</v>
      </c>
      <c r="D428" t="inlineStr">
        <is>
          <t>JÄMTLANDS LÄN</t>
        </is>
      </c>
      <c r="E428" t="inlineStr">
        <is>
          <t>ÅRE</t>
        </is>
      </c>
      <c r="G428" t="n">
        <v>1.1</v>
      </c>
      <c r="H428" t="n">
        <v>0</v>
      </c>
      <c r="I428" t="n">
        <v>0</v>
      </c>
      <c r="J428" t="n">
        <v>0</v>
      </c>
      <c r="K428" t="n">
        <v>0</v>
      </c>
      <c r="L428" t="n">
        <v>0</v>
      </c>
      <c r="M428" t="n">
        <v>0</v>
      </c>
      <c r="N428" t="n">
        <v>0</v>
      </c>
      <c r="O428" t="n">
        <v>0</v>
      </c>
      <c r="P428" t="n">
        <v>0</v>
      </c>
      <c r="Q428" t="n">
        <v>0</v>
      </c>
      <c r="R428" s="2" t="inlineStr"/>
    </row>
    <row r="429" ht="15" customHeight="1">
      <c r="A429" t="inlineStr">
        <is>
          <t>A 73800-2021</t>
        </is>
      </c>
      <c r="B429" s="1" t="n">
        <v>44552</v>
      </c>
      <c r="C429" s="1" t="n">
        <v>45577</v>
      </c>
      <c r="D429" t="inlineStr">
        <is>
          <t>JÄMTLANDS LÄN</t>
        </is>
      </c>
      <c r="E429" t="inlineStr">
        <is>
          <t>ÅRE</t>
        </is>
      </c>
      <c r="G429" t="n">
        <v>8.6</v>
      </c>
      <c r="H429" t="n">
        <v>0</v>
      </c>
      <c r="I429" t="n">
        <v>0</v>
      </c>
      <c r="J429" t="n">
        <v>0</v>
      </c>
      <c r="K429" t="n">
        <v>0</v>
      </c>
      <c r="L429" t="n">
        <v>0</v>
      </c>
      <c r="M429" t="n">
        <v>0</v>
      </c>
      <c r="N429" t="n">
        <v>0</v>
      </c>
      <c r="O429" t="n">
        <v>0</v>
      </c>
      <c r="P429" t="n">
        <v>0</v>
      </c>
      <c r="Q429" t="n">
        <v>0</v>
      </c>
      <c r="R429" s="2" t="inlineStr"/>
    </row>
    <row r="430" ht="15" customHeight="1">
      <c r="A430" t="inlineStr">
        <is>
          <t>A 73798-2021</t>
        </is>
      </c>
      <c r="B430" s="1" t="n">
        <v>44552</v>
      </c>
      <c r="C430" s="1" t="n">
        <v>45577</v>
      </c>
      <c r="D430" t="inlineStr">
        <is>
          <t>JÄMTLANDS LÄN</t>
        </is>
      </c>
      <c r="E430" t="inlineStr">
        <is>
          <t>ÅRE</t>
        </is>
      </c>
      <c r="G430" t="n">
        <v>2.5</v>
      </c>
      <c r="H430" t="n">
        <v>0</v>
      </c>
      <c r="I430" t="n">
        <v>0</v>
      </c>
      <c r="J430" t="n">
        <v>0</v>
      </c>
      <c r="K430" t="n">
        <v>0</v>
      </c>
      <c r="L430" t="n">
        <v>0</v>
      </c>
      <c r="M430" t="n">
        <v>0</v>
      </c>
      <c r="N430" t="n">
        <v>0</v>
      </c>
      <c r="O430" t="n">
        <v>0</v>
      </c>
      <c r="P430" t="n">
        <v>0</v>
      </c>
      <c r="Q430" t="n">
        <v>0</v>
      </c>
      <c r="R430" s="2" t="inlineStr"/>
    </row>
    <row r="431" ht="15" customHeight="1">
      <c r="A431" t="inlineStr">
        <is>
          <t>A 74046-2021</t>
        </is>
      </c>
      <c r="B431" s="1" t="n">
        <v>44553</v>
      </c>
      <c r="C431" s="1" t="n">
        <v>45577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911-2022</t>
        </is>
      </c>
      <c r="B432" s="1" t="n">
        <v>44570</v>
      </c>
      <c r="C432" s="1" t="n">
        <v>45577</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2230-2022</t>
        </is>
      </c>
      <c r="B433" s="1" t="n">
        <v>44578</v>
      </c>
      <c r="C433" s="1" t="n">
        <v>45577</v>
      </c>
      <c r="D433" t="inlineStr">
        <is>
          <t>JÄMTLANDS LÄN</t>
        </is>
      </c>
      <c r="E433" t="inlineStr">
        <is>
          <t>ÅRE</t>
        </is>
      </c>
      <c r="G433" t="n">
        <v>1.6</v>
      </c>
      <c r="H433" t="n">
        <v>0</v>
      </c>
      <c r="I433" t="n">
        <v>0</v>
      </c>
      <c r="J433" t="n">
        <v>0</v>
      </c>
      <c r="K433" t="n">
        <v>0</v>
      </c>
      <c r="L433" t="n">
        <v>0</v>
      </c>
      <c r="M433" t="n">
        <v>0</v>
      </c>
      <c r="N433" t="n">
        <v>0</v>
      </c>
      <c r="O433" t="n">
        <v>0</v>
      </c>
      <c r="P433" t="n">
        <v>0</v>
      </c>
      <c r="Q433" t="n">
        <v>0</v>
      </c>
      <c r="R433" s="2" t="inlineStr"/>
    </row>
    <row r="434" ht="15" customHeight="1">
      <c r="A434" t="inlineStr">
        <is>
          <t>A 2571-2022</t>
        </is>
      </c>
      <c r="B434" s="1" t="n">
        <v>44580</v>
      </c>
      <c r="C434" s="1" t="n">
        <v>45577</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5250-2022</t>
        </is>
      </c>
      <c r="B435" s="1" t="n">
        <v>44594</v>
      </c>
      <c r="C435" s="1" t="n">
        <v>45577</v>
      </c>
      <c r="D435" t="inlineStr">
        <is>
          <t>JÄMTLANDS LÄN</t>
        </is>
      </c>
      <c r="E435" t="inlineStr">
        <is>
          <t>ÅRE</t>
        </is>
      </c>
      <c r="G435" t="n">
        <v>2.1</v>
      </c>
      <c r="H435" t="n">
        <v>0</v>
      </c>
      <c r="I435" t="n">
        <v>0</v>
      </c>
      <c r="J435" t="n">
        <v>0</v>
      </c>
      <c r="K435" t="n">
        <v>0</v>
      </c>
      <c r="L435" t="n">
        <v>0</v>
      </c>
      <c r="M435" t="n">
        <v>0</v>
      </c>
      <c r="N435" t="n">
        <v>0</v>
      </c>
      <c r="O435" t="n">
        <v>0</v>
      </c>
      <c r="P435" t="n">
        <v>0</v>
      </c>
      <c r="Q435" t="n">
        <v>0</v>
      </c>
      <c r="R435" s="2" t="inlineStr"/>
    </row>
    <row r="436" ht="15" customHeight="1">
      <c r="A436" t="inlineStr">
        <is>
          <t>A 5923-2022</t>
        </is>
      </c>
      <c r="B436" s="1" t="n">
        <v>44598</v>
      </c>
      <c r="C436" s="1" t="n">
        <v>45577</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11112-2022</t>
        </is>
      </c>
      <c r="B437" s="1" t="n">
        <v>44628</v>
      </c>
      <c r="C437" s="1" t="n">
        <v>45577</v>
      </c>
      <c r="D437" t="inlineStr">
        <is>
          <t>JÄMTLANDS LÄN</t>
        </is>
      </c>
      <c r="E437" t="inlineStr">
        <is>
          <t>ÅRE</t>
        </is>
      </c>
      <c r="G437" t="n">
        <v>6.6</v>
      </c>
      <c r="H437" t="n">
        <v>0</v>
      </c>
      <c r="I437" t="n">
        <v>0</v>
      </c>
      <c r="J437" t="n">
        <v>0</v>
      </c>
      <c r="K437" t="n">
        <v>0</v>
      </c>
      <c r="L437" t="n">
        <v>0</v>
      </c>
      <c r="M437" t="n">
        <v>0</v>
      </c>
      <c r="N437" t="n">
        <v>0</v>
      </c>
      <c r="O437" t="n">
        <v>0</v>
      </c>
      <c r="P437" t="n">
        <v>0</v>
      </c>
      <c r="Q437" t="n">
        <v>0</v>
      </c>
      <c r="R437" s="2" t="inlineStr"/>
    </row>
    <row r="438" ht="15" customHeight="1">
      <c r="A438" t="inlineStr">
        <is>
          <t>A 11500-2022</t>
        </is>
      </c>
      <c r="B438" s="1" t="n">
        <v>44631</v>
      </c>
      <c r="C438" s="1" t="n">
        <v>45577</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13383-2022</t>
        </is>
      </c>
      <c r="B439" s="1" t="n">
        <v>44637</v>
      </c>
      <c r="C439" s="1" t="n">
        <v>45577</v>
      </c>
      <c r="D439" t="inlineStr">
        <is>
          <t>JÄMTLANDS LÄN</t>
        </is>
      </c>
      <c r="E439" t="inlineStr">
        <is>
          <t>ÅRE</t>
        </is>
      </c>
      <c r="G439" t="n">
        <v>2.2</v>
      </c>
      <c r="H439" t="n">
        <v>0</v>
      </c>
      <c r="I439" t="n">
        <v>0</v>
      </c>
      <c r="J439" t="n">
        <v>0</v>
      </c>
      <c r="K439" t="n">
        <v>0</v>
      </c>
      <c r="L439" t="n">
        <v>0</v>
      </c>
      <c r="M439" t="n">
        <v>0</v>
      </c>
      <c r="N439" t="n">
        <v>0</v>
      </c>
      <c r="O439" t="n">
        <v>0</v>
      </c>
      <c r="P439" t="n">
        <v>0</v>
      </c>
      <c r="Q439" t="n">
        <v>0</v>
      </c>
      <c r="R439" s="2" t="inlineStr"/>
    </row>
    <row r="440" ht="15" customHeight="1">
      <c r="A440" t="inlineStr">
        <is>
          <t>A 13221-2022</t>
        </is>
      </c>
      <c r="B440" s="1" t="n">
        <v>44644</v>
      </c>
      <c r="C440" s="1" t="n">
        <v>45577</v>
      </c>
      <c r="D440" t="inlineStr">
        <is>
          <t>JÄMTLANDS LÄN</t>
        </is>
      </c>
      <c r="E440" t="inlineStr">
        <is>
          <t>ÅRE</t>
        </is>
      </c>
      <c r="F440" t="inlineStr">
        <is>
          <t>Övriga Aktiebolag</t>
        </is>
      </c>
      <c r="G440" t="n">
        <v>13.7</v>
      </c>
      <c r="H440" t="n">
        <v>0</v>
      </c>
      <c r="I440" t="n">
        <v>0</v>
      </c>
      <c r="J440" t="n">
        <v>0</v>
      </c>
      <c r="K440" t="n">
        <v>0</v>
      </c>
      <c r="L440" t="n">
        <v>0</v>
      </c>
      <c r="M440" t="n">
        <v>0</v>
      </c>
      <c r="N440" t="n">
        <v>0</v>
      </c>
      <c r="O440" t="n">
        <v>0</v>
      </c>
      <c r="P440" t="n">
        <v>0</v>
      </c>
      <c r="Q440" t="n">
        <v>0</v>
      </c>
      <c r="R440" s="2" t="inlineStr"/>
    </row>
    <row r="441" ht="15" customHeight="1">
      <c r="A441" t="inlineStr">
        <is>
          <t>A 13324-2022</t>
        </is>
      </c>
      <c r="B441" s="1" t="n">
        <v>44645</v>
      </c>
      <c r="C441" s="1" t="n">
        <v>45577</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18443-2022</t>
        </is>
      </c>
      <c r="B442" s="1" t="n">
        <v>44686</v>
      </c>
      <c r="C442" s="1" t="n">
        <v>45577</v>
      </c>
      <c r="D442" t="inlineStr">
        <is>
          <t>JÄMTLANDS LÄN</t>
        </is>
      </c>
      <c r="E442" t="inlineStr">
        <is>
          <t>ÅRE</t>
        </is>
      </c>
      <c r="G442" t="n">
        <v>5.1</v>
      </c>
      <c r="H442" t="n">
        <v>0</v>
      </c>
      <c r="I442" t="n">
        <v>0</v>
      </c>
      <c r="J442" t="n">
        <v>0</v>
      </c>
      <c r="K442" t="n">
        <v>0</v>
      </c>
      <c r="L442" t="n">
        <v>0</v>
      </c>
      <c r="M442" t="n">
        <v>0</v>
      </c>
      <c r="N442" t="n">
        <v>0</v>
      </c>
      <c r="O442" t="n">
        <v>0</v>
      </c>
      <c r="P442" t="n">
        <v>0</v>
      </c>
      <c r="Q442" t="n">
        <v>0</v>
      </c>
      <c r="R442" s="2" t="inlineStr"/>
    </row>
    <row r="443" ht="15" customHeight="1">
      <c r="A443" t="inlineStr">
        <is>
          <t>A 18849-2022</t>
        </is>
      </c>
      <c r="B443" s="1" t="n">
        <v>44690</v>
      </c>
      <c r="C443" s="1" t="n">
        <v>45577</v>
      </c>
      <c r="D443" t="inlineStr">
        <is>
          <t>JÄMTLANDS LÄN</t>
        </is>
      </c>
      <c r="E443" t="inlineStr">
        <is>
          <t>ÅRE</t>
        </is>
      </c>
      <c r="G443" t="n">
        <v>12.8</v>
      </c>
      <c r="H443" t="n">
        <v>0</v>
      </c>
      <c r="I443" t="n">
        <v>0</v>
      </c>
      <c r="J443" t="n">
        <v>0</v>
      </c>
      <c r="K443" t="n">
        <v>0</v>
      </c>
      <c r="L443" t="n">
        <v>0</v>
      </c>
      <c r="M443" t="n">
        <v>0</v>
      </c>
      <c r="N443" t="n">
        <v>0</v>
      </c>
      <c r="O443" t="n">
        <v>0</v>
      </c>
      <c r="P443" t="n">
        <v>0</v>
      </c>
      <c r="Q443" t="n">
        <v>0</v>
      </c>
      <c r="R443" s="2" t="inlineStr"/>
    </row>
    <row r="444" ht="15" customHeight="1">
      <c r="A444" t="inlineStr">
        <is>
          <t>A 20827-2022</t>
        </is>
      </c>
      <c r="B444" s="1" t="n">
        <v>44700</v>
      </c>
      <c r="C444" s="1" t="n">
        <v>45577</v>
      </c>
      <c r="D444" t="inlineStr">
        <is>
          <t>JÄMTLANDS LÄN</t>
        </is>
      </c>
      <c r="E444" t="inlineStr">
        <is>
          <t>ÅRE</t>
        </is>
      </c>
      <c r="G444" t="n">
        <v>2.6</v>
      </c>
      <c r="H444" t="n">
        <v>0</v>
      </c>
      <c r="I444" t="n">
        <v>0</v>
      </c>
      <c r="J444" t="n">
        <v>0</v>
      </c>
      <c r="K444" t="n">
        <v>0</v>
      </c>
      <c r="L444" t="n">
        <v>0</v>
      </c>
      <c r="M444" t="n">
        <v>0</v>
      </c>
      <c r="N444" t="n">
        <v>0</v>
      </c>
      <c r="O444" t="n">
        <v>0</v>
      </c>
      <c r="P444" t="n">
        <v>0</v>
      </c>
      <c r="Q444" t="n">
        <v>0</v>
      </c>
      <c r="R444" s="2" t="inlineStr"/>
    </row>
    <row r="445" ht="15" customHeight="1">
      <c r="A445" t="inlineStr">
        <is>
          <t>A 20816-2022</t>
        </is>
      </c>
      <c r="B445" s="1" t="n">
        <v>44700</v>
      </c>
      <c r="C445" s="1" t="n">
        <v>45577</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21464-2022</t>
        </is>
      </c>
      <c r="B446" s="1" t="n">
        <v>44706</v>
      </c>
      <c r="C446" s="1" t="n">
        <v>45577</v>
      </c>
      <c r="D446" t="inlineStr">
        <is>
          <t>JÄMTLANDS LÄN</t>
        </is>
      </c>
      <c r="E446" t="inlineStr">
        <is>
          <t>ÅRE</t>
        </is>
      </c>
      <c r="G446" t="n">
        <v>10.9</v>
      </c>
      <c r="H446" t="n">
        <v>0</v>
      </c>
      <c r="I446" t="n">
        <v>0</v>
      </c>
      <c r="J446" t="n">
        <v>0</v>
      </c>
      <c r="K446" t="n">
        <v>0</v>
      </c>
      <c r="L446" t="n">
        <v>0</v>
      </c>
      <c r="M446" t="n">
        <v>0</v>
      </c>
      <c r="N446" t="n">
        <v>0</v>
      </c>
      <c r="O446" t="n">
        <v>0</v>
      </c>
      <c r="P446" t="n">
        <v>0</v>
      </c>
      <c r="Q446" t="n">
        <v>0</v>
      </c>
      <c r="R446" s="2" t="inlineStr"/>
    </row>
    <row r="447" ht="15" customHeight="1">
      <c r="A447" t="inlineStr">
        <is>
          <t>A 22473-2022</t>
        </is>
      </c>
      <c r="B447" s="1" t="n">
        <v>44713</v>
      </c>
      <c r="C447" s="1" t="n">
        <v>45577</v>
      </c>
      <c r="D447" t="inlineStr">
        <is>
          <t>JÄMTLANDS LÄN</t>
        </is>
      </c>
      <c r="E447" t="inlineStr">
        <is>
          <t>ÅRE</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23117-2022</t>
        </is>
      </c>
      <c r="B448" s="1" t="n">
        <v>44719</v>
      </c>
      <c r="C448" s="1" t="n">
        <v>45577</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23118-2022</t>
        </is>
      </c>
      <c r="B449" s="1" t="n">
        <v>44719</v>
      </c>
      <c r="C449" s="1" t="n">
        <v>45577</v>
      </c>
      <c r="D449" t="inlineStr">
        <is>
          <t>JÄMTLANDS LÄN</t>
        </is>
      </c>
      <c r="E449" t="inlineStr">
        <is>
          <t>ÅRE</t>
        </is>
      </c>
      <c r="G449" t="n">
        <v>3.5</v>
      </c>
      <c r="H449" t="n">
        <v>0</v>
      </c>
      <c r="I449" t="n">
        <v>0</v>
      </c>
      <c r="J449" t="n">
        <v>0</v>
      </c>
      <c r="K449" t="n">
        <v>0</v>
      </c>
      <c r="L449" t="n">
        <v>0</v>
      </c>
      <c r="M449" t="n">
        <v>0</v>
      </c>
      <c r="N449" t="n">
        <v>0</v>
      </c>
      <c r="O449" t="n">
        <v>0</v>
      </c>
      <c r="P449" t="n">
        <v>0</v>
      </c>
      <c r="Q449" t="n">
        <v>0</v>
      </c>
      <c r="R449" s="2" t="inlineStr"/>
    </row>
    <row r="450" ht="15" customHeight="1">
      <c r="A450" t="inlineStr">
        <is>
          <t>A 24539-2022</t>
        </is>
      </c>
      <c r="B450" s="1" t="n">
        <v>44727</v>
      </c>
      <c r="C450" s="1" t="n">
        <v>45577</v>
      </c>
      <c r="D450" t="inlineStr">
        <is>
          <t>JÄMTLANDS LÄN</t>
        </is>
      </c>
      <c r="E450" t="inlineStr">
        <is>
          <t>ÅRE</t>
        </is>
      </c>
      <c r="G450" t="n">
        <v>0.3</v>
      </c>
      <c r="H450" t="n">
        <v>0</v>
      </c>
      <c r="I450" t="n">
        <v>0</v>
      </c>
      <c r="J450" t="n">
        <v>0</v>
      </c>
      <c r="K450" t="n">
        <v>0</v>
      </c>
      <c r="L450" t="n">
        <v>0</v>
      </c>
      <c r="M450" t="n">
        <v>0</v>
      </c>
      <c r="N450" t="n">
        <v>0</v>
      </c>
      <c r="O450" t="n">
        <v>0</v>
      </c>
      <c r="P450" t="n">
        <v>0</v>
      </c>
      <c r="Q450" t="n">
        <v>0</v>
      </c>
      <c r="R450" s="2" t="inlineStr"/>
    </row>
    <row r="451" ht="15" customHeight="1">
      <c r="A451" t="inlineStr">
        <is>
          <t>A 25122-2022</t>
        </is>
      </c>
      <c r="B451" s="1" t="n">
        <v>44729</v>
      </c>
      <c r="C451" s="1" t="n">
        <v>45577</v>
      </c>
      <c r="D451" t="inlineStr">
        <is>
          <t>JÄMTLANDS LÄN</t>
        </is>
      </c>
      <c r="E451" t="inlineStr">
        <is>
          <t>ÅRE</t>
        </is>
      </c>
      <c r="G451" t="n">
        <v>0.3</v>
      </c>
      <c r="H451" t="n">
        <v>0</v>
      </c>
      <c r="I451" t="n">
        <v>0</v>
      </c>
      <c r="J451" t="n">
        <v>0</v>
      </c>
      <c r="K451" t="n">
        <v>0</v>
      </c>
      <c r="L451" t="n">
        <v>0</v>
      </c>
      <c r="M451" t="n">
        <v>0</v>
      </c>
      <c r="N451" t="n">
        <v>0</v>
      </c>
      <c r="O451" t="n">
        <v>0</v>
      </c>
      <c r="P451" t="n">
        <v>0</v>
      </c>
      <c r="Q451" t="n">
        <v>0</v>
      </c>
      <c r="R451" s="2" t="inlineStr"/>
    </row>
    <row r="452" ht="15" customHeight="1">
      <c r="A452" t="inlineStr">
        <is>
          <t>A 25248-2022</t>
        </is>
      </c>
      <c r="B452" s="1" t="n">
        <v>44729</v>
      </c>
      <c r="C452" s="1" t="n">
        <v>45577</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26533-2022</t>
        </is>
      </c>
      <c r="B453" s="1" t="n">
        <v>44739</v>
      </c>
      <c r="C453" s="1" t="n">
        <v>45577</v>
      </c>
      <c r="D453" t="inlineStr">
        <is>
          <t>JÄMTLANDS LÄN</t>
        </is>
      </c>
      <c r="E453" t="inlineStr">
        <is>
          <t>ÅRE</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26546-2022</t>
        </is>
      </c>
      <c r="B454" s="1" t="n">
        <v>44739</v>
      </c>
      <c r="C454" s="1" t="n">
        <v>45577</v>
      </c>
      <c r="D454" t="inlineStr">
        <is>
          <t>JÄMTLANDS LÄN</t>
        </is>
      </c>
      <c r="E454" t="inlineStr">
        <is>
          <t>ÅRE</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27805-2022</t>
        </is>
      </c>
      <c r="B455" s="1" t="n">
        <v>44743</v>
      </c>
      <c r="C455" s="1" t="n">
        <v>45577</v>
      </c>
      <c r="D455" t="inlineStr">
        <is>
          <t>JÄMTLANDS LÄN</t>
        </is>
      </c>
      <c r="E455" t="inlineStr">
        <is>
          <t>ÅRE</t>
        </is>
      </c>
      <c r="G455" t="n">
        <v>106.2</v>
      </c>
      <c r="H455" t="n">
        <v>0</v>
      </c>
      <c r="I455" t="n">
        <v>0</v>
      </c>
      <c r="J455" t="n">
        <v>0</v>
      </c>
      <c r="K455" t="n">
        <v>0</v>
      </c>
      <c r="L455" t="n">
        <v>0</v>
      </c>
      <c r="M455" t="n">
        <v>0</v>
      </c>
      <c r="N455" t="n">
        <v>0</v>
      </c>
      <c r="O455" t="n">
        <v>0</v>
      </c>
      <c r="P455" t="n">
        <v>0</v>
      </c>
      <c r="Q455" t="n">
        <v>0</v>
      </c>
      <c r="R455" s="2" t="inlineStr"/>
    </row>
    <row r="456" ht="15" customHeight="1">
      <c r="A456" t="inlineStr">
        <is>
          <t>A 29385-2022</t>
        </is>
      </c>
      <c r="B456" s="1" t="n">
        <v>44753</v>
      </c>
      <c r="C456" s="1" t="n">
        <v>45577</v>
      </c>
      <c r="D456" t="inlineStr">
        <is>
          <t>JÄMTLANDS LÄN</t>
        </is>
      </c>
      <c r="E456" t="inlineStr">
        <is>
          <t>ÅRE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29383-2022</t>
        </is>
      </c>
      <c r="B457" s="1" t="n">
        <v>44753</v>
      </c>
      <c r="C457" s="1" t="n">
        <v>45577</v>
      </c>
      <c r="D457" t="inlineStr">
        <is>
          <t>JÄMTLANDS LÄN</t>
        </is>
      </c>
      <c r="E457" t="inlineStr">
        <is>
          <t>ÅRE</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31776-2022</t>
        </is>
      </c>
      <c r="B458" s="1" t="n">
        <v>44776</v>
      </c>
      <c r="C458" s="1" t="n">
        <v>45577</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32212-2022</t>
        </is>
      </c>
      <c r="B459" s="1" t="n">
        <v>44781</v>
      </c>
      <c r="C459" s="1" t="n">
        <v>45577</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32210-2022</t>
        </is>
      </c>
      <c r="B460" s="1" t="n">
        <v>44781</v>
      </c>
      <c r="C460" s="1" t="n">
        <v>45577</v>
      </c>
      <c r="D460" t="inlineStr">
        <is>
          <t>JÄMTLANDS LÄN</t>
        </is>
      </c>
      <c r="E460" t="inlineStr">
        <is>
          <t>ÅRE</t>
        </is>
      </c>
      <c r="G460" t="n">
        <v>17.3</v>
      </c>
      <c r="H460" t="n">
        <v>0</v>
      </c>
      <c r="I460" t="n">
        <v>0</v>
      </c>
      <c r="J460" t="n">
        <v>0</v>
      </c>
      <c r="K460" t="n">
        <v>0</v>
      </c>
      <c r="L460" t="n">
        <v>0</v>
      </c>
      <c r="M460" t="n">
        <v>0</v>
      </c>
      <c r="N460" t="n">
        <v>0</v>
      </c>
      <c r="O460" t="n">
        <v>0</v>
      </c>
      <c r="P460" t="n">
        <v>0</v>
      </c>
      <c r="Q460" t="n">
        <v>0</v>
      </c>
      <c r="R460" s="2" t="inlineStr"/>
    </row>
    <row r="461" ht="15" customHeight="1">
      <c r="A461" t="inlineStr">
        <is>
          <t>A 32758-2022</t>
        </is>
      </c>
      <c r="B461" s="1" t="n">
        <v>44783</v>
      </c>
      <c r="C461" s="1" t="n">
        <v>45577</v>
      </c>
      <c r="D461" t="inlineStr">
        <is>
          <t>JÄMTLANDS LÄN</t>
        </is>
      </c>
      <c r="E461" t="inlineStr">
        <is>
          <t>ÅRE</t>
        </is>
      </c>
      <c r="G461" t="n">
        <v>8.4</v>
      </c>
      <c r="H461" t="n">
        <v>0</v>
      </c>
      <c r="I461" t="n">
        <v>0</v>
      </c>
      <c r="J461" t="n">
        <v>0</v>
      </c>
      <c r="K461" t="n">
        <v>0</v>
      </c>
      <c r="L461" t="n">
        <v>0</v>
      </c>
      <c r="M461" t="n">
        <v>0</v>
      </c>
      <c r="N461" t="n">
        <v>0</v>
      </c>
      <c r="O461" t="n">
        <v>0</v>
      </c>
      <c r="P461" t="n">
        <v>0</v>
      </c>
      <c r="Q461" t="n">
        <v>0</v>
      </c>
      <c r="R461" s="2" t="inlineStr"/>
    </row>
    <row r="462" ht="15" customHeight="1">
      <c r="A462" t="inlineStr">
        <is>
          <t>A 33023-2022</t>
        </is>
      </c>
      <c r="B462" s="1" t="n">
        <v>44784</v>
      </c>
      <c r="C462" s="1" t="n">
        <v>45577</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33003-2022</t>
        </is>
      </c>
      <c r="B463" s="1" t="n">
        <v>44784</v>
      </c>
      <c r="C463" s="1" t="n">
        <v>45577</v>
      </c>
      <c r="D463" t="inlineStr">
        <is>
          <t>JÄMTLANDS LÄN</t>
        </is>
      </c>
      <c r="E463" t="inlineStr">
        <is>
          <t>ÅRE</t>
        </is>
      </c>
      <c r="G463" t="n">
        <v>6.1</v>
      </c>
      <c r="H463" t="n">
        <v>0</v>
      </c>
      <c r="I463" t="n">
        <v>0</v>
      </c>
      <c r="J463" t="n">
        <v>0</v>
      </c>
      <c r="K463" t="n">
        <v>0</v>
      </c>
      <c r="L463" t="n">
        <v>0</v>
      </c>
      <c r="M463" t="n">
        <v>0</v>
      </c>
      <c r="N463" t="n">
        <v>0</v>
      </c>
      <c r="O463" t="n">
        <v>0</v>
      </c>
      <c r="P463" t="n">
        <v>0</v>
      </c>
      <c r="Q463" t="n">
        <v>0</v>
      </c>
      <c r="R463" s="2" t="inlineStr"/>
    </row>
    <row r="464" ht="15" customHeight="1">
      <c r="A464" t="inlineStr">
        <is>
          <t>A 33015-2022</t>
        </is>
      </c>
      <c r="B464" s="1" t="n">
        <v>44784</v>
      </c>
      <c r="C464" s="1" t="n">
        <v>45577</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33479-2022</t>
        </is>
      </c>
      <c r="B465" s="1" t="n">
        <v>44788</v>
      </c>
      <c r="C465" s="1" t="n">
        <v>45577</v>
      </c>
      <c r="D465" t="inlineStr">
        <is>
          <t>JÄMTLANDS LÄN</t>
        </is>
      </c>
      <c r="E465" t="inlineStr">
        <is>
          <t>ÅRE</t>
        </is>
      </c>
      <c r="F465" t="inlineStr">
        <is>
          <t>Sveaskog</t>
        </is>
      </c>
      <c r="G465" t="n">
        <v>5.3</v>
      </c>
      <c r="H465" t="n">
        <v>0</v>
      </c>
      <c r="I465" t="n">
        <v>0</v>
      </c>
      <c r="J465" t="n">
        <v>0</v>
      </c>
      <c r="K465" t="n">
        <v>0</v>
      </c>
      <c r="L465" t="n">
        <v>0</v>
      </c>
      <c r="M465" t="n">
        <v>0</v>
      </c>
      <c r="N465" t="n">
        <v>0</v>
      </c>
      <c r="O465" t="n">
        <v>0</v>
      </c>
      <c r="P465" t="n">
        <v>0</v>
      </c>
      <c r="Q465" t="n">
        <v>0</v>
      </c>
      <c r="R465" s="2" t="inlineStr"/>
    </row>
    <row r="466" ht="15" customHeight="1">
      <c r="A466" t="inlineStr">
        <is>
          <t>A 33480-2022</t>
        </is>
      </c>
      <c r="B466" s="1" t="n">
        <v>44788</v>
      </c>
      <c r="C466" s="1" t="n">
        <v>45577</v>
      </c>
      <c r="D466" t="inlineStr">
        <is>
          <t>JÄMTLANDS LÄN</t>
        </is>
      </c>
      <c r="E466" t="inlineStr">
        <is>
          <t>ÅRE</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33625-2022</t>
        </is>
      </c>
      <c r="B467" s="1" t="n">
        <v>44789</v>
      </c>
      <c r="C467" s="1" t="n">
        <v>45577</v>
      </c>
      <c r="D467" t="inlineStr">
        <is>
          <t>JÄMTLANDS LÄN</t>
        </is>
      </c>
      <c r="E467" t="inlineStr">
        <is>
          <t>ÅRE</t>
        </is>
      </c>
      <c r="G467" t="n">
        <v>20.7</v>
      </c>
      <c r="H467" t="n">
        <v>0</v>
      </c>
      <c r="I467" t="n">
        <v>0</v>
      </c>
      <c r="J467" t="n">
        <v>0</v>
      </c>
      <c r="K467" t="n">
        <v>0</v>
      </c>
      <c r="L467" t="n">
        <v>0</v>
      </c>
      <c r="M467" t="n">
        <v>0</v>
      </c>
      <c r="N467" t="n">
        <v>0</v>
      </c>
      <c r="O467" t="n">
        <v>0</v>
      </c>
      <c r="P467" t="n">
        <v>0</v>
      </c>
      <c r="Q467" t="n">
        <v>0</v>
      </c>
      <c r="R467" s="2" t="inlineStr"/>
    </row>
    <row r="468" ht="15" customHeight="1">
      <c r="A468" t="inlineStr">
        <is>
          <t>A 33565-2022</t>
        </is>
      </c>
      <c r="B468" s="1" t="n">
        <v>44789</v>
      </c>
      <c r="C468" s="1" t="n">
        <v>45577</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34033-2022</t>
        </is>
      </c>
      <c r="B469" s="1" t="n">
        <v>44790</v>
      </c>
      <c r="C469" s="1" t="n">
        <v>45577</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34916-2022</t>
        </is>
      </c>
      <c r="B470" s="1" t="n">
        <v>44796</v>
      </c>
      <c r="C470" s="1" t="n">
        <v>45577</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36219-2022</t>
        </is>
      </c>
      <c r="B471" s="1" t="n">
        <v>44803</v>
      </c>
      <c r="C471" s="1" t="n">
        <v>45577</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37645-2022</t>
        </is>
      </c>
      <c r="B472" s="1" t="n">
        <v>44810</v>
      </c>
      <c r="C472" s="1" t="n">
        <v>45577</v>
      </c>
      <c r="D472" t="inlineStr">
        <is>
          <t>JÄMTLANDS LÄN</t>
        </is>
      </c>
      <c r="E472" t="inlineStr">
        <is>
          <t>ÅRE</t>
        </is>
      </c>
      <c r="G472" t="n">
        <v>5.3</v>
      </c>
      <c r="H472" t="n">
        <v>0</v>
      </c>
      <c r="I472" t="n">
        <v>0</v>
      </c>
      <c r="J472" t="n">
        <v>0</v>
      </c>
      <c r="K472" t="n">
        <v>0</v>
      </c>
      <c r="L472" t="n">
        <v>0</v>
      </c>
      <c r="M472" t="n">
        <v>0</v>
      </c>
      <c r="N472" t="n">
        <v>0</v>
      </c>
      <c r="O472" t="n">
        <v>0</v>
      </c>
      <c r="P472" t="n">
        <v>0</v>
      </c>
      <c r="Q472" t="n">
        <v>0</v>
      </c>
      <c r="R472" s="2" t="inlineStr"/>
    </row>
    <row r="473" ht="15" customHeight="1">
      <c r="A473" t="inlineStr">
        <is>
          <t>A 38265-2022</t>
        </is>
      </c>
      <c r="B473" s="1" t="n">
        <v>44812</v>
      </c>
      <c r="C473" s="1" t="n">
        <v>45577</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40159-2022</t>
        </is>
      </c>
      <c r="B474" s="1" t="n">
        <v>44818</v>
      </c>
      <c r="C474" s="1" t="n">
        <v>45577</v>
      </c>
      <c r="D474" t="inlineStr">
        <is>
          <t>JÄMTLANDS LÄN</t>
        </is>
      </c>
      <c r="E474" t="inlineStr">
        <is>
          <t>ÅRE</t>
        </is>
      </c>
      <c r="G474" t="n">
        <v>1.9</v>
      </c>
      <c r="H474" t="n">
        <v>0</v>
      </c>
      <c r="I474" t="n">
        <v>0</v>
      </c>
      <c r="J474" t="n">
        <v>0</v>
      </c>
      <c r="K474" t="n">
        <v>0</v>
      </c>
      <c r="L474" t="n">
        <v>0</v>
      </c>
      <c r="M474" t="n">
        <v>0</v>
      </c>
      <c r="N474" t="n">
        <v>0</v>
      </c>
      <c r="O474" t="n">
        <v>0</v>
      </c>
      <c r="P474" t="n">
        <v>0</v>
      </c>
      <c r="Q474" t="n">
        <v>0</v>
      </c>
      <c r="R474" s="2" t="inlineStr"/>
    </row>
    <row r="475" ht="15" customHeight="1">
      <c r="A475" t="inlineStr">
        <is>
          <t>A 40653-2022</t>
        </is>
      </c>
      <c r="B475" s="1" t="n">
        <v>44818</v>
      </c>
      <c r="C475" s="1" t="n">
        <v>45577</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39713-2022</t>
        </is>
      </c>
      <c r="B476" s="1" t="n">
        <v>44819</v>
      </c>
      <c r="C476" s="1" t="n">
        <v>45577</v>
      </c>
      <c r="D476" t="inlineStr">
        <is>
          <t>JÄMTLANDS LÄN</t>
        </is>
      </c>
      <c r="E476" t="inlineStr">
        <is>
          <t>ÅRE</t>
        </is>
      </c>
      <c r="G476" t="n">
        <v>10.4</v>
      </c>
      <c r="H476" t="n">
        <v>0</v>
      </c>
      <c r="I476" t="n">
        <v>0</v>
      </c>
      <c r="J476" t="n">
        <v>0</v>
      </c>
      <c r="K476" t="n">
        <v>0</v>
      </c>
      <c r="L476" t="n">
        <v>0</v>
      </c>
      <c r="M476" t="n">
        <v>0</v>
      </c>
      <c r="N476" t="n">
        <v>0</v>
      </c>
      <c r="O476" t="n">
        <v>0</v>
      </c>
      <c r="P476" t="n">
        <v>0</v>
      </c>
      <c r="Q476" t="n">
        <v>0</v>
      </c>
      <c r="R476" s="2" t="inlineStr"/>
    </row>
    <row r="477" ht="15" customHeight="1">
      <c r="A477" t="inlineStr">
        <is>
          <t>A 41015-2022</t>
        </is>
      </c>
      <c r="B477" s="1" t="n">
        <v>44820</v>
      </c>
      <c r="C477" s="1" t="n">
        <v>45577</v>
      </c>
      <c r="D477" t="inlineStr">
        <is>
          <t>JÄMTLANDS LÄN</t>
        </is>
      </c>
      <c r="E477" t="inlineStr">
        <is>
          <t>ÅRE</t>
        </is>
      </c>
      <c r="F477" t="inlineStr">
        <is>
          <t>Övriga statliga verk och myndigheter</t>
        </is>
      </c>
      <c r="G477" t="n">
        <v>8</v>
      </c>
      <c r="H477" t="n">
        <v>0</v>
      </c>
      <c r="I477" t="n">
        <v>0</v>
      </c>
      <c r="J477" t="n">
        <v>0</v>
      </c>
      <c r="K477" t="n">
        <v>0</v>
      </c>
      <c r="L477" t="n">
        <v>0</v>
      </c>
      <c r="M477" t="n">
        <v>0</v>
      </c>
      <c r="N477" t="n">
        <v>0</v>
      </c>
      <c r="O477" t="n">
        <v>0</v>
      </c>
      <c r="P477" t="n">
        <v>0</v>
      </c>
      <c r="Q477" t="n">
        <v>0</v>
      </c>
      <c r="R477" s="2" t="inlineStr"/>
    </row>
    <row r="478" ht="15" customHeight="1">
      <c r="A478" t="inlineStr">
        <is>
          <t>A 41162-2022</t>
        </is>
      </c>
      <c r="B478" s="1" t="n">
        <v>44825</v>
      </c>
      <c r="C478" s="1" t="n">
        <v>45577</v>
      </c>
      <c r="D478" t="inlineStr">
        <is>
          <t>JÄMTLANDS LÄN</t>
        </is>
      </c>
      <c r="E478" t="inlineStr">
        <is>
          <t>ÅRE</t>
        </is>
      </c>
      <c r="G478" t="n">
        <v>11.3</v>
      </c>
      <c r="H478" t="n">
        <v>0</v>
      </c>
      <c r="I478" t="n">
        <v>0</v>
      </c>
      <c r="J478" t="n">
        <v>0</v>
      </c>
      <c r="K478" t="n">
        <v>0</v>
      </c>
      <c r="L478" t="n">
        <v>0</v>
      </c>
      <c r="M478" t="n">
        <v>0</v>
      </c>
      <c r="N478" t="n">
        <v>0</v>
      </c>
      <c r="O478" t="n">
        <v>0</v>
      </c>
      <c r="P478" t="n">
        <v>0</v>
      </c>
      <c r="Q478" t="n">
        <v>0</v>
      </c>
      <c r="R478" s="2" t="inlineStr"/>
    </row>
    <row r="479" ht="15" customHeight="1">
      <c r="A479" t="inlineStr">
        <is>
          <t>A 41655-2022</t>
        </is>
      </c>
      <c r="B479" s="1" t="n">
        <v>44827</v>
      </c>
      <c r="C479" s="1" t="n">
        <v>45577</v>
      </c>
      <c r="D479" t="inlineStr">
        <is>
          <t>JÄMTLANDS LÄN</t>
        </is>
      </c>
      <c r="E479" t="inlineStr">
        <is>
          <t>ÅRE</t>
        </is>
      </c>
      <c r="G479" t="n">
        <v>2.4</v>
      </c>
      <c r="H479" t="n">
        <v>0</v>
      </c>
      <c r="I479" t="n">
        <v>0</v>
      </c>
      <c r="J479" t="n">
        <v>0</v>
      </c>
      <c r="K479" t="n">
        <v>0</v>
      </c>
      <c r="L479" t="n">
        <v>0</v>
      </c>
      <c r="M479" t="n">
        <v>0</v>
      </c>
      <c r="N479" t="n">
        <v>0</v>
      </c>
      <c r="O479" t="n">
        <v>0</v>
      </c>
      <c r="P479" t="n">
        <v>0</v>
      </c>
      <c r="Q479" t="n">
        <v>0</v>
      </c>
      <c r="R479" s="2" t="inlineStr"/>
    </row>
    <row r="480" ht="15" customHeight="1">
      <c r="A480" t="inlineStr">
        <is>
          <t>A 41654-2022</t>
        </is>
      </c>
      <c r="B480" s="1" t="n">
        <v>44827</v>
      </c>
      <c r="C480" s="1" t="n">
        <v>45577</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41657-2022</t>
        </is>
      </c>
      <c r="B481" s="1" t="n">
        <v>44827</v>
      </c>
      <c r="C481" s="1" t="n">
        <v>45577</v>
      </c>
      <c r="D481" t="inlineStr">
        <is>
          <t>JÄMTLANDS LÄN</t>
        </is>
      </c>
      <c r="E481" t="inlineStr">
        <is>
          <t>ÅRE</t>
        </is>
      </c>
      <c r="G481" t="n">
        <v>2.4</v>
      </c>
      <c r="H481" t="n">
        <v>0</v>
      </c>
      <c r="I481" t="n">
        <v>0</v>
      </c>
      <c r="J481" t="n">
        <v>0</v>
      </c>
      <c r="K481" t="n">
        <v>0</v>
      </c>
      <c r="L481" t="n">
        <v>0</v>
      </c>
      <c r="M481" t="n">
        <v>0</v>
      </c>
      <c r="N481" t="n">
        <v>0</v>
      </c>
      <c r="O481" t="n">
        <v>0</v>
      </c>
      <c r="P481" t="n">
        <v>0</v>
      </c>
      <c r="Q481" t="n">
        <v>0</v>
      </c>
      <c r="R481" s="2" t="inlineStr"/>
    </row>
    <row r="482" ht="15" customHeight="1">
      <c r="A482" t="inlineStr">
        <is>
          <t>A 42136-2022</t>
        </is>
      </c>
      <c r="B482" s="1" t="n">
        <v>44830</v>
      </c>
      <c r="C482" s="1" t="n">
        <v>45577</v>
      </c>
      <c r="D482" t="inlineStr">
        <is>
          <t>JÄMTLANDS LÄN</t>
        </is>
      </c>
      <c r="E482" t="inlineStr">
        <is>
          <t>ÅRE</t>
        </is>
      </c>
      <c r="F482" t="inlineStr">
        <is>
          <t>Bergvik skog öst AB</t>
        </is>
      </c>
      <c r="G482" t="n">
        <v>3.1</v>
      </c>
      <c r="H482" t="n">
        <v>0</v>
      </c>
      <c r="I482" t="n">
        <v>0</v>
      </c>
      <c r="J482" t="n">
        <v>0</v>
      </c>
      <c r="K482" t="n">
        <v>0</v>
      </c>
      <c r="L482" t="n">
        <v>0</v>
      </c>
      <c r="M482" t="n">
        <v>0</v>
      </c>
      <c r="N482" t="n">
        <v>0</v>
      </c>
      <c r="O482" t="n">
        <v>0</v>
      </c>
      <c r="P482" t="n">
        <v>0</v>
      </c>
      <c r="Q482" t="n">
        <v>0</v>
      </c>
      <c r="R482" s="2" t="inlineStr"/>
    </row>
    <row r="483" ht="15" customHeight="1">
      <c r="A483" t="inlineStr">
        <is>
          <t>A 43180-2022</t>
        </is>
      </c>
      <c r="B483" s="1" t="n">
        <v>44833</v>
      </c>
      <c r="C483" s="1" t="n">
        <v>45577</v>
      </c>
      <c r="D483" t="inlineStr">
        <is>
          <t>JÄMTLANDS LÄN</t>
        </is>
      </c>
      <c r="E483" t="inlineStr">
        <is>
          <t>ÅRE</t>
        </is>
      </c>
      <c r="G483" t="n">
        <v>17.9</v>
      </c>
      <c r="H483" t="n">
        <v>0</v>
      </c>
      <c r="I483" t="n">
        <v>0</v>
      </c>
      <c r="J483" t="n">
        <v>0</v>
      </c>
      <c r="K483" t="n">
        <v>0</v>
      </c>
      <c r="L483" t="n">
        <v>0</v>
      </c>
      <c r="M483" t="n">
        <v>0</v>
      </c>
      <c r="N483" t="n">
        <v>0</v>
      </c>
      <c r="O483" t="n">
        <v>0</v>
      </c>
      <c r="P483" t="n">
        <v>0</v>
      </c>
      <c r="Q483" t="n">
        <v>0</v>
      </c>
      <c r="R483" s="2" t="inlineStr"/>
    </row>
    <row r="484" ht="15" customHeight="1">
      <c r="A484" t="inlineStr">
        <is>
          <t>A 43324-2022</t>
        </is>
      </c>
      <c r="B484" s="1" t="n">
        <v>44834</v>
      </c>
      <c r="C484" s="1" t="n">
        <v>45577</v>
      </c>
      <c r="D484" t="inlineStr">
        <is>
          <t>JÄMTLANDS LÄN</t>
        </is>
      </c>
      <c r="E484" t="inlineStr">
        <is>
          <t>ÅRE</t>
        </is>
      </c>
      <c r="F484" t="inlineStr">
        <is>
          <t>Bergvik skog öst AB</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43583-2022</t>
        </is>
      </c>
      <c r="B485" s="1" t="n">
        <v>44834</v>
      </c>
      <c r="C485" s="1" t="n">
        <v>45577</v>
      </c>
      <c r="D485" t="inlineStr">
        <is>
          <t>JÄMTLANDS LÄN</t>
        </is>
      </c>
      <c r="E485" t="inlineStr">
        <is>
          <t>ÅRE</t>
        </is>
      </c>
      <c r="G485" t="n">
        <v>6.7</v>
      </c>
      <c r="H485" t="n">
        <v>0</v>
      </c>
      <c r="I485" t="n">
        <v>0</v>
      </c>
      <c r="J485" t="n">
        <v>0</v>
      </c>
      <c r="K485" t="n">
        <v>0</v>
      </c>
      <c r="L485" t="n">
        <v>0</v>
      </c>
      <c r="M485" t="n">
        <v>0</v>
      </c>
      <c r="N485" t="n">
        <v>0</v>
      </c>
      <c r="O485" t="n">
        <v>0</v>
      </c>
      <c r="P485" t="n">
        <v>0</v>
      </c>
      <c r="Q485" t="n">
        <v>0</v>
      </c>
      <c r="R485" s="2" t="inlineStr"/>
    </row>
    <row r="486" ht="15" customHeight="1">
      <c r="A486" t="inlineStr">
        <is>
          <t>A 44502-2022</t>
        </is>
      </c>
      <c r="B486" s="1" t="n">
        <v>44840</v>
      </c>
      <c r="C486" s="1" t="n">
        <v>45577</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45461-2022</t>
        </is>
      </c>
      <c r="B487" s="1" t="n">
        <v>44841</v>
      </c>
      <c r="C487" s="1" t="n">
        <v>45577</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45660-2022</t>
        </is>
      </c>
      <c r="B488" s="1" t="n">
        <v>44845</v>
      </c>
      <c r="C488" s="1" t="n">
        <v>45577</v>
      </c>
      <c r="D488" t="inlineStr">
        <is>
          <t>JÄMTLANDS LÄN</t>
        </is>
      </c>
      <c r="E488" t="inlineStr">
        <is>
          <t>ÅRE</t>
        </is>
      </c>
      <c r="F488" t="inlineStr">
        <is>
          <t>Kyrkan</t>
        </is>
      </c>
      <c r="G488" t="n">
        <v>2.1</v>
      </c>
      <c r="H488" t="n">
        <v>0</v>
      </c>
      <c r="I488" t="n">
        <v>0</v>
      </c>
      <c r="J488" t="n">
        <v>0</v>
      </c>
      <c r="K488" t="n">
        <v>0</v>
      </c>
      <c r="L488" t="n">
        <v>0</v>
      </c>
      <c r="M488" t="n">
        <v>0</v>
      </c>
      <c r="N488" t="n">
        <v>0</v>
      </c>
      <c r="O488" t="n">
        <v>0</v>
      </c>
      <c r="P488" t="n">
        <v>0</v>
      </c>
      <c r="Q488" t="n">
        <v>0</v>
      </c>
      <c r="R488" s="2" t="inlineStr"/>
    </row>
    <row r="489" ht="15" customHeight="1">
      <c r="A489" t="inlineStr">
        <is>
          <t>A 46491-2022</t>
        </is>
      </c>
      <c r="B489" s="1" t="n">
        <v>44848</v>
      </c>
      <c r="C489" s="1" t="n">
        <v>45577</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46497-2022</t>
        </is>
      </c>
      <c r="B490" s="1" t="n">
        <v>44848</v>
      </c>
      <c r="C490" s="1" t="n">
        <v>45577</v>
      </c>
      <c r="D490" t="inlineStr">
        <is>
          <t>JÄMTLANDS LÄN</t>
        </is>
      </c>
      <c r="E490" t="inlineStr">
        <is>
          <t>ÅRE</t>
        </is>
      </c>
      <c r="G490" t="n">
        <v>1.6</v>
      </c>
      <c r="H490" t="n">
        <v>0</v>
      </c>
      <c r="I490" t="n">
        <v>0</v>
      </c>
      <c r="J490" t="n">
        <v>0</v>
      </c>
      <c r="K490" t="n">
        <v>0</v>
      </c>
      <c r="L490" t="n">
        <v>0</v>
      </c>
      <c r="M490" t="n">
        <v>0</v>
      </c>
      <c r="N490" t="n">
        <v>0</v>
      </c>
      <c r="O490" t="n">
        <v>0</v>
      </c>
      <c r="P490" t="n">
        <v>0</v>
      </c>
      <c r="Q490" t="n">
        <v>0</v>
      </c>
      <c r="R490" s="2" t="inlineStr"/>
    </row>
    <row r="491" ht="15" customHeight="1">
      <c r="A491" t="inlineStr">
        <is>
          <t>A 46488-2022</t>
        </is>
      </c>
      <c r="B491" s="1" t="n">
        <v>44848</v>
      </c>
      <c r="C491" s="1" t="n">
        <v>45577</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46494-2022</t>
        </is>
      </c>
      <c r="B492" s="1" t="n">
        <v>44848</v>
      </c>
      <c r="C492" s="1" t="n">
        <v>45577</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46744-2022</t>
        </is>
      </c>
      <c r="B493" s="1" t="n">
        <v>44851</v>
      </c>
      <c r="C493" s="1" t="n">
        <v>45577</v>
      </c>
      <c r="D493" t="inlineStr">
        <is>
          <t>JÄMTLANDS LÄN</t>
        </is>
      </c>
      <c r="E493" t="inlineStr">
        <is>
          <t>ÅRE</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47052-2022</t>
        </is>
      </c>
      <c r="B494" s="1" t="n">
        <v>44851</v>
      </c>
      <c r="C494" s="1" t="n">
        <v>45577</v>
      </c>
      <c r="D494" t="inlineStr">
        <is>
          <t>JÄMTLANDS LÄN</t>
        </is>
      </c>
      <c r="E494" t="inlineStr">
        <is>
          <t>ÅRE</t>
        </is>
      </c>
      <c r="G494" t="n">
        <v>90.8</v>
      </c>
      <c r="H494" t="n">
        <v>0</v>
      </c>
      <c r="I494" t="n">
        <v>0</v>
      </c>
      <c r="J494" t="n">
        <v>0</v>
      </c>
      <c r="K494" t="n">
        <v>0</v>
      </c>
      <c r="L494" t="n">
        <v>0</v>
      </c>
      <c r="M494" t="n">
        <v>0</v>
      </c>
      <c r="N494" t="n">
        <v>0</v>
      </c>
      <c r="O494" t="n">
        <v>0</v>
      </c>
      <c r="P494" t="n">
        <v>0</v>
      </c>
      <c r="Q494" t="n">
        <v>0</v>
      </c>
      <c r="R494" s="2" t="inlineStr"/>
    </row>
    <row r="495" ht="15" customHeight="1">
      <c r="A495" t="inlineStr">
        <is>
          <t>A 47664-2022</t>
        </is>
      </c>
      <c r="B495" s="1" t="n">
        <v>44854</v>
      </c>
      <c r="C495" s="1" t="n">
        <v>45577</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47873-2022</t>
        </is>
      </c>
      <c r="B496" s="1" t="n">
        <v>44855</v>
      </c>
      <c r="C496" s="1" t="n">
        <v>45577</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48898-2022</t>
        </is>
      </c>
      <c r="B497" s="1" t="n">
        <v>44860</v>
      </c>
      <c r="C497" s="1" t="n">
        <v>45577</v>
      </c>
      <c r="D497" t="inlineStr">
        <is>
          <t>JÄMTLANDS LÄN</t>
        </is>
      </c>
      <c r="E497" t="inlineStr">
        <is>
          <t>ÅRE</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49818-2022</t>
        </is>
      </c>
      <c r="B498" s="1" t="n">
        <v>44859</v>
      </c>
      <c r="C498" s="1" t="n">
        <v>45577</v>
      </c>
      <c r="D498" t="inlineStr">
        <is>
          <t>JÄMTLANDS LÄN</t>
        </is>
      </c>
      <c r="E498" t="inlineStr">
        <is>
          <t>ÅRE</t>
        </is>
      </c>
      <c r="G498" t="n">
        <v>63</v>
      </c>
      <c r="H498" t="n">
        <v>0</v>
      </c>
      <c r="I498" t="n">
        <v>0</v>
      </c>
      <c r="J498" t="n">
        <v>0</v>
      </c>
      <c r="K498" t="n">
        <v>0</v>
      </c>
      <c r="L498" t="n">
        <v>0</v>
      </c>
      <c r="M498" t="n">
        <v>0</v>
      </c>
      <c r="N498" t="n">
        <v>0</v>
      </c>
      <c r="O498" t="n">
        <v>0</v>
      </c>
      <c r="P498" t="n">
        <v>0</v>
      </c>
      <c r="Q498" t="n">
        <v>0</v>
      </c>
      <c r="R498" s="2" t="inlineStr"/>
    </row>
    <row r="499" ht="15" customHeight="1">
      <c r="A499" t="inlineStr">
        <is>
          <t>A 49610-2022</t>
        </is>
      </c>
      <c r="B499" s="1" t="n">
        <v>44859</v>
      </c>
      <c r="C499" s="1" t="n">
        <v>45577</v>
      </c>
      <c r="D499" t="inlineStr">
        <is>
          <t>JÄMTLANDS LÄN</t>
        </is>
      </c>
      <c r="E499" t="inlineStr">
        <is>
          <t>ÅRE</t>
        </is>
      </c>
      <c r="G499" t="n">
        <v>26.2</v>
      </c>
      <c r="H499" t="n">
        <v>0</v>
      </c>
      <c r="I499" t="n">
        <v>0</v>
      </c>
      <c r="J499" t="n">
        <v>0</v>
      </c>
      <c r="K499" t="n">
        <v>0</v>
      </c>
      <c r="L499" t="n">
        <v>0</v>
      </c>
      <c r="M499" t="n">
        <v>0</v>
      </c>
      <c r="N499" t="n">
        <v>0</v>
      </c>
      <c r="O499" t="n">
        <v>0</v>
      </c>
      <c r="P499" t="n">
        <v>0</v>
      </c>
      <c r="Q499" t="n">
        <v>0</v>
      </c>
      <c r="R499" s="2" t="inlineStr"/>
    </row>
    <row r="500" ht="15" customHeight="1">
      <c r="A500" t="inlineStr">
        <is>
          <t>A 50307-2022</t>
        </is>
      </c>
      <c r="B500" s="1" t="n">
        <v>44865</v>
      </c>
      <c r="C500" s="1" t="n">
        <v>45577</v>
      </c>
      <c r="D500" t="inlineStr">
        <is>
          <t>JÄMTLANDS LÄN</t>
        </is>
      </c>
      <c r="E500" t="inlineStr">
        <is>
          <t>ÅRE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52313-2022</t>
        </is>
      </c>
      <c r="B501" s="1" t="n">
        <v>44873</v>
      </c>
      <c r="C501" s="1" t="n">
        <v>45577</v>
      </c>
      <c r="D501" t="inlineStr">
        <is>
          <t>JÄMTLANDS LÄN</t>
        </is>
      </c>
      <c r="E501" t="inlineStr">
        <is>
          <t>ÅRE</t>
        </is>
      </c>
      <c r="G501" t="n">
        <v>3.4</v>
      </c>
      <c r="H501" t="n">
        <v>0</v>
      </c>
      <c r="I501" t="n">
        <v>0</v>
      </c>
      <c r="J501" t="n">
        <v>0</v>
      </c>
      <c r="K501" t="n">
        <v>0</v>
      </c>
      <c r="L501" t="n">
        <v>0</v>
      </c>
      <c r="M501" t="n">
        <v>0</v>
      </c>
      <c r="N501" t="n">
        <v>0</v>
      </c>
      <c r="O501" t="n">
        <v>0</v>
      </c>
      <c r="P501" t="n">
        <v>0</v>
      </c>
      <c r="Q501" t="n">
        <v>0</v>
      </c>
      <c r="R501" s="2" t="inlineStr"/>
    </row>
    <row r="502" ht="15" customHeight="1">
      <c r="A502" t="inlineStr">
        <is>
          <t>A 52470-2022</t>
        </is>
      </c>
      <c r="B502" s="1" t="n">
        <v>44874</v>
      </c>
      <c r="C502" s="1" t="n">
        <v>45577</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52485-2022</t>
        </is>
      </c>
      <c r="B503" s="1" t="n">
        <v>44874</v>
      </c>
      <c r="C503" s="1" t="n">
        <v>45577</v>
      </c>
      <c r="D503" t="inlineStr">
        <is>
          <t>JÄMTLANDS LÄN</t>
        </is>
      </c>
      <c r="E503" t="inlineStr">
        <is>
          <t>ÅRE</t>
        </is>
      </c>
      <c r="G503" t="n">
        <v>3.2</v>
      </c>
      <c r="H503" t="n">
        <v>0</v>
      </c>
      <c r="I503" t="n">
        <v>0</v>
      </c>
      <c r="J503" t="n">
        <v>0</v>
      </c>
      <c r="K503" t="n">
        <v>0</v>
      </c>
      <c r="L503" t="n">
        <v>0</v>
      </c>
      <c r="M503" t="n">
        <v>0</v>
      </c>
      <c r="N503" t="n">
        <v>0</v>
      </c>
      <c r="O503" t="n">
        <v>0</v>
      </c>
      <c r="P503" t="n">
        <v>0</v>
      </c>
      <c r="Q503" t="n">
        <v>0</v>
      </c>
      <c r="R503" s="2" t="inlineStr"/>
    </row>
    <row r="504" ht="15" customHeight="1">
      <c r="A504" t="inlineStr">
        <is>
          <t>A 52707-2022</t>
        </is>
      </c>
      <c r="B504" s="1" t="n">
        <v>44874</v>
      </c>
      <c r="C504" s="1" t="n">
        <v>45577</v>
      </c>
      <c r="D504" t="inlineStr">
        <is>
          <t>JÄMTLANDS LÄN</t>
        </is>
      </c>
      <c r="E504" t="inlineStr">
        <is>
          <t>ÅRE</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54615-2022</t>
        </is>
      </c>
      <c r="B505" s="1" t="n">
        <v>44883</v>
      </c>
      <c r="C505" s="1" t="n">
        <v>45577</v>
      </c>
      <c r="D505" t="inlineStr">
        <is>
          <t>JÄMTLANDS LÄN</t>
        </is>
      </c>
      <c r="E505" t="inlineStr">
        <is>
          <t>ÅRE</t>
        </is>
      </c>
      <c r="F505" t="inlineStr">
        <is>
          <t>Övriga Aktiebolag</t>
        </is>
      </c>
      <c r="G505" t="n">
        <v>5.1</v>
      </c>
      <c r="H505" t="n">
        <v>0</v>
      </c>
      <c r="I505" t="n">
        <v>0</v>
      </c>
      <c r="J505" t="n">
        <v>0</v>
      </c>
      <c r="K505" t="n">
        <v>0</v>
      </c>
      <c r="L505" t="n">
        <v>0</v>
      </c>
      <c r="M505" t="n">
        <v>0</v>
      </c>
      <c r="N505" t="n">
        <v>0</v>
      </c>
      <c r="O505" t="n">
        <v>0</v>
      </c>
      <c r="P505" t="n">
        <v>0</v>
      </c>
      <c r="Q505" t="n">
        <v>0</v>
      </c>
      <c r="R505" s="2" t="inlineStr"/>
    </row>
    <row r="506" ht="15" customHeight="1">
      <c r="A506" t="inlineStr">
        <is>
          <t>A 54611-2022</t>
        </is>
      </c>
      <c r="B506" s="1" t="n">
        <v>44883</v>
      </c>
      <c r="C506" s="1" t="n">
        <v>45577</v>
      </c>
      <c r="D506" t="inlineStr">
        <is>
          <t>JÄMTLANDS LÄN</t>
        </is>
      </c>
      <c r="E506" t="inlineStr">
        <is>
          <t>ÅRE</t>
        </is>
      </c>
      <c r="F506" t="inlineStr">
        <is>
          <t>Övriga Aktiebolag</t>
        </is>
      </c>
      <c r="G506" t="n">
        <v>11.7</v>
      </c>
      <c r="H506" t="n">
        <v>0</v>
      </c>
      <c r="I506" t="n">
        <v>0</v>
      </c>
      <c r="J506" t="n">
        <v>0</v>
      </c>
      <c r="K506" t="n">
        <v>0</v>
      </c>
      <c r="L506" t="n">
        <v>0</v>
      </c>
      <c r="M506" t="n">
        <v>0</v>
      </c>
      <c r="N506" t="n">
        <v>0</v>
      </c>
      <c r="O506" t="n">
        <v>0</v>
      </c>
      <c r="P506" t="n">
        <v>0</v>
      </c>
      <c r="Q506" t="n">
        <v>0</v>
      </c>
      <c r="R506" s="2" t="inlineStr"/>
    </row>
    <row r="507" ht="15" customHeight="1">
      <c r="A507" t="inlineStr">
        <is>
          <t>A 54904-2022</t>
        </is>
      </c>
      <c r="B507" s="1" t="n">
        <v>44886</v>
      </c>
      <c r="C507" s="1" t="n">
        <v>45577</v>
      </c>
      <c r="D507" t="inlineStr">
        <is>
          <t>JÄMTLANDS LÄN</t>
        </is>
      </c>
      <c r="E507" t="inlineStr">
        <is>
          <t>ÅRE</t>
        </is>
      </c>
      <c r="F507" t="inlineStr">
        <is>
          <t>Övriga Aktiebolag</t>
        </is>
      </c>
      <c r="G507" t="n">
        <v>12.2</v>
      </c>
      <c r="H507" t="n">
        <v>0</v>
      </c>
      <c r="I507" t="n">
        <v>0</v>
      </c>
      <c r="J507" t="n">
        <v>0</v>
      </c>
      <c r="K507" t="n">
        <v>0</v>
      </c>
      <c r="L507" t="n">
        <v>0</v>
      </c>
      <c r="M507" t="n">
        <v>0</v>
      </c>
      <c r="N507" t="n">
        <v>0</v>
      </c>
      <c r="O507" t="n">
        <v>0</v>
      </c>
      <c r="P507" t="n">
        <v>0</v>
      </c>
      <c r="Q507" t="n">
        <v>0</v>
      </c>
      <c r="R507" s="2" t="inlineStr"/>
    </row>
    <row r="508" ht="15" customHeight="1">
      <c r="A508" t="inlineStr">
        <is>
          <t>A 55230-2022</t>
        </is>
      </c>
      <c r="B508" s="1" t="n">
        <v>44887</v>
      </c>
      <c r="C508" s="1" t="n">
        <v>45577</v>
      </c>
      <c r="D508" t="inlineStr">
        <is>
          <t>JÄMTLANDS LÄN</t>
        </is>
      </c>
      <c r="E508" t="inlineStr">
        <is>
          <t>ÅRE</t>
        </is>
      </c>
      <c r="G508" t="n">
        <v>2.7</v>
      </c>
      <c r="H508" t="n">
        <v>0</v>
      </c>
      <c r="I508" t="n">
        <v>0</v>
      </c>
      <c r="J508" t="n">
        <v>0</v>
      </c>
      <c r="K508" t="n">
        <v>0</v>
      </c>
      <c r="L508" t="n">
        <v>0</v>
      </c>
      <c r="M508" t="n">
        <v>0</v>
      </c>
      <c r="N508" t="n">
        <v>0</v>
      </c>
      <c r="O508" t="n">
        <v>0</v>
      </c>
      <c r="P508" t="n">
        <v>0</v>
      </c>
      <c r="Q508" t="n">
        <v>0</v>
      </c>
      <c r="R508" s="2" t="inlineStr"/>
    </row>
    <row r="509" ht="15" customHeight="1">
      <c r="A509" t="inlineStr">
        <is>
          <t>A 55235-2022</t>
        </is>
      </c>
      <c r="B509" s="1" t="n">
        <v>44887</v>
      </c>
      <c r="C509" s="1" t="n">
        <v>45577</v>
      </c>
      <c r="D509" t="inlineStr">
        <is>
          <t>JÄMTLANDS LÄN</t>
        </is>
      </c>
      <c r="E509" t="inlineStr">
        <is>
          <t>ÅRE</t>
        </is>
      </c>
      <c r="G509" t="n">
        <v>2.5</v>
      </c>
      <c r="H509" t="n">
        <v>0</v>
      </c>
      <c r="I509" t="n">
        <v>0</v>
      </c>
      <c r="J509" t="n">
        <v>0</v>
      </c>
      <c r="K509" t="n">
        <v>0</v>
      </c>
      <c r="L509" t="n">
        <v>0</v>
      </c>
      <c r="M509" t="n">
        <v>0</v>
      </c>
      <c r="N509" t="n">
        <v>0</v>
      </c>
      <c r="O509" t="n">
        <v>0</v>
      </c>
      <c r="P509" t="n">
        <v>0</v>
      </c>
      <c r="Q509" t="n">
        <v>0</v>
      </c>
      <c r="R509" s="2" t="inlineStr"/>
    </row>
    <row r="510" ht="15" customHeight="1">
      <c r="A510" t="inlineStr">
        <is>
          <t>A 55229-2022</t>
        </is>
      </c>
      <c r="B510" s="1" t="n">
        <v>44887</v>
      </c>
      <c r="C510" s="1" t="n">
        <v>45577</v>
      </c>
      <c r="D510" t="inlineStr">
        <is>
          <t>JÄMTLANDS LÄN</t>
        </is>
      </c>
      <c r="E510" t="inlineStr">
        <is>
          <t>ÅRE</t>
        </is>
      </c>
      <c r="G510" t="n">
        <v>4.6</v>
      </c>
      <c r="H510" t="n">
        <v>0</v>
      </c>
      <c r="I510" t="n">
        <v>0</v>
      </c>
      <c r="J510" t="n">
        <v>0</v>
      </c>
      <c r="K510" t="n">
        <v>0</v>
      </c>
      <c r="L510" t="n">
        <v>0</v>
      </c>
      <c r="M510" t="n">
        <v>0</v>
      </c>
      <c r="N510" t="n">
        <v>0</v>
      </c>
      <c r="O510" t="n">
        <v>0</v>
      </c>
      <c r="P510" t="n">
        <v>0</v>
      </c>
      <c r="Q510" t="n">
        <v>0</v>
      </c>
      <c r="R510" s="2" t="inlineStr"/>
    </row>
    <row r="511" ht="15" customHeight="1">
      <c r="A511" t="inlineStr">
        <is>
          <t>A 55234-2022</t>
        </is>
      </c>
      <c r="B511" s="1" t="n">
        <v>44887</v>
      </c>
      <c r="C511" s="1" t="n">
        <v>45577</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55233-2022</t>
        </is>
      </c>
      <c r="B512" s="1" t="n">
        <v>44887</v>
      </c>
      <c r="C512" s="1" t="n">
        <v>45577</v>
      </c>
      <c r="D512" t="inlineStr">
        <is>
          <t>JÄMTLANDS LÄN</t>
        </is>
      </c>
      <c r="E512" t="inlineStr">
        <is>
          <t>ÅRE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55237-2022</t>
        </is>
      </c>
      <c r="B513" s="1" t="n">
        <v>44887</v>
      </c>
      <c r="C513" s="1" t="n">
        <v>45577</v>
      </c>
      <c r="D513" t="inlineStr">
        <is>
          <t>JÄMTLANDS LÄN</t>
        </is>
      </c>
      <c r="E513" t="inlineStr">
        <is>
          <t>ÅRE</t>
        </is>
      </c>
      <c r="G513" t="n">
        <v>1.8</v>
      </c>
      <c r="H513" t="n">
        <v>0</v>
      </c>
      <c r="I513" t="n">
        <v>0</v>
      </c>
      <c r="J513" t="n">
        <v>0</v>
      </c>
      <c r="K513" t="n">
        <v>0</v>
      </c>
      <c r="L513" t="n">
        <v>0</v>
      </c>
      <c r="M513" t="n">
        <v>0</v>
      </c>
      <c r="N513" t="n">
        <v>0</v>
      </c>
      <c r="O513" t="n">
        <v>0</v>
      </c>
      <c r="P513" t="n">
        <v>0</v>
      </c>
      <c r="Q513" t="n">
        <v>0</v>
      </c>
      <c r="R513" s="2" t="inlineStr"/>
    </row>
    <row r="514" ht="15" customHeight="1">
      <c r="A514" t="inlineStr">
        <is>
          <t>A 55232-2022</t>
        </is>
      </c>
      <c r="B514" s="1" t="n">
        <v>44887</v>
      </c>
      <c r="C514" s="1" t="n">
        <v>45577</v>
      </c>
      <c r="D514" t="inlineStr">
        <is>
          <t>JÄMTLANDS LÄN</t>
        </is>
      </c>
      <c r="E514" t="inlineStr">
        <is>
          <t>ÅRE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55236-2022</t>
        </is>
      </c>
      <c r="B515" s="1" t="n">
        <v>44887</v>
      </c>
      <c r="C515" s="1" t="n">
        <v>45577</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56182-2022</t>
        </is>
      </c>
      <c r="B516" s="1" t="n">
        <v>44889</v>
      </c>
      <c r="C516" s="1" t="n">
        <v>45577</v>
      </c>
      <c r="D516" t="inlineStr">
        <is>
          <t>JÄMTLANDS LÄN</t>
        </is>
      </c>
      <c r="E516" t="inlineStr">
        <is>
          <t>ÅRE</t>
        </is>
      </c>
      <c r="G516" t="n">
        <v>42.3</v>
      </c>
      <c r="H516" t="n">
        <v>0</v>
      </c>
      <c r="I516" t="n">
        <v>0</v>
      </c>
      <c r="J516" t="n">
        <v>0</v>
      </c>
      <c r="K516" t="n">
        <v>0</v>
      </c>
      <c r="L516" t="n">
        <v>0</v>
      </c>
      <c r="M516" t="n">
        <v>0</v>
      </c>
      <c r="N516" t="n">
        <v>0</v>
      </c>
      <c r="O516" t="n">
        <v>0</v>
      </c>
      <c r="P516" t="n">
        <v>0</v>
      </c>
      <c r="Q516" t="n">
        <v>0</v>
      </c>
      <c r="R516" s="2" t="inlineStr"/>
    </row>
    <row r="517" ht="15" customHeight="1">
      <c r="A517" t="inlineStr">
        <is>
          <t>A 55944-2022</t>
        </is>
      </c>
      <c r="B517" s="1" t="n">
        <v>44889</v>
      </c>
      <c r="C517" s="1" t="n">
        <v>45577</v>
      </c>
      <c r="D517" t="inlineStr">
        <is>
          <t>JÄMTLANDS LÄN</t>
        </is>
      </c>
      <c r="E517" t="inlineStr">
        <is>
          <t>ÅRE</t>
        </is>
      </c>
      <c r="G517" t="n">
        <v>11.1</v>
      </c>
      <c r="H517" t="n">
        <v>0</v>
      </c>
      <c r="I517" t="n">
        <v>0</v>
      </c>
      <c r="J517" t="n">
        <v>0</v>
      </c>
      <c r="K517" t="n">
        <v>0</v>
      </c>
      <c r="L517" t="n">
        <v>0</v>
      </c>
      <c r="M517" t="n">
        <v>0</v>
      </c>
      <c r="N517" t="n">
        <v>0</v>
      </c>
      <c r="O517" t="n">
        <v>0</v>
      </c>
      <c r="P517" t="n">
        <v>0</v>
      </c>
      <c r="Q517" t="n">
        <v>0</v>
      </c>
      <c r="R517" s="2" t="inlineStr"/>
    </row>
    <row r="518" ht="15" customHeight="1">
      <c r="A518" t="inlineStr">
        <is>
          <t>A 56254-2022</t>
        </is>
      </c>
      <c r="B518" s="1" t="n">
        <v>44890</v>
      </c>
      <c r="C518" s="1" t="n">
        <v>45577</v>
      </c>
      <c r="D518" t="inlineStr">
        <is>
          <t>JÄMTLANDS LÄN</t>
        </is>
      </c>
      <c r="E518" t="inlineStr">
        <is>
          <t>ÅRE</t>
        </is>
      </c>
      <c r="F518" t="inlineStr">
        <is>
          <t>Övriga Aktiebolag</t>
        </is>
      </c>
      <c r="G518" t="n">
        <v>7.7</v>
      </c>
      <c r="H518" t="n">
        <v>0</v>
      </c>
      <c r="I518" t="n">
        <v>0</v>
      </c>
      <c r="J518" t="n">
        <v>0</v>
      </c>
      <c r="K518" t="n">
        <v>0</v>
      </c>
      <c r="L518" t="n">
        <v>0</v>
      </c>
      <c r="M518" t="n">
        <v>0</v>
      </c>
      <c r="N518" t="n">
        <v>0</v>
      </c>
      <c r="O518" t="n">
        <v>0</v>
      </c>
      <c r="P518" t="n">
        <v>0</v>
      </c>
      <c r="Q518" t="n">
        <v>0</v>
      </c>
      <c r="R518" s="2" t="inlineStr"/>
    </row>
    <row r="519" ht="15" customHeight="1">
      <c r="A519" t="inlineStr">
        <is>
          <t>A 56659-2022</t>
        </is>
      </c>
      <c r="B519" s="1" t="n">
        <v>44893</v>
      </c>
      <c r="C519" s="1" t="n">
        <v>45577</v>
      </c>
      <c r="D519" t="inlineStr">
        <is>
          <t>JÄMTLANDS LÄN</t>
        </is>
      </c>
      <c r="E519" t="inlineStr">
        <is>
          <t>ÅRE</t>
        </is>
      </c>
      <c r="F519" t="inlineStr">
        <is>
          <t>Övriga Aktiebolag</t>
        </is>
      </c>
      <c r="G519" t="n">
        <v>6.1</v>
      </c>
      <c r="H519" t="n">
        <v>0</v>
      </c>
      <c r="I519" t="n">
        <v>0</v>
      </c>
      <c r="J519" t="n">
        <v>0</v>
      </c>
      <c r="K519" t="n">
        <v>0</v>
      </c>
      <c r="L519" t="n">
        <v>0</v>
      </c>
      <c r="M519" t="n">
        <v>0</v>
      </c>
      <c r="N519" t="n">
        <v>0</v>
      </c>
      <c r="O519" t="n">
        <v>0</v>
      </c>
      <c r="P519" t="n">
        <v>0</v>
      </c>
      <c r="Q519" t="n">
        <v>0</v>
      </c>
      <c r="R519" s="2" t="inlineStr"/>
    </row>
    <row r="520" ht="15" customHeight="1">
      <c r="A520" t="inlineStr">
        <is>
          <t>A 56508-2022</t>
        </is>
      </c>
      <c r="B520" s="1" t="n">
        <v>44893</v>
      </c>
      <c r="C520" s="1" t="n">
        <v>45577</v>
      </c>
      <c r="D520" t="inlineStr">
        <is>
          <t>JÄMTLANDS LÄN</t>
        </is>
      </c>
      <c r="E520" t="inlineStr">
        <is>
          <t>ÅRE</t>
        </is>
      </c>
      <c r="F520" t="inlineStr">
        <is>
          <t>Övriga Aktiebolag</t>
        </is>
      </c>
      <c r="G520" t="n">
        <v>1.8</v>
      </c>
      <c r="H520" t="n">
        <v>0</v>
      </c>
      <c r="I520" t="n">
        <v>0</v>
      </c>
      <c r="J520" t="n">
        <v>0</v>
      </c>
      <c r="K520" t="n">
        <v>0</v>
      </c>
      <c r="L520" t="n">
        <v>0</v>
      </c>
      <c r="M520" t="n">
        <v>0</v>
      </c>
      <c r="N520" t="n">
        <v>0</v>
      </c>
      <c r="O520" t="n">
        <v>0</v>
      </c>
      <c r="P520" t="n">
        <v>0</v>
      </c>
      <c r="Q520" t="n">
        <v>0</v>
      </c>
      <c r="R520" s="2" t="inlineStr"/>
    </row>
    <row r="521" ht="15" customHeight="1">
      <c r="A521" t="inlineStr">
        <is>
          <t>A 56576-2022</t>
        </is>
      </c>
      <c r="B521" s="1" t="n">
        <v>44893</v>
      </c>
      <c r="C521" s="1" t="n">
        <v>45577</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56556-2022</t>
        </is>
      </c>
      <c r="B522" s="1" t="n">
        <v>44893</v>
      </c>
      <c r="C522" s="1" t="n">
        <v>45577</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56650-2022</t>
        </is>
      </c>
      <c r="B523" s="1" t="n">
        <v>44893</v>
      </c>
      <c r="C523" s="1" t="n">
        <v>45577</v>
      </c>
      <c r="D523" t="inlineStr">
        <is>
          <t>JÄMTLANDS LÄN</t>
        </is>
      </c>
      <c r="E523" t="inlineStr">
        <is>
          <t>ÅRE</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56581-2022</t>
        </is>
      </c>
      <c r="B524" s="1" t="n">
        <v>44893</v>
      </c>
      <c r="C524" s="1" t="n">
        <v>45577</v>
      </c>
      <c r="D524" t="inlineStr">
        <is>
          <t>JÄMTLANDS LÄN</t>
        </is>
      </c>
      <c r="E524" t="inlineStr">
        <is>
          <t>ÅRE</t>
        </is>
      </c>
      <c r="F524" t="inlineStr">
        <is>
          <t>Övriga Aktiebolag</t>
        </is>
      </c>
      <c r="G524" t="n">
        <v>2.8</v>
      </c>
      <c r="H524" t="n">
        <v>0</v>
      </c>
      <c r="I524" t="n">
        <v>0</v>
      </c>
      <c r="J524" t="n">
        <v>0</v>
      </c>
      <c r="K524" t="n">
        <v>0</v>
      </c>
      <c r="L524" t="n">
        <v>0</v>
      </c>
      <c r="M524" t="n">
        <v>0</v>
      </c>
      <c r="N524" t="n">
        <v>0</v>
      </c>
      <c r="O524" t="n">
        <v>0</v>
      </c>
      <c r="P524" t="n">
        <v>0</v>
      </c>
      <c r="Q524" t="n">
        <v>0</v>
      </c>
      <c r="R524" s="2" t="inlineStr"/>
    </row>
    <row r="525" ht="15" customHeight="1">
      <c r="A525" t="inlineStr">
        <is>
          <t>A 56673-2022</t>
        </is>
      </c>
      <c r="B525" s="1" t="n">
        <v>44893</v>
      </c>
      <c r="C525" s="1" t="n">
        <v>45577</v>
      </c>
      <c r="D525" t="inlineStr">
        <is>
          <t>JÄMTLANDS LÄN</t>
        </is>
      </c>
      <c r="E525" t="inlineStr">
        <is>
          <t>ÅRE</t>
        </is>
      </c>
      <c r="F525" t="inlineStr">
        <is>
          <t>Övriga Aktiebolag</t>
        </is>
      </c>
      <c r="G525" t="n">
        <v>5.6</v>
      </c>
      <c r="H525" t="n">
        <v>0</v>
      </c>
      <c r="I525" t="n">
        <v>0</v>
      </c>
      <c r="J525" t="n">
        <v>0</v>
      </c>
      <c r="K525" t="n">
        <v>0</v>
      </c>
      <c r="L525" t="n">
        <v>0</v>
      </c>
      <c r="M525" t="n">
        <v>0</v>
      </c>
      <c r="N525" t="n">
        <v>0</v>
      </c>
      <c r="O525" t="n">
        <v>0</v>
      </c>
      <c r="P525" t="n">
        <v>0</v>
      </c>
      <c r="Q525" t="n">
        <v>0</v>
      </c>
      <c r="R525" s="2" t="inlineStr"/>
    </row>
    <row r="526" ht="15" customHeight="1">
      <c r="A526" t="inlineStr">
        <is>
          <t>A 58337-2022</t>
        </is>
      </c>
      <c r="B526" s="1" t="n">
        <v>44893</v>
      </c>
      <c r="C526" s="1" t="n">
        <v>45577</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56811-2022</t>
        </is>
      </c>
      <c r="B527" s="1" t="n">
        <v>44894</v>
      </c>
      <c r="C527" s="1" t="n">
        <v>45577</v>
      </c>
      <c r="D527" t="inlineStr">
        <is>
          <t>JÄMTLANDS LÄN</t>
        </is>
      </c>
      <c r="E527" t="inlineStr">
        <is>
          <t>ÅRE</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56910-2022</t>
        </is>
      </c>
      <c r="B528" s="1" t="n">
        <v>44894</v>
      </c>
      <c r="C528" s="1" t="n">
        <v>45577</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56828-2022</t>
        </is>
      </c>
      <c r="B529" s="1" t="n">
        <v>44894</v>
      </c>
      <c r="C529" s="1" t="n">
        <v>45577</v>
      </c>
      <c r="D529" t="inlineStr">
        <is>
          <t>JÄMTLANDS LÄN</t>
        </is>
      </c>
      <c r="E529" t="inlineStr">
        <is>
          <t>ÅRE</t>
        </is>
      </c>
      <c r="F529" t="inlineStr">
        <is>
          <t>Övriga Aktiebolag</t>
        </is>
      </c>
      <c r="G529" t="n">
        <v>9.9</v>
      </c>
      <c r="H529" t="n">
        <v>0</v>
      </c>
      <c r="I529" t="n">
        <v>0</v>
      </c>
      <c r="J529" t="n">
        <v>0</v>
      </c>
      <c r="K529" t="n">
        <v>0</v>
      </c>
      <c r="L529" t="n">
        <v>0</v>
      </c>
      <c r="M529" t="n">
        <v>0</v>
      </c>
      <c r="N529" t="n">
        <v>0</v>
      </c>
      <c r="O529" t="n">
        <v>0</v>
      </c>
      <c r="P529" t="n">
        <v>0</v>
      </c>
      <c r="Q529" t="n">
        <v>0</v>
      </c>
      <c r="R529" s="2" t="inlineStr"/>
    </row>
    <row r="530" ht="15" customHeight="1">
      <c r="A530" t="inlineStr">
        <is>
          <t>A 56842-2022</t>
        </is>
      </c>
      <c r="B530" s="1" t="n">
        <v>44894</v>
      </c>
      <c r="C530" s="1" t="n">
        <v>45577</v>
      </c>
      <c r="D530" t="inlineStr">
        <is>
          <t>JÄMTLANDS LÄN</t>
        </is>
      </c>
      <c r="E530" t="inlineStr">
        <is>
          <t>ÅRE</t>
        </is>
      </c>
      <c r="F530" t="inlineStr">
        <is>
          <t>Övriga Aktiebolag</t>
        </is>
      </c>
      <c r="G530" t="n">
        <v>7.9</v>
      </c>
      <c r="H530" t="n">
        <v>0</v>
      </c>
      <c r="I530" t="n">
        <v>0</v>
      </c>
      <c r="J530" t="n">
        <v>0</v>
      </c>
      <c r="K530" t="n">
        <v>0</v>
      </c>
      <c r="L530" t="n">
        <v>0</v>
      </c>
      <c r="M530" t="n">
        <v>0</v>
      </c>
      <c r="N530" t="n">
        <v>0</v>
      </c>
      <c r="O530" t="n">
        <v>0</v>
      </c>
      <c r="P530" t="n">
        <v>0</v>
      </c>
      <c r="Q530" t="n">
        <v>0</v>
      </c>
      <c r="R530" s="2" t="inlineStr"/>
    </row>
    <row r="531" ht="15" customHeight="1">
      <c r="A531" t="inlineStr">
        <is>
          <t>A 56835-2022</t>
        </is>
      </c>
      <c r="B531" s="1" t="n">
        <v>44894</v>
      </c>
      <c r="C531" s="1" t="n">
        <v>45577</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56837-2022</t>
        </is>
      </c>
      <c r="B532" s="1" t="n">
        <v>44894</v>
      </c>
      <c r="C532" s="1" t="n">
        <v>45577</v>
      </c>
      <c r="D532" t="inlineStr">
        <is>
          <t>JÄMTLANDS LÄN</t>
        </is>
      </c>
      <c r="E532" t="inlineStr">
        <is>
          <t>ÅRE</t>
        </is>
      </c>
      <c r="F532" t="inlineStr">
        <is>
          <t>Övriga Aktiebolag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57394-2022</t>
        </is>
      </c>
      <c r="B533" s="1" t="n">
        <v>44896</v>
      </c>
      <c r="C533" s="1" t="n">
        <v>45577</v>
      </c>
      <c r="D533" t="inlineStr">
        <is>
          <t>JÄMTLANDS LÄN</t>
        </is>
      </c>
      <c r="E533" t="inlineStr">
        <is>
          <t>ÅRE</t>
        </is>
      </c>
      <c r="G533" t="n">
        <v>5.8</v>
      </c>
      <c r="H533" t="n">
        <v>0</v>
      </c>
      <c r="I533" t="n">
        <v>0</v>
      </c>
      <c r="J533" t="n">
        <v>0</v>
      </c>
      <c r="K533" t="n">
        <v>0</v>
      </c>
      <c r="L533" t="n">
        <v>0</v>
      </c>
      <c r="M533" t="n">
        <v>0</v>
      </c>
      <c r="N533" t="n">
        <v>0</v>
      </c>
      <c r="O533" t="n">
        <v>0</v>
      </c>
      <c r="P533" t="n">
        <v>0</v>
      </c>
      <c r="Q533" t="n">
        <v>0</v>
      </c>
      <c r="R533" s="2" t="inlineStr"/>
    </row>
    <row r="534" ht="15" customHeight="1">
      <c r="A534" t="inlineStr">
        <is>
          <t>A 58889-2022</t>
        </is>
      </c>
      <c r="B534" s="1" t="n">
        <v>44896</v>
      </c>
      <c r="C534" s="1" t="n">
        <v>45577</v>
      </c>
      <c r="D534" t="inlineStr">
        <is>
          <t>JÄMTLANDS LÄN</t>
        </is>
      </c>
      <c r="E534" t="inlineStr">
        <is>
          <t>ÅRE</t>
        </is>
      </c>
      <c r="G534" t="n">
        <v>6.9</v>
      </c>
      <c r="H534" t="n">
        <v>0</v>
      </c>
      <c r="I534" t="n">
        <v>0</v>
      </c>
      <c r="J534" t="n">
        <v>0</v>
      </c>
      <c r="K534" t="n">
        <v>0</v>
      </c>
      <c r="L534" t="n">
        <v>0</v>
      </c>
      <c r="M534" t="n">
        <v>0</v>
      </c>
      <c r="N534" t="n">
        <v>0</v>
      </c>
      <c r="O534" t="n">
        <v>0</v>
      </c>
      <c r="P534" t="n">
        <v>0</v>
      </c>
      <c r="Q534" t="n">
        <v>0</v>
      </c>
      <c r="R534" s="2" t="inlineStr"/>
    </row>
    <row r="535" ht="15" customHeight="1">
      <c r="A535" t="inlineStr">
        <is>
          <t>A 58882-2022</t>
        </is>
      </c>
      <c r="B535" s="1" t="n">
        <v>44896</v>
      </c>
      <c r="C535" s="1" t="n">
        <v>45577</v>
      </c>
      <c r="D535" t="inlineStr">
        <is>
          <t>JÄMTLANDS LÄN</t>
        </is>
      </c>
      <c r="E535" t="inlineStr">
        <is>
          <t>ÅRE</t>
        </is>
      </c>
      <c r="G535" t="n">
        <v>19</v>
      </c>
      <c r="H535" t="n">
        <v>0</v>
      </c>
      <c r="I535" t="n">
        <v>0</v>
      </c>
      <c r="J535" t="n">
        <v>0</v>
      </c>
      <c r="K535" t="n">
        <v>0</v>
      </c>
      <c r="L535" t="n">
        <v>0</v>
      </c>
      <c r="M535" t="n">
        <v>0</v>
      </c>
      <c r="N535" t="n">
        <v>0</v>
      </c>
      <c r="O535" t="n">
        <v>0</v>
      </c>
      <c r="P535" t="n">
        <v>0</v>
      </c>
      <c r="Q535" t="n">
        <v>0</v>
      </c>
      <c r="R535" s="2" t="inlineStr"/>
    </row>
    <row r="536" ht="15" customHeight="1">
      <c r="A536" t="inlineStr">
        <is>
          <t>A 58513-2022</t>
        </is>
      </c>
      <c r="B536" s="1" t="n">
        <v>44902</v>
      </c>
      <c r="C536" s="1" t="n">
        <v>45577</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58516-2022</t>
        </is>
      </c>
      <c r="B537" s="1" t="n">
        <v>44902</v>
      </c>
      <c r="C537" s="1" t="n">
        <v>45577</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58758-2022</t>
        </is>
      </c>
      <c r="B538" s="1" t="n">
        <v>44903</v>
      </c>
      <c r="C538" s="1" t="n">
        <v>45577</v>
      </c>
      <c r="D538" t="inlineStr">
        <is>
          <t>JÄMTLANDS LÄN</t>
        </is>
      </c>
      <c r="E538" t="inlineStr">
        <is>
          <t>ÅRE</t>
        </is>
      </c>
      <c r="F538" t="inlineStr">
        <is>
          <t>Övriga Aktiebolag</t>
        </is>
      </c>
      <c r="G538" t="n">
        <v>42.9</v>
      </c>
      <c r="H538" t="n">
        <v>0</v>
      </c>
      <c r="I538" t="n">
        <v>0</v>
      </c>
      <c r="J538" t="n">
        <v>0</v>
      </c>
      <c r="K538" t="n">
        <v>0</v>
      </c>
      <c r="L538" t="n">
        <v>0</v>
      </c>
      <c r="M538" t="n">
        <v>0</v>
      </c>
      <c r="N538" t="n">
        <v>0</v>
      </c>
      <c r="O538" t="n">
        <v>0</v>
      </c>
      <c r="P538" t="n">
        <v>0</v>
      </c>
      <c r="Q538" t="n">
        <v>0</v>
      </c>
      <c r="R538" s="2" t="inlineStr"/>
    </row>
    <row r="539" ht="15" customHeight="1">
      <c r="A539" t="inlineStr">
        <is>
          <t>A 58856-2022</t>
        </is>
      </c>
      <c r="B539" s="1" t="n">
        <v>44903</v>
      </c>
      <c r="C539" s="1" t="n">
        <v>45577</v>
      </c>
      <c r="D539" t="inlineStr">
        <is>
          <t>JÄMTLANDS LÄN</t>
        </is>
      </c>
      <c r="E539" t="inlineStr">
        <is>
          <t>ÅRE</t>
        </is>
      </c>
      <c r="F539" t="inlineStr">
        <is>
          <t>Övriga Aktiebolag</t>
        </is>
      </c>
      <c r="G539" t="n">
        <v>10.2</v>
      </c>
      <c r="H539" t="n">
        <v>0</v>
      </c>
      <c r="I539" t="n">
        <v>0</v>
      </c>
      <c r="J539" t="n">
        <v>0</v>
      </c>
      <c r="K539" t="n">
        <v>0</v>
      </c>
      <c r="L539" t="n">
        <v>0</v>
      </c>
      <c r="M539" t="n">
        <v>0</v>
      </c>
      <c r="N539" t="n">
        <v>0</v>
      </c>
      <c r="O539" t="n">
        <v>0</v>
      </c>
      <c r="P539" t="n">
        <v>0</v>
      </c>
      <c r="Q539" t="n">
        <v>0</v>
      </c>
      <c r="R539" s="2" t="inlineStr"/>
    </row>
    <row r="540" ht="15" customHeight="1">
      <c r="A540" t="inlineStr">
        <is>
          <t>A 58917-2022</t>
        </is>
      </c>
      <c r="B540" s="1" t="n">
        <v>44903</v>
      </c>
      <c r="C540" s="1" t="n">
        <v>45577</v>
      </c>
      <c r="D540" t="inlineStr">
        <is>
          <t>JÄMTLANDS LÄN</t>
        </is>
      </c>
      <c r="E540" t="inlineStr">
        <is>
          <t>ÅRE</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58845-2022</t>
        </is>
      </c>
      <c r="B541" s="1" t="n">
        <v>44903</v>
      </c>
      <c r="C541" s="1" t="n">
        <v>45577</v>
      </c>
      <c r="D541" t="inlineStr">
        <is>
          <t>JÄMTLANDS LÄN</t>
        </is>
      </c>
      <c r="E541" t="inlineStr">
        <is>
          <t>ÅRE</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59163-2022</t>
        </is>
      </c>
      <c r="B542" s="1" t="n">
        <v>44904</v>
      </c>
      <c r="C542" s="1" t="n">
        <v>45577</v>
      </c>
      <c r="D542" t="inlineStr">
        <is>
          <t>JÄMTLANDS LÄN</t>
        </is>
      </c>
      <c r="E542" t="inlineStr">
        <is>
          <t>ÅRE</t>
        </is>
      </c>
      <c r="G542" t="n">
        <v>3.3</v>
      </c>
      <c r="H542" t="n">
        <v>0</v>
      </c>
      <c r="I542" t="n">
        <v>0</v>
      </c>
      <c r="J542" t="n">
        <v>0</v>
      </c>
      <c r="K542" t="n">
        <v>0</v>
      </c>
      <c r="L542" t="n">
        <v>0</v>
      </c>
      <c r="M542" t="n">
        <v>0</v>
      </c>
      <c r="N542" t="n">
        <v>0</v>
      </c>
      <c r="O542" t="n">
        <v>0</v>
      </c>
      <c r="P542" t="n">
        <v>0</v>
      </c>
      <c r="Q542" t="n">
        <v>0</v>
      </c>
      <c r="R542" s="2" t="inlineStr"/>
    </row>
    <row r="543" ht="15" customHeight="1">
      <c r="A543" t="inlineStr">
        <is>
          <t>A 60540-2022</t>
        </is>
      </c>
      <c r="B543" s="1" t="n">
        <v>44904</v>
      </c>
      <c r="C543" s="1" t="n">
        <v>45577</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59387-2022</t>
        </is>
      </c>
      <c r="B544" s="1" t="n">
        <v>44905</v>
      </c>
      <c r="C544" s="1" t="n">
        <v>45577</v>
      </c>
      <c r="D544" t="inlineStr">
        <is>
          <t>JÄMTLANDS LÄN</t>
        </is>
      </c>
      <c r="E544" t="inlineStr">
        <is>
          <t>ÅRE</t>
        </is>
      </c>
      <c r="G544" t="n">
        <v>0.6</v>
      </c>
      <c r="H544" t="n">
        <v>0</v>
      </c>
      <c r="I544" t="n">
        <v>0</v>
      </c>
      <c r="J544" t="n">
        <v>0</v>
      </c>
      <c r="K544" t="n">
        <v>0</v>
      </c>
      <c r="L544" t="n">
        <v>0</v>
      </c>
      <c r="M544" t="n">
        <v>0</v>
      </c>
      <c r="N544" t="n">
        <v>0</v>
      </c>
      <c r="O544" t="n">
        <v>0</v>
      </c>
      <c r="P544" t="n">
        <v>0</v>
      </c>
      <c r="Q544" t="n">
        <v>0</v>
      </c>
      <c r="R544" s="2" t="inlineStr"/>
    </row>
    <row r="545" ht="15" customHeight="1">
      <c r="A545" t="inlineStr">
        <is>
          <t>A 60935-2022</t>
        </is>
      </c>
      <c r="B545" s="1" t="n">
        <v>44908</v>
      </c>
      <c r="C545" s="1" t="n">
        <v>45577</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60899-2022</t>
        </is>
      </c>
      <c r="B546" s="1" t="n">
        <v>44908</v>
      </c>
      <c r="C546" s="1" t="n">
        <v>45577</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60944-2022</t>
        </is>
      </c>
      <c r="B547" s="1" t="n">
        <v>44908</v>
      </c>
      <c r="C547" s="1" t="n">
        <v>45577</v>
      </c>
      <c r="D547" t="inlineStr">
        <is>
          <t>JÄMTLANDS LÄN</t>
        </is>
      </c>
      <c r="E547" t="inlineStr">
        <is>
          <t>ÅRE</t>
        </is>
      </c>
      <c r="G547" t="n">
        <v>6</v>
      </c>
      <c r="H547" t="n">
        <v>0</v>
      </c>
      <c r="I547" t="n">
        <v>0</v>
      </c>
      <c r="J547" t="n">
        <v>0</v>
      </c>
      <c r="K547" t="n">
        <v>0</v>
      </c>
      <c r="L547" t="n">
        <v>0</v>
      </c>
      <c r="M547" t="n">
        <v>0</v>
      </c>
      <c r="N547" t="n">
        <v>0</v>
      </c>
      <c r="O547" t="n">
        <v>0</v>
      </c>
      <c r="P547" t="n">
        <v>0</v>
      </c>
      <c r="Q547" t="n">
        <v>0</v>
      </c>
      <c r="R547" s="2" t="inlineStr"/>
    </row>
    <row r="548" ht="15" customHeight="1">
      <c r="A548" t="inlineStr">
        <is>
          <t>A 60921-2022</t>
        </is>
      </c>
      <c r="B548" s="1" t="n">
        <v>44908</v>
      </c>
      <c r="C548" s="1" t="n">
        <v>45577</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60941-2022</t>
        </is>
      </c>
      <c r="B549" s="1" t="n">
        <v>44908</v>
      </c>
      <c r="C549" s="1" t="n">
        <v>45577</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61340-2022</t>
        </is>
      </c>
      <c r="B550" s="1" t="n">
        <v>44909</v>
      </c>
      <c r="C550" s="1" t="n">
        <v>45577</v>
      </c>
      <c r="D550" t="inlineStr">
        <is>
          <t>JÄMTLANDS LÄN</t>
        </is>
      </c>
      <c r="E550" t="inlineStr">
        <is>
          <t>ÅRE</t>
        </is>
      </c>
      <c r="G550" t="n">
        <v>4.4</v>
      </c>
      <c r="H550" t="n">
        <v>0</v>
      </c>
      <c r="I550" t="n">
        <v>0</v>
      </c>
      <c r="J550" t="n">
        <v>0</v>
      </c>
      <c r="K550" t="n">
        <v>0</v>
      </c>
      <c r="L550" t="n">
        <v>0</v>
      </c>
      <c r="M550" t="n">
        <v>0</v>
      </c>
      <c r="N550" t="n">
        <v>0</v>
      </c>
      <c r="O550" t="n">
        <v>0</v>
      </c>
      <c r="P550" t="n">
        <v>0</v>
      </c>
      <c r="Q550" t="n">
        <v>0</v>
      </c>
      <c r="R550" s="2" t="inlineStr"/>
    </row>
    <row r="551" ht="15" customHeight="1">
      <c r="A551" t="inlineStr">
        <is>
          <t>A 61481-2022</t>
        </is>
      </c>
      <c r="B551" s="1" t="n">
        <v>44910</v>
      </c>
      <c r="C551" s="1" t="n">
        <v>45577</v>
      </c>
      <c r="D551" t="inlineStr">
        <is>
          <t>JÄMTLANDS LÄN</t>
        </is>
      </c>
      <c r="E551" t="inlineStr">
        <is>
          <t>ÅRE</t>
        </is>
      </c>
      <c r="G551" t="n">
        <v>0.4</v>
      </c>
      <c r="H551" t="n">
        <v>0</v>
      </c>
      <c r="I551" t="n">
        <v>0</v>
      </c>
      <c r="J551" t="n">
        <v>0</v>
      </c>
      <c r="K551" t="n">
        <v>0</v>
      </c>
      <c r="L551" t="n">
        <v>0</v>
      </c>
      <c r="M551" t="n">
        <v>0</v>
      </c>
      <c r="N551" t="n">
        <v>0</v>
      </c>
      <c r="O551" t="n">
        <v>0</v>
      </c>
      <c r="P551" t="n">
        <v>0</v>
      </c>
      <c r="Q551" t="n">
        <v>0</v>
      </c>
      <c r="R551" s="2" t="inlineStr"/>
    </row>
    <row r="552" ht="15" customHeight="1">
      <c r="A552" t="inlineStr">
        <is>
          <t>A 60426-2022</t>
        </is>
      </c>
      <c r="B552" s="1" t="n">
        <v>44911</v>
      </c>
      <c r="C552" s="1" t="n">
        <v>45577</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60437-2022</t>
        </is>
      </c>
      <c r="B553" s="1" t="n">
        <v>44911</v>
      </c>
      <c r="C553" s="1" t="n">
        <v>45577</v>
      </c>
      <c r="D553" t="inlineStr">
        <is>
          <t>JÄMTLANDS LÄN</t>
        </is>
      </c>
      <c r="E553" t="inlineStr">
        <is>
          <t>ÅRE</t>
        </is>
      </c>
      <c r="F553" t="inlineStr">
        <is>
          <t>Övriga Aktiebolag</t>
        </is>
      </c>
      <c r="G553" t="n">
        <v>9.4</v>
      </c>
      <c r="H553" t="n">
        <v>0</v>
      </c>
      <c r="I553" t="n">
        <v>0</v>
      </c>
      <c r="J553" t="n">
        <v>0</v>
      </c>
      <c r="K553" t="n">
        <v>0</v>
      </c>
      <c r="L553" t="n">
        <v>0</v>
      </c>
      <c r="M553" t="n">
        <v>0</v>
      </c>
      <c r="N553" t="n">
        <v>0</v>
      </c>
      <c r="O553" t="n">
        <v>0</v>
      </c>
      <c r="P553" t="n">
        <v>0</v>
      </c>
      <c r="Q553" t="n">
        <v>0</v>
      </c>
      <c r="R553" s="2" t="inlineStr"/>
    </row>
    <row r="554" ht="15" customHeight="1">
      <c r="A554" t="inlineStr">
        <is>
          <t>A 61789-2022</t>
        </is>
      </c>
      <c r="B554" s="1" t="n">
        <v>44917</v>
      </c>
      <c r="C554" s="1" t="n">
        <v>45577</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61784-2022</t>
        </is>
      </c>
      <c r="B555" s="1" t="n">
        <v>44917</v>
      </c>
      <c r="C555" s="1" t="n">
        <v>45577</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61925-2022</t>
        </is>
      </c>
      <c r="B556" s="1" t="n">
        <v>44917</v>
      </c>
      <c r="C556" s="1" t="n">
        <v>45577</v>
      </c>
      <c r="D556" t="inlineStr">
        <is>
          <t>JÄMTLANDS LÄN</t>
        </is>
      </c>
      <c r="E556" t="inlineStr">
        <is>
          <t>ÅRE</t>
        </is>
      </c>
      <c r="G556" t="n">
        <v>3.3</v>
      </c>
      <c r="H556" t="n">
        <v>0</v>
      </c>
      <c r="I556" t="n">
        <v>0</v>
      </c>
      <c r="J556" t="n">
        <v>0</v>
      </c>
      <c r="K556" t="n">
        <v>0</v>
      </c>
      <c r="L556" t="n">
        <v>0</v>
      </c>
      <c r="M556" t="n">
        <v>0</v>
      </c>
      <c r="N556" t="n">
        <v>0</v>
      </c>
      <c r="O556" t="n">
        <v>0</v>
      </c>
      <c r="P556" t="n">
        <v>0</v>
      </c>
      <c r="Q556" t="n">
        <v>0</v>
      </c>
      <c r="R556" s="2" t="inlineStr"/>
    </row>
    <row r="557" ht="15" customHeight="1">
      <c r="A557" t="inlineStr">
        <is>
          <t>A 61930-2022</t>
        </is>
      </c>
      <c r="B557" s="1" t="n">
        <v>44917</v>
      </c>
      <c r="C557" s="1" t="n">
        <v>45577</v>
      </c>
      <c r="D557" t="inlineStr">
        <is>
          <t>JÄMTLANDS LÄN</t>
        </is>
      </c>
      <c r="E557" t="inlineStr">
        <is>
          <t>ÅRE</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61924-2022</t>
        </is>
      </c>
      <c r="B558" s="1" t="n">
        <v>44917</v>
      </c>
      <c r="C558" s="1" t="n">
        <v>45577</v>
      </c>
      <c r="D558" t="inlineStr">
        <is>
          <t>JÄMTLANDS LÄN</t>
        </is>
      </c>
      <c r="E558" t="inlineStr">
        <is>
          <t>ÅRE</t>
        </is>
      </c>
      <c r="G558" t="n">
        <v>39.8</v>
      </c>
      <c r="H558" t="n">
        <v>0</v>
      </c>
      <c r="I558" t="n">
        <v>0</v>
      </c>
      <c r="J558" t="n">
        <v>0</v>
      </c>
      <c r="K558" t="n">
        <v>0</v>
      </c>
      <c r="L558" t="n">
        <v>0</v>
      </c>
      <c r="M558" t="n">
        <v>0</v>
      </c>
      <c r="N558" t="n">
        <v>0</v>
      </c>
      <c r="O558" t="n">
        <v>0</v>
      </c>
      <c r="P558" t="n">
        <v>0</v>
      </c>
      <c r="Q558" t="n">
        <v>0</v>
      </c>
      <c r="R558" s="2" t="inlineStr"/>
    </row>
    <row r="559" ht="15" customHeight="1">
      <c r="A559" t="inlineStr">
        <is>
          <t>A 61926-2022</t>
        </is>
      </c>
      <c r="B559" s="1" t="n">
        <v>44917</v>
      </c>
      <c r="C559" s="1" t="n">
        <v>45577</v>
      </c>
      <c r="D559" t="inlineStr">
        <is>
          <t>JÄMTLANDS LÄN</t>
        </is>
      </c>
      <c r="E559" t="inlineStr">
        <is>
          <t>ÅRE</t>
        </is>
      </c>
      <c r="G559" t="n">
        <v>18</v>
      </c>
      <c r="H559" t="n">
        <v>0</v>
      </c>
      <c r="I559" t="n">
        <v>0</v>
      </c>
      <c r="J559" t="n">
        <v>0</v>
      </c>
      <c r="K559" t="n">
        <v>0</v>
      </c>
      <c r="L559" t="n">
        <v>0</v>
      </c>
      <c r="M559" t="n">
        <v>0</v>
      </c>
      <c r="N559" t="n">
        <v>0</v>
      </c>
      <c r="O559" t="n">
        <v>0</v>
      </c>
      <c r="P559" t="n">
        <v>0</v>
      </c>
      <c r="Q559" t="n">
        <v>0</v>
      </c>
      <c r="R559" s="2" t="inlineStr"/>
    </row>
    <row r="560" ht="15" customHeight="1">
      <c r="A560" t="inlineStr">
        <is>
          <t>A 61931-2022</t>
        </is>
      </c>
      <c r="B560" s="1" t="n">
        <v>44917</v>
      </c>
      <c r="C560" s="1" t="n">
        <v>45577</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62520-2022</t>
        </is>
      </c>
      <c r="B561" s="1" t="n">
        <v>44924</v>
      </c>
      <c r="C561" s="1" t="n">
        <v>45577</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62528-2022</t>
        </is>
      </c>
      <c r="B562" s="1" t="n">
        <v>44924</v>
      </c>
      <c r="C562" s="1" t="n">
        <v>45577</v>
      </c>
      <c r="D562" t="inlineStr">
        <is>
          <t>JÄMTLANDS LÄN</t>
        </is>
      </c>
      <c r="E562" t="inlineStr">
        <is>
          <t>ÅRE</t>
        </is>
      </c>
      <c r="G562" t="n">
        <v>5.3</v>
      </c>
      <c r="H562" t="n">
        <v>0</v>
      </c>
      <c r="I562" t="n">
        <v>0</v>
      </c>
      <c r="J562" t="n">
        <v>0</v>
      </c>
      <c r="K562" t="n">
        <v>0</v>
      </c>
      <c r="L562" t="n">
        <v>0</v>
      </c>
      <c r="M562" t="n">
        <v>0</v>
      </c>
      <c r="N562" t="n">
        <v>0</v>
      </c>
      <c r="O562" t="n">
        <v>0</v>
      </c>
      <c r="P562" t="n">
        <v>0</v>
      </c>
      <c r="Q562" t="n">
        <v>0</v>
      </c>
      <c r="R562" s="2" t="inlineStr"/>
    </row>
    <row r="563" ht="15" customHeight="1">
      <c r="A563" t="inlineStr">
        <is>
          <t>A 62582-2022</t>
        </is>
      </c>
      <c r="B563" s="1" t="n">
        <v>44924</v>
      </c>
      <c r="C563" s="1" t="n">
        <v>45577</v>
      </c>
      <c r="D563" t="inlineStr">
        <is>
          <t>JÄMTLANDS LÄN</t>
        </is>
      </c>
      <c r="E563" t="inlineStr">
        <is>
          <t>ÅRE</t>
        </is>
      </c>
      <c r="F563" t="inlineStr">
        <is>
          <t>Övriga Aktiebolag</t>
        </is>
      </c>
      <c r="G563" t="n">
        <v>6.9</v>
      </c>
      <c r="H563" t="n">
        <v>0</v>
      </c>
      <c r="I563" t="n">
        <v>0</v>
      </c>
      <c r="J563" t="n">
        <v>0</v>
      </c>
      <c r="K563" t="n">
        <v>0</v>
      </c>
      <c r="L563" t="n">
        <v>0</v>
      </c>
      <c r="M563" t="n">
        <v>0</v>
      </c>
      <c r="N563" t="n">
        <v>0</v>
      </c>
      <c r="O563" t="n">
        <v>0</v>
      </c>
      <c r="P563" t="n">
        <v>0</v>
      </c>
      <c r="Q563" t="n">
        <v>0</v>
      </c>
      <c r="R563" s="2" t="inlineStr"/>
    </row>
    <row r="564" ht="15" customHeight="1">
      <c r="A564" t="inlineStr">
        <is>
          <t>A 34-2023</t>
        </is>
      </c>
      <c r="B564" s="1" t="n">
        <v>44928</v>
      </c>
      <c r="C564" s="1" t="n">
        <v>45577</v>
      </c>
      <c r="D564" t="inlineStr">
        <is>
          <t>JÄMTLANDS LÄN</t>
        </is>
      </c>
      <c r="E564" t="inlineStr">
        <is>
          <t>ÅRE</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278-2023</t>
        </is>
      </c>
      <c r="B565" s="1" t="n">
        <v>44928</v>
      </c>
      <c r="C565" s="1" t="n">
        <v>45577</v>
      </c>
      <c r="D565" t="inlineStr">
        <is>
          <t>JÄMTLANDS LÄN</t>
        </is>
      </c>
      <c r="E565" t="inlineStr">
        <is>
          <t>ÅRE</t>
        </is>
      </c>
      <c r="G565" t="n">
        <v>2.4</v>
      </c>
      <c r="H565" t="n">
        <v>0</v>
      </c>
      <c r="I565" t="n">
        <v>0</v>
      </c>
      <c r="J565" t="n">
        <v>0</v>
      </c>
      <c r="K565" t="n">
        <v>0</v>
      </c>
      <c r="L565" t="n">
        <v>0</v>
      </c>
      <c r="M565" t="n">
        <v>0</v>
      </c>
      <c r="N565" t="n">
        <v>0</v>
      </c>
      <c r="O565" t="n">
        <v>0</v>
      </c>
      <c r="P565" t="n">
        <v>0</v>
      </c>
      <c r="Q565" t="n">
        <v>0</v>
      </c>
      <c r="R565" s="2" t="inlineStr"/>
    </row>
    <row r="566" ht="15" customHeight="1">
      <c r="A566" t="inlineStr">
        <is>
          <t>A 556-2023</t>
        </is>
      </c>
      <c r="B566" s="1" t="n">
        <v>44930</v>
      </c>
      <c r="C566" s="1" t="n">
        <v>45577</v>
      </c>
      <c r="D566" t="inlineStr">
        <is>
          <t>JÄMTLANDS LÄN</t>
        </is>
      </c>
      <c r="E566" t="inlineStr">
        <is>
          <t>ÅRE</t>
        </is>
      </c>
      <c r="G566" t="n">
        <v>14.9</v>
      </c>
      <c r="H566" t="n">
        <v>0</v>
      </c>
      <c r="I566" t="n">
        <v>0</v>
      </c>
      <c r="J566" t="n">
        <v>0</v>
      </c>
      <c r="K566" t="n">
        <v>0</v>
      </c>
      <c r="L566" t="n">
        <v>0</v>
      </c>
      <c r="M566" t="n">
        <v>0</v>
      </c>
      <c r="N566" t="n">
        <v>0</v>
      </c>
      <c r="O566" t="n">
        <v>0</v>
      </c>
      <c r="P566" t="n">
        <v>0</v>
      </c>
      <c r="Q566" t="n">
        <v>0</v>
      </c>
      <c r="R566" s="2" t="inlineStr"/>
    </row>
    <row r="567" ht="15" customHeight="1">
      <c r="A567" t="inlineStr">
        <is>
          <t>A 772-2023</t>
        </is>
      </c>
      <c r="B567" s="1" t="n">
        <v>44931</v>
      </c>
      <c r="C567" s="1" t="n">
        <v>45577</v>
      </c>
      <c r="D567" t="inlineStr">
        <is>
          <t>JÄMTLANDS LÄN</t>
        </is>
      </c>
      <c r="E567" t="inlineStr">
        <is>
          <t>ÅRE</t>
        </is>
      </c>
      <c r="F567" t="inlineStr">
        <is>
          <t>Övriga Aktiebolag</t>
        </is>
      </c>
      <c r="G567" t="n">
        <v>3.9</v>
      </c>
      <c r="H567" t="n">
        <v>0</v>
      </c>
      <c r="I567" t="n">
        <v>0</v>
      </c>
      <c r="J567" t="n">
        <v>0</v>
      </c>
      <c r="K567" t="n">
        <v>0</v>
      </c>
      <c r="L567" t="n">
        <v>0</v>
      </c>
      <c r="M567" t="n">
        <v>0</v>
      </c>
      <c r="N567" t="n">
        <v>0</v>
      </c>
      <c r="O567" t="n">
        <v>0</v>
      </c>
      <c r="P567" t="n">
        <v>0</v>
      </c>
      <c r="Q567" t="n">
        <v>0</v>
      </c>
      <c r="R567" s="2" t="inlineStr"/>
    </row>
    <row r="568" ht="15" customHeight="1">
      <c r="A568" t="inlineStr">
        <is>
          <t>A 844-2023</t>
        </is>
      </c>
      <c r="B568" s="1" t="n">
        <v>44931</v>
      </c>
      <c r="C568" s="1" t="n">
        <v>45577</v>
      </c>
      <c r="D568" t="inlineStr">
        <is>
          <t>JÄMTLANDS LÄN</t>
        </is>
      </c>
      <c r="E568" t="inlineStr">
        <is>
          <t>ÅRE</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848-2023</t>
        </is>
      </c>
      <c r="B569" s="1" t="n">
        <v>44931</v>
      </c>
      <c r="C569" s="1" t="n">
        <v>45577</v>
      </c>
      <c r="D569" t="inlineStr">
        <is>
          <t>JÄMTLANDS LÄN</t>
        </is>
      </c>
      <c r="E569" t="inlineStr">
        <is>
          <t>ÅRE</t>
        </is>
      </c>
      <c r="F569" t="inlineStr">
        <is>
          <t>Övriga Aktiebolag</t>
        </is>
      </c>
      <c r="G569" t="n">
        <v>5.1</v>
      </c>
      <c r="H569" t="n">
        <v>0</v>
      </c>
      <c r="I569" t="n">
        <v>0</v>
      </c>
      <c r="J569" t="n">
        <v>0</v>
      </c>
      <c r="K569" t="n">
        <v>0</v>
      </c>
      <c r="L569" t="n">
        <v>0</v>
      </c>
      <c r="M569" t="n">
        <v>0</v>
      </c>
      <c r="N569" t="n">
        <v>0</v>
      </c>
      <c r="O569" t="n">
        <v>0</v>
      </c>
      <c r="P569" t="n">
        <v>0</v>
      </c>
      <c r="Q569" t="n">
        <v>0</v>
      </c>
      <c r="R569" s="2" t="inlineStr"/>
    </row>
    <row r="570" ht="15" customHeight="1">
      <c r="A570" t="inlineStr">
        <is>
          <t>A 796-2023</t>
        </is>
      </c>
      <c r="B570" s="1" t="n">
        <v>44931</v>
      </c>
      <c r="C570" s="1" t="n">
        <v>45577</v>
      </c>
      <c r="D570" t="inlineStr">
        <is>
          <t>JÄMTLANDS LÄN</t>
        </is>
      </c>
      <c r="E570" t="inlineStr">
        <is>
          <t>ÅRE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837-2023</t>
        </is>
      </c>
      <c r="B571" s="1" t="n">
        <v>44931</v>
      </c>
      <c r="C571" s="1" t="n">
        <v>45577</v>
      </c>
      <c r="D571" t="inlineStr">
        <is>
          <t>JÄMTLANDS LÄN</t>
        </is>
      </c>
      <c r="E571" t="inlineStr">
        <is>
          <t>ÅRE</t>
        </is>
      </c>
      <c r="F571" t="inlineStr">
        <is>
          <t>Övriga Aktiebolag</t>
        </is>
      </c>
      <c r="G571" t="n">
        <v>5.2</v>
      </c>
      <c r="H571" t="n">
        <v>0</v>
      </c>
      <c r="I571" t="n">
        <v>0</v>
      </c>
      <c r="J571" t="n">
        <v>0</v>
      </c>
      <c r="K571" t="n">
        <v>0</v>
      </c>
      <c r="L571" t="n">
        <v>0</v>
      </c>
      <c r="M571" t="n">
        <v>0</v>
      </c>
      <c r="N571" t="n">
        <v>0</v>
      </c>
      <c r="O571" t="n">
        <v>0</v>
      </c>
      <c r="P571" t="n">
        <v>0</v>
      </c>
      <c r="Q571" t="n">
        <v>0</v>
      </c>
      <c r="R571" s="2" t="inlineStr"/>
    </row>
    <row r="572" ht="15" customHeight="1">
      <c r="A572" t="inlineStr">
        <is>
          <t>A 1159-2023</t>
        </is>
      </c>
      <c r="B572" s="1" t="n">
        <v>44935</v>
      </c>
      <c r="C572" s="1" t="n">
        <v>45577</v>
      </c>
      <c r="D572" t="inlineStr">
        <is>
          <t>JÄMTLANDS LÄN</t>
        </is>
      </c>
      <c r="E572" t="inlineStr">
        <is>
          <t>ÅRE</t>
        </is>
      </c>
      <c r="G572" t="n">
        <v>6.4</v>
      </c>
      <c r="H572" t="n">
        <v>0</v>
      </c>
      <c r="I572" t="n">
        <v>0</v>
      </c>
      <c r="J572" t="n">
        <v>0</v>
      </c>
      <c r="K572" t="n">
        <v>0</v>
      </c>
      <c r="L572" t="n">
        <v>0</v>
      </c>
      <c r="M572" t="n">
        <v>0</v>
      </c>
      <c r="N572" t="n">
        <v>0</v>
      </c>
      <c r="O572" t="n">
        <v>0</v>
      </c>
      <c r="P572" t="n">
        <v>0</v>
      </c>
      <c r="Q572" t="n">
        <v>0</v>
      </c>
      <c r="R572" s="2" t="inlineStr"/>
    </row>
    <row r="573" ht="15" customHeight="1">
      <c r="A573" t="inlineStr">
        <is>
          <t>A 1414-2023</t>
        </is>
      </c>
      <c r="B573" s="1" t="n">
        <v>44936</v>
      </c>
      <c r="C573" s="1" t="n">
        <v>45577</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1806-2023</t>
        </is>
      </c>
      <c r="B574" s="1" t="n">
        <v>44938</v>
      </c>
      <c r="C574" s="1" t="n">
        <v>45577</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2374-2023</t>
        </is>
      </c>
      <c r="B575" s="1" t="n">
        <v>44942</v>
      </c>
      <c r="C575" s="1" t="n">
        <v>45577</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2376-2023</t>
        </is>
      </c>
      <c r="B576" s="1" t="n">
        <v>44942</v>
      </c>
      <c r="C576" s="1" t="n">
        <v>45577</v>
      </c>
      <c r="D576" t="inlineStr">
        <is>
          <t>JÄMTLANDS LÄN</t>
        </is>
      </c>
      <c r="E576" t="inlineStr">
        <is>
          <t>ÅRE</t>
        </is>
      </c>
      <c r="G576" t="n">
        <v>0.1</v>
      </c>
      <c r="H576" t="n">
        <v>0</v>
      </c>
      <c r="I576" t="n">
        <v>0</v>
      </c>
      <c r="J576" t="n">
        <v>0</v>
      </c>
      <c r="K576" t="n">
        <v>0</v>
      </c>
      <c r="L576" t="n">
        <v>0</v>
      </c>
      <c r="M576" t="n">
        <v>0</v>
      </c>
      <c r="N576" t="n">
        <v>0</v>
      </c>
      <c r="O576" t="n">
        <v>0</v>
      </c>
      <c r="P576" t="n">
        <v>0</v>
      </c>
      <c r="Q576" t="n">
        <v>0</v>
      </c>
      <c r="R576" s="2" t="inlineStr"/>
    </row>
    <row r="577" ht="15" customHeight="1">
      <c r="A577" t="inlineStr">
        <is>
          <t>A 3149-2023</t>
        </is>
      </c>
      <c r="B577" s="1" t="n">
        <v>44946</v>
      </c>
      <c r="C577" s="1" t="n">
        <v>45577</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3066-2023</t>
        </is>
      </c>
      <c r="B578" s="1" t="n">
        <v>44946</v>
      </c>
      <c r="C578" s="1" t="n">
        <v>45577</v>
      </c>
      <c r="D578" t="inlineStr">
        <is>
          <t>JÄMTLANDS LÄN</t>
        </is>
      </c>
      <c r="E578" t="inlineStr">
        <is>
          <t>ÅRE</t>
        </is>
      </c>
      <c r="G578" t="n">
        <v>1.3</v>
      </c>
      <c r="H578" t="n">
        <v>0</v>
      </c>
      <c r="I578" t="n">
        <v>0</v>
      </c>
      <c r="J578" t="n">
        <v>0</v>
      </c>
      <c r="K578" t="n">
        <v>0</v>
      </c>
      <c r="L578" t="n">
        <v>0</v>
      </c>
      <c r="M578" t="n">
        <v>0</v>
      </c>
      <c r="N578" t="n">
        <v>0</v>
      </c>
      <c r="O578" t="n">
        <v>0</v>
      </c>
      <c r="P578" t="n">
        <v>0</v>
      </c>
      <c r="Q578" t="n">
        <v>0</v>
      </c>
      <c r="R578" s="2" t="inlineStr"/>
    </row>
    <row r="579" ht="15" customHeight="1">
      <c r="A579" t="inlineStr">
        <is>
          <t>A 3147-2023</t>
        </is>
      </c>
      <c r="B579" s="1" t="n">
        <v>44946</v>
      </c>
      <c r="C579" s="1" t="n">
        <v>45577</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3154-2023</t>
        </is>
      </c>
      <c r="B580" s="1" t="n">
        <v>44946</v>
      </c>
      <c r="C580" s="1" t="n">
        <v>45577</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3196-2023</t>
        </is>
      </c>
      <c r="B581" s="1" t="n">
        <v>44946</v>
      </c>
      <c r="C581" s="1" t="n">
        <v>45577</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3204-2023</t>
        </is>
      </c>
      <c r="B582" s="1" t="n">
        <v>44946</v>
      </c>
      <c r="C582" s="1" t="n">
        <v>45577</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3263-2023</t>
        </is>
      </c>
      <c r="B583" s="1" t="n">
        <v>44949</v>
      </c>
      <c r="C583" s="1" t="n">
        <v>45577</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5651-2023</t>
        </is>
      </c>
      <c r="B584" s="1" t="n">
        <v>44958</v>
      </c>
      <c r="C584" s="1" t="n">
        <v>45577</v>
      </c>
      <c r="D584" t="inlineStr">
        <is>
          <t>JÄMTLANDS LÄN</t>
        </is>
      </c>
      <c r="E584" t="inlineStr">
        <is>
          <t>ÅRE</t>
        </is>
      </c>
      <c r="G584" t="n">
        <v>5.7</v>
      </c>
      <c r="H584" t="n">
        <v>0</v>
      </c>
      <c r="I584" t="n">
        <v>0</v>
      </c>
      <c r="J584" t="n">
        <v>0</v>
      </c>
      <c r="K584" t="n">
        <v>0</v>
      </c>
      <c r="L584" t="n">
        <v>0</v>
      </c>
      <c r="M584" t="n">
        <v>0</v>
      </c>
      <c r="N584" t="n">
        <v>0</v>
      </c>
      <c r="O584" t="n">
        <v>0</v>
      </c>
      <c r="P584" t="n">
        <v>0</v>
      </c>
      <c r="Q584" t="n">
        <v>0</v>
      </c>
      <c r="R584" s="2" t="inlineStr"/>
    </row>
    <row r="585" ht="15" customHeight="1">
      <c r="A585" t="inlineStr">
        <is>
          <t>A 5654-2023</t>
        </is>
      </c>
      <c r="B585" s="1" t="n">
        <v>44958</v>
      </c>
      <c r="C585" s="1" t="n">
        <v>45577</v>
      </c>
      <c r="D585" t="inlineStr">
        <is>
          <t>JÄMTLANDS LÄN</t>
        </is>
      </c>
      <c r="E585" t="inlineStr">
        <is>
          <t>ÅRE</t>
        </is>
      </c>
      <c r="G585" t="n">
        <v>14.4</v>
      </c>
      <c r="H585" t="n">
        <v>0</v>
      </c>
      <c r="I585" t="n">
        <v>0</v>
      </c>
      <c r="J585" t="n">
        <v>0</v>
      </c>
      <c r="K585" t="n">
        <v>0</v>
      </c>
      <c r="L585" t="n">
        <v>0</v>
      </c>
      <c r="M585" t="n">
        <v>0</v>
      </c>
      <c r="N585" t="n">
        <v>0</v>
      </c>
      <c r="O585" t="n">
        <v>0</v>
      </c>
      <c r="P585" t="n">
        <v>0</v>
      </c>
      <c r="Q585" t="n">
        <v>0</v>
      </c>
      <c r="R585" s="2" t="inlineStr"/>
    </row>
    <row r="586" ht="15" customHeight="1">
      <c r="A586" t="inlineStr">
        <is>
          <t>A 5460-2023</t>
        </is>
      </c>
      <c r="B586" s="1" t="n">
        <v>44960</v>
      </c>
      <c r="C586" s="1" t="n">
        <v>45577</v>
      </c>
      <c r="D586" t="inlineStr">
        <is>
          <t>JÄMTLANDS LÄN</t>
        </is>
      </c>
      <c r="E586" t="inlineStr">
        <is>
          <t>ÅRE</t>
        </is>
      </c>
      <c r="G586" t="n">
        <v>9.4</v>
      </c>
      <c r="H586" t="n">
        <v>0</v>
      </c>
      <c r="I586" t="n">
        <v>0</v>
      </c>
      <c r="J586" t="n">
        <v>0</v>
      </c>
      <c r="K586" t="n">
        <v>0</v>
      </c>
      <c r="L586" t="n">
        <v>0</v>
      </c>
      <c r="M586" t="n">
        <v>0</v>
      </c>
      <c r="N586" t="n">
        <v>0</v>
      </c>
      <c r="O586" t="n">
        <v>0</v>
      </c>
      <c r="P586" t="n">
        <v>0</v>
      </c>
      <c r="Q586" t="n">
        <v>0</v>
      </c>
      <c r="R586" s="2" t="inlineStr"/>
    </row>
    <row r="587" ht="15" customHeight="1">
      <c r="A587" t="inlineStr">
        <is>
          <t>A 7573-2023</t>
        </is>
      </c>
      <c r="B587" s="1" t="n">
        <v>44967</v>
      </c>
      <c r="C587" s="1" t="n">
        <v>45577</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7970-2023</t>
        </is>
      </c>
      <c r="B588" s="1" t="n">
        <v>44970</v>
      </c>
      <c r="C588" s="1" t="n">
        <v>45577</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7977-2023</t>
        </is>
      </c>
      <c r="B589" s="1" t="n">
        <v>44970</v>
      </c>
      <c r="C589" s="1" t="n">
        <v>45577</v>
      </c>
      <c r="D589" t="inlineStr">
        <is>
          <t>JÄMTLANDS LÄN</t>
        </is>
      </c>
      <c r="E589" t="inlineStr">
        <is>
          <t>ÅRE</t>
        </is>
      </c>
      <c r="G589" t="n">
        <v>2.1</v>
      </c>
      <c r="H589" t="n">
        <v>0</v>
      </c>
      <c r="I589" t="n">
        <v>0</v>
      </c>
      <c r="J589" t="n">
        <v>0</v>
      </c>
      <c r="K589" t="n">
        <v>0</v>
      </c>
      <c r="L589" t="n">
        <v>0</v>
      </c>
      <c r="M589" t="n">
        <v>0</v>
      </c>
      <c r="N589" t="n">
        <v>0</v>
      </c>
      <c r="O589" t="n">
        <v>0</v>
      </c>
      <c r="P589" t="n">
        <v>0</v>
      </c>
      <c r="Q589" t="n">
        <v>0</v>
      </c>
      <c r="R589" s="2" t="inlineStr"/>
    </row>
    <row r="590" ht="15" customHeight="1">
      <c r="A590" t="inlineStr">
        <is>
          <t>A 8443-2023</t>
        </is>
      </c>
      <c r="B590" s="1" t="n">
        <v>44977</v>
      </c>
      <c r="C590" s="1" t="n">
        <v>45577</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8630-2023</t>
        </is>
      </c>
      <c r="B591" s="1" t="n">
        <v>44977</v>
      </c>
      <c r="C591" s="1" t="n">
        <v>45577</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10248-2023</t>
        </is>
      </c>
      <c r="B592" s="1" t="n">
        <v>44980</v>
      </c>
      <c r="C592" s="1" t="n">
        <v>45577</v>
      </c>
      <c r="D592" t="inlineStr">
        <is>
          <t>JÄMTLANDS LÄN</t>
        </is>
      </c>
      <c r="E592" t="inlineStr">
        <is>
          <t>ÅRE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9775-2023</t>
        </is>
      </c>
      <c r="B593" s="1" t="n">
        <v>44984</v>
      </c>
      <c r="C593" s="1" t="n">
        <v>45577</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11813-2023</t>
        </is>
      </c>
      <c r="B594" s="1" t="n">
        <v>44994</v>
      </c>
      <c r="C594" s="1" t="n">
        <v>45577</v>
      </c>
      <c r="D594" t="inlineStr">
        <is>
          <t>JÄMTLANDS LÄN</t>
        </is>
      </c>
      <c r="E594" t="inlineStr">
        <is>
          <t>ÅRE</t>
        </is>
      </c>
      <c r="F594" t="inlineStr">
        <is>
          <t>Kommuner</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12224-2023</t>
        </is>
      </c>
      <c r="B595" s="1" t="n">
        <v>44998</v>
      </c>
      <c r="C595" s="1" t="n">
        <v>45577</v>
      </c>
      <c r="D595" t="inlineStr">
        <is>
          <t>JÄMTLANDS LÄN</t>
        </is>
      </c>
      <c r="E595" t="inlineStr">
        <is>
          <t>ÅRE</t>
        </is>
      </c>
      <c r="G595" t="n">
        <v>3.2</v>
      </c>
      <c r="H595" t="n">
        <v>0</v>
      </c>
      <c r="I595" t="n">
        <v>0</v>
      </c>
      <c r="J595" t="n">
        <v>0</v>
      </c>
      <c r="K595" t="n">
        <v>0</v>
      </c>
      <c r="L595" t="n">
        <v>0</v>
      </c>
      <c r="M595" t="n">
        <v>0</v>
      </c>
      <c r="N595" t="n">
        <v>0</v>
      </c>
      <c r="O595" t="n">
        <v>0</v>
      </c>
      <c r="P595" t="n">
        <v>0</v>
      </c>
      <c r="Q595" t="n">
        <v>0</v>
      </c>
      <c r="R595" s="2" t="inlineStr"/>
    </row>
    <row r="596" ht="15" customHeight="1">
      <c r="A596" t="inlineStr">
        <is>
          <t>A 12286-2023</t>
        </is>
      </c>
      <c r="B596" s="1" t="n">
        <v>44998</v>
      </c>
      <c r="C596" s="1" t="n">
        <v>45577</v>
      </c>
      <c r="D596" t="inlineStr">
        <is>
          <t>JÄMTLANDS LÄN</t>
        </is>
      </c>
      <c r="E596" t="inlineStr">
        <is>
          <t>ÅRE</t>
        </is>
      </c>
      <c r="G596" t="n">
        <v>7.3</v>
      </c>
      <c r="H596" t="n">
        <v>0</v>
      </c>
      <c r="I596" t="n">
        <v>0</v>
      </c>
      <c r="J596" t="n">
        <v>0</v>
      </c>
      <c r="K596" t="n">
        <v>0</v>
      </c>
      <c r="L596" t="n">
        <v>0</v>
      </c>
      <c r="M596" t="n">
        <v>0</v>
      </c>
      <c r="N596" t="n">
        <v>0</v>
      </c>
      <c r="O596" t="n">
        <v>0</v>
      </c>
      <c r="P596" t="n">
        <v>0</v>
      </c>
      <c r="Q596" t="n">
        <v>0</v>
      </c>
      <c r="R596" s="2" t="inlineStr"/>
    </row>
    <row r="597" ht="15" customHeight="1">
      <c r="A597" t="inlineStr">
        <is>
          <t>A 12290-2023</t>
        </is>
      </c>
      <c r="B597" s="1" t="n">
        <v>44998</v>
      </c>
      <c r="C597" s="1" t="n">
        <v>45577</v>
      </c>
      <c r="D597" t="inlineStr">
        <is>
          <t>JÄMTLANDS LÄN</t>
        </is>
      </c>
      <c r="E597" t="inlineStr">
        <is>
          <t>ÅRE</t>
        </is>
      </c>
      <c r="G597" t="n">
        <v>2.8</v>
      </c>
      <c r="H597" t="n">
        <v>0</v>
      </c>
      <c r="I597" t="n">
        <v>0</v>
      </c>
      <c r="J597" t="n">
        <v>0</v>
      </c>
      <c r="K597" t="n">
        <v>0</v>
      </c>
      <c r="L597" t="n">
        <v>0</v>
      </c>
      <c r="M597" t="n">
        <v>0</v>
      </c>
      <c r="N597" t="n">
        <v>0</v>
      </c>
      <c r="O597" t="n">
        <v>0</v>
      </c>
      <c r="P597" t="n">
        <v>0</v>
      </c>
      <c r="Q597" t="n">
        <v>0</v>
      </c>
      <c r="R597" s="2" t="inlineStr"/>
    </row>
    <row r="598" ht="15" customHeight="1">
      <c r="A598" t="inlineStr">
        <is>
          <t>A 12168-2023</t>
        </is>
      </c>
      <c r="B598" s="1" t="n">
        <v>44998</v>
      </c>
      <c r="C598" s="1" t="n">
        <v>45577</v>
      </c>
      <c r="D598" t="inlineStr">
        <is>
          <t>JÄMTLANDS LÄN</t>
        </is>
      </c>
      <c r="E598" t="inlineStr">
        <is>
          <t>ÅRE</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12173-2023</t>
        </is>
      </c>
      <c r="B599" s="1" t="n">
        <v>44998</v>
      </c>
      <c r="C599" s="1" t="n">
        <v>45577</v>
      </c>
      <c r="D599" t="inlineStr">
        <is>
          <t>JÄMTLANDS LÄN</t>
        </is>
      </c>
      <c r="E599" t="inlineStr">
        <is>
          <t>ÅRE</t>
        </is>
      </c>
      <c r="G599" t="n">
        <v>2.5</v>
      </c>
      <c r="H599" t="n">
        <v>0</v>
      </c>
      <c r="I599" t="n">
        <v>0</v>
      </c>
      <c r="J599" t="n">
        <v>0</v>
      </c>
      <c r="K599" t="n">
        <v>0</v>
      </c>
      <c r="L599" t="n">
        <v>0</v>
      </c>
      <c r="M599" t="n">
        <v>0</v>
      </c>
      <c r="N599" t="n">
        <v>0</v>
      </c>
      <c r="O599" t="n">
        <v>0</v>
      </c>
      <c r="P599" t="n">
        <v>0</v>
      </c>
      <c r="Q599" t="n">
        <v>0</v>
      </c>
      <c r="R599" s="2" t="inlineStr"/>
    </row>
    <row r="600" ht="15" customHeight="1">
      <c r="A600" t="inlineStr">
        <is>
          <t>A 12182-2023</t>
        </is>
      </c>
      <c r="B600" s="1" t="n">
        <v>44998</v>
      </c>
      <c r="C600" s="1" t="n">
        <v>45577</v>
      </c>
      <c r="D600" t="inlineStr">
        <is>
          <t>JÄMTLANDS LÄN</t>
        </is>
      </c>
      <c r="E600" t="inlineStr">
        <is>
          <t>ÅRE</t>
        </is>
      </c>
      <c r="G600" t="n">
        <v>11.7</v>
      </c>
      <c r="H600" t="n">
        <v>0</v>
      </c>
      <c r="I600" t="n">
        <v>0</v>
      </c>
      <c r="J600" t="n">
        <v>0</v>
      </c>
      <c r="K600" t="n">
        <v>0</v>
      </c>
      <c r="L600" t="n">
        <v>0</v>
      </c>
      <c r="M600" t="n">
        <v>0</v>
      </c>
      <c r="N600" t="n">
        <v>0</v>
      </c>
      <c r="O600" t="n">
        <v>0</v>
      </c>
      <c r="P600" t="n">
        <v>0</v>
      </c>
      <c r="Q600" t="n">
        <v>0</v>
      </c>
      <c r="R600" s="2" t="inlineStr"/>
    </row>
    <row r="601" ht="15" customHeight="1">
      <c r="A601" t="inlineStr">
        <is>
          <t>A 12216-2023</t>
        </is>
      </c>
      <c r="B601" s="1" t="n">
        <v>44998</v>
      </c>
      <c r="C601" s="1" t="n">
        <v>45577</v>
      </c>
      <c r="D601" t="inlineStr">
        <is>
          <t>JÄMTLANDS LÄN</t>
        </is>
      </c>
      <c r="E601" t="inlineStr">
        <is>
          <t>ÅRE</t>
        </is>
      </c>
      <c r="G601" t="n">
        <v>11.8</v>
      </c>
      <c r="H601" t="n">
        <v>0</v>
      </c>
      <c r="I601" t="n">
        <v>0</v>
      </c>
      <c r="J601" t="n">
        <v>0</v>
      </c>
      <c r="K601" t="n">
        <v>0</v>
      </c>
      <c r="L601" t="n">
        <v>0</v>
      </c>
      <c r="M601" t="n">
        <v>0</v>
      </c>
      <c r="N601" t="n">
        <v>0</v>
      </c>
      <c r="O601" t="n">
        <v>0</v>
      </c>
      <c r="P601" t="n">
        <v>0</v>
      </c>
      <c r="Q601" t="n">
        <v>0</v>
      </c>
      <c r="R601" s="2" t="inlineStr"/>
    </row>
    <row r="602" ht="15" customHeight="1">
      <c r="A602" t="inlineStr">
        <is>
          <t>A 12227-2023</t>
        </is>
      </c>
      <c r="B602" s="1" t="n">
        <v>44998</v>
      </c>
      <c r="C602" s="1" t="n">
        <v>45577</v>
      </c>
      <c r="D602" t="inlineStr">
        <is>
          <t>JÄMTLANDS LÄN</t>
        </is>
      </c>
      <c r="E602" t="inlineStr">
        <is>
          <t>ÅRE</t>
        </is>
      </c>
      <c r="G602" t="n">
        <v>2.9</v>
      </c>
      <c r="H602" t="n">
        <v>0</v>
      </c>
      <c r="I602" t="n">
        <v>0</v>
      </c>
      <c r="J602" t="n">
        <v>0</v>
      </c>
      <c r="K602" t="n">
        <v>0</v>
      </c>
      <c r="L602" t="n">
        <v>0</v>
      </c>
      <c r="M602" t="n">
        <v>0</v>
      </c>
      <c r="N602" t="n">
        <v>0</v>
      </c>
      <c r="O602" t="n">
        <v>0</v>
      </c>
      <c r="P602" t="n">
        <v>0</v>
      </c>
      <c r="Q602" t="n">
        <v>0</v>
      </c>
      <c r="R602" s="2" t="inlineStr"/>
    </row>
    <row r="603" ht="15" customHeight="1">
      <c r="A603" t="inlineStr">
        <is>
          <t>A 12288-2023</t>
        </is>
      </c>
      <c r="B603" s="1" t="n">
        <v>44998</v>
      </c>
      <c r="C603" s="1" t="n">
        <v>45577</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12292-2023</t>
        </is>
      </c>
      <c r="B604" s="1" t="n">
        <v>44998</v>
      </c>
      <c r="C604" s="1" t="n">
        <v>45577</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12193-2023</t>
        </is>
      </c>
      <c r="B605" s="1" t="n">
        <v>44998</v>
      </c>
      <c r="C605" s="1" t="n">
        <v>45577</v>
      </c>
      <c r="D605" t="inlineStr">
        <is>
          <t>JÄMTLANDS LÄN</t>
        </is>
      </c>
      <c r="E605" t="inlineStr">
        <is>
          <t>ÅRE</t>
        </is>
      </c>
      <c r="G605" t="n">
        <v>14.7</v>
      </c>
      <c r="H605" t="n">
        <v>0</v>
      </c>
      <c r="I605" t="n">
        <v>0</v>
      </c>
      <c r="J605" t="n">
        <v>0</v>
      </c>
      <c r="K605" t="n">
        <v>0</v>
      </c>
      <c r="L605" t="n">
        <v>0</v>
      </c>
      <c r="M605" t="n">
        <v>0</v>
      </c>
      <c r="N605" t="n">
        <v>0</v>
      </c>
      <c r="O605" t="n">
        <v>0</v>
      </c>
      <c r="P605" t="n">
        <v>0</v>
      </c>
      <c r="Q605" t="n">
        <v>0</v>
      </c>
      <c r="R605" s="2" t="inlineStr"/>
    </row>
    <row r="606" ht="15" customHeight="1">
      <c r="A606" t="inlineStr">
        <is>
          <t>A 12287-2023</t>
        </is>
      </c>
      <c r="B606" s="1" t="n">
        <v>44998</v>
      </c>
      <c r="C606" s="1" t="n">
        <v>45577</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12291-2023</t>
        </is>
      </c>
      <c r="B607" s="1" t="n">
        <v>44998</v>
      </c>
      <c r="C607" s="1" t="n">
        <v>45577</v>
      </c>
      <c r="D607" t="inlineStr">
        <is>
          <t>JÄMTLANDS LÄN</t>
        </is>
      </c>
      <c r="E607" t="inlineStr">
        <is>
          <t>ÅRE</t>
        </is>
      </c>
      <c r="G607" t="n">
        <v>6</v>
      </c>
      <c r="H607" t="n">
        <v>0</v>
      </c>
      <c r="I607" t="n">
        <v>0</v>
      </c>
      <c r="J607" t="n">
        <v>0</v>
      </c>
      <c r="K607" t="n">
        <v>0</v>
      </c>
      <c r="L607" t="n">
        <v>0</v>
      </c>
      <c r="M607" t="n">
        <v>0</v>
      </c>
      <c r="N607" t="n">
        <v>0</v>
      </c>
      <c r="O607" t="n">
        <v>0</v>
      </c>
      <c r="P607" t="n">
        <v>0</v>
      </c>
      <c r="Q607" t="n">
        <v>0</v>
      </c>
      <c r="R607" s="2" t="inlineStr"/>
    </row>
    <row r="608" ht="15" customHeight="1">
      <c r="A608" t="inlineStr">
        <is>
          <t>A 12179-2023</t>
        </is>
      </c>
      <c r="B608" s="1" t="n">
        <v>44998</v>
      </c>
      <c r="C608" s="1" t="n">
        <v>45577</v>
      </c>
      <c r="D608" t="inlineStr">
        <is>
          <t>JÄMTLANDS LÄN</t>
        </is>
      </c>
      <c r="E608" t="inlineStr">
        <is>
          <t>ÅRE</t>
        </is>
      </c>
      <c r="G608" t="n">
        <v>8.5</v>
      </c>
      <c r="H608" t="n">
        <v>0</v>
      </c>
      <c r="I608" t="n">
        <v>0</v>
      </c>
      <c r="J608" t="n">
        <v>0</v>
      </c>
      <c r="K608" t="n">
        <v>0</v>
      </c>
      <c r="L608" t="n">
        <v>0</v>
      </c>
      <c r="M608" t="n">
        <v>0</v>
      </c>
      <c r="N608" t="n">
        <v>0</v>
      </c>
      <c r="O608" t="n">
        <v>0</v>
      </c>
      <c r="P608" t="n">
        <v>0</v>
      </c>
      <c r="Q608" t="n">
        <v>0</v>
      </c>
      <c r="R608" s="2" t="inlineStr"/>
    </row>
    <row r="609" ht="15" customHeight="1">
      <c r="A609" t="inlineStr">
        <is>
          <t>A 12294-2023</t>
        </is>
      </c>
      <c r="B609" s="1" t="n">
        <v>44998</v>
      </c>
      <c r="C609" s="1" t="n">
        <v>45577</v>
      </c>
      <c r="D609" t="inlineStr">
        <is>
          <t>JÄMTLANDS LÄN</t>
        </is>
      </c>
      <c r="E609" t="inlineStr">
        <is>
          <t>ÅRE</t>
        </is>
      </c>
      <c r="G609" t="n">
        <v>1.4</v>
      </c>
      <c r="H609" t="n">
        <v>0</v>
      </c>
      <c r="I609" t="n">
        <v>0</v>
      </c>
      <c r="J609" t="n">
        <v>0</v>
      </c>
      <c r="K609" t="n">
        <v>0</v>
      </c>
      <c r="L609" t="n">
        <v>0</v>
      </c>
      <c r="M609" t="n">
        <v>0</v>
      </c>
      <c r="N609" t="n">
        <v>0</v>
      </c>
      <c r="O609" t="n">
        <v>0</v>
      </c>
      <c r="P609" t="n">
        <v>0</v>
      </c>
      <c r="Q609" t="n">
        <v>0</v>
      </c>
      <c r="R609" s="2" t="inlineStr"/>
    </row>
    <row r="610" ht="15" customHeight="1">
      <c r="A610" t="inlineStr">
        <is>
          <t>A 12663-2023</t>
        </is>
      </c>
      <c r="B610" s="1" t="n">
        <v>45000</v>
      </c>
      <c r="C610" s="1" t="n">
        <v>45577</v>
      </c>
      <c r="D610" t="inlineStr">
        <is>
          <t>JÄMTLANDS LÄN</t>
        </is>
      </c>
      <c r="E610" t="inlineStr">
        <is>
          <t>ÅRE</t>
        </is>
      </c>
      <c r="F610" t="inlineStr">
        <is>
          <t>Övriga Aktiebolag</t>
        </is>
      </c>
      <c r="G610" t="n">
        <v>5.8</v>
      </c>
      <c r="H610" t="n">
        <v>0</v>
      </c>
      <c r="I610" t="n">
        <v>0</v>
      </c>
      <c r="J610" t="n">
        <v>0</v>
      </c>
      <c r="K610" t="n">
        <v>0</v>
      </c>
      <c r="L610" t="n">
        <v>0</v>
      </c>
      <c r="M610" t="n">
        <v>0</v>
      </c>
      <c r="N610" t="n">
        <v>0</v>
      </c>
      <c r="O610" t="n">
        <v>0</v>
      </c>
      <c r="P610" t="n">
        <v>0</v>
      </c>
      <c r="Q610" t="n">
        <v>0</v>
      </c>
      <c r="R610" s="2" t="inlineStr"/>
    </row>
    <row r="611" ht="15" customHeight="1">
      <c r="A611" t="inlineStr">
        <is>
          <t>A 12669-2023</t>
        </is>
      </c>
      <c r="B611" s="1" t="n">
        <v>45000</v>
      </c>
      <c r="C611" s="1" t="n">
        <v>45577</v>
      </c>
      <c r="D611" t="inlineStr">
        <is>
          <t>JÄMTLANDS LÄN</t>
        </is>
      </c>
      <c r="E611" t="inlineStr">
        <is>
          <t>ÅRE</t>
        </is>
      </c>
      <c r="F611" t="inlineStr">
        <is>
          <t>Övriga Aktiebolag</t>
        </is>
      </c>
      <c r="G611" t="n">
        <v>2.8</v>
      </c>
      <c r="H611" t="n">
        <v>0</v>
      </c>
      <c r="I611" t="n">
        <v>0</v>
      </c>
      <c r="J611" t="n">
        <v>0</v>
      </c>
      <c r="K611" t="n">
        <v>0</v>
      </c>
      <c r="L611" t="n">
        <v>0</v>
      </c>
      <c r="M611" t="n">
        <v>0</v>
      </c>
      <c r="N611" t="n">
        <v>0</v>
      </c>
      <c r="O611" t="n">
        <v>0</v>
      </c>
      <c r="P611" t="n">
        <v>0</v>
      </c>
      <c r="Q611" t="n">
        <v>0</v>
      </c>
      <c r="R611" s="2" t="inlineStr"/>
    </row>
    <row r="612" ht="15" customHeight="1">
      <c r="A612" t="inlineStr">
        <is>
          <t>A 12816-2023</t>
        </is>
      </c>
      <c r="B612" s="1" t="n">
        <v>45000</v>
      </c>
      <c r="C612" s="1" t="n">
        <v>45577</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13648-2023</t>
        </is>
      </c>
      <c r="B613" s="1" t="n">
        <v>45006</v>
      </c>
      <c r="C613" s="1" t="n">
        <v>45577</v>
      </c>
      <c r="D613" t="inlineStr">
        <is>
          <t>JÄMTLANDS LÄN</t>
        </is>
      </c>
      <c r="E613" t="inlineStr">
        <is>
          <t>ÅRE</t>
        </is>
      </c>
      <c r="F613" t="inlineStr">
        <is>
          <t>Övriga Aktiebolag</t>
        </is>
      </c>
      <c r="G613" t="n">
        <v>5.1</v>
      </c>
      <c r="H613" t="n">
        <v>0</v>
      </c>
      <c r="I613" t="n">
        <v>0</v>
      </c>
      <c r="J613" t="n">
        <v>0</v>
      </c>
      <c r="K613" t="n">
        <v>0</v>
      </c>
      <c r="L613" t="n">
        <v>0</v>
      </c>
      <c r="M613" t="n">
        <v>0</v>
      </c>
      <c r="N613" t="n">
        <v>0</v>
      </c>
      <c r="O613" t="n">
        <v>0</v>
      </c>
      <c r="P613" t="n">
        <v>0</v>
      </c>
      <c r="Q613" t="n">
        <v>0</v>
      </c>
      <c r="R613" s="2" t="inlineStr"/>
    </row>
    <row r="614" ht="15" customHeight="1">
      <c r="A614" t="inlineStr">
        <is>
          <t>A 13631-2023</t>
        </is>
      </c>
      <c r="B614" s="1" t="n">
        <v>45006</v>
      </c>
      <c r="C614" s="1" t="n">
        <v>45577</v>
      </c>
      <c r="D614" t="inlineStr">
        <is>
          <t>JÄMTLANDS LÄN</t>
        </is>
      </c>
      <c r="E614" t="inlineStr">
        <is>
          <t>ÅRE</t>
        </is>
      </c>
      <c r="G614" t="n">
        <v>2</v>
      </c>
      <c r="H614" t="n">
        <v>0</v>
      </c>
      <c r="I614" t="n">
        <v>0</v>
      </c>
      <c r="J614" t="n">
        <v>0</v>
      </c>
      <c r="K614" t="n">
        <v>0</v>
      </c>
      <c r="L614" t="n">
        <v>0</v>
      </c>
      <c r="M614" t="n">
        <v>0</v>
      </c>
      <c r="N614" t="n">
        <v>0</v>
      </c>
      <c r="O614" t="n">
        <v>0</v>
      </c>
      <c r="P614" t="n">
        <v>0</v>
      </c>
      <c r="Q614" t="n">
        <v>0</v>
      </c>
      <c r="R614" s="2" t="inlineStr"/>
    </row>
    <row r="615" ht="15" customHeight="1">
      <c r="A615" t="inlineStr">
        <is>
          <t>A 13645-2023</t>
        </is>
      </c>
      <c r="B615" s="1" t="n">
        <v>45006</v>
      </c>
      <c r="C615" s="1" t="n">
        <v>45577</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15884-2023</t>
        </is>
      </c>
      <c r="B616" s="1" t="n">
        <v>45022</v>
      </c>
      <c r="C616" s="1" t="n">
        <v>45577</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15892-2023</t>
        </is>
      </c>
      <c r="B617" s="1" t="n">
        <v>45022</v>
      </c>
      <c r="C617" s="1" t="n">
        <v>45577</v>
      </c>
      <c r="D617" t="inlineStr">
        <is>
          <t>JÄMTLANDS LÄN</t>
        </is>
      </c>
      <c r="E617" t="inlineStr">
        <is>
          <t>ÅRE</t>
        </is>
      </c>
      <c r="G617" t="n">
        <v>16.1</v>
      </c>
      <c r="H617" t="n">
        <v>0</v>
      </c>
      <c r="I617" t="n">
        <v>0</v>
      </c>
      <c r="J617" t="n">
        <v>0</v>
      </c>
      <c r="K617" t="n">
        <v>0</v>
      </c>
      <c r="L617" t="n">
        <v>0</v>
      </c>
      <c r="M617" t="n">
        <v>0</v>
      </c>
      <c r="N617" t="n">
        <v>0</v>
      </c>
      <c r="O617" t="n">
        <v>0</v>
      </c>
      <c r="P617" t="n">
        <v>0</v>
      </c>
      <c r="Q617" t="n">
        <v>0</v>
      </c>
      <c r="R617" s="2" t="inlineStr"/>
    </row>
    <row r="618" ht="15" customHeight="1">
      <c r="A618" t="inlineStr">
        <is>
          <t>A 17566-2023</t>
        </is>
      </c>
      <c r="B618" s="1" t="n">
        <v>45034</v>
      </c>
      <c r="C618" s="1" t="n">
        <v>45577</v>
      </c>
      <c r="D618" t="inlineStr">
        <is>
          <t>JÄMTLANDS LÄN</t>
        </is>
      </c>
      <c r="E618" t="inlineStr">
        <is>
          <t>ÅRE</t>
        </is>
      </c>
      <c r="G618" t="n">
        <v>4.8</v>
      </c>
      <c r="H618" t="n">
        <v>0</v>
      </c>
      <c r="I618" t="n">
        <v>0</v>
      </c>
      <c r="J618" t="n">
        <v>0</v>
      </c>
      <c r="K618" t="n">
        <v>0</v>
      </c>
      <c r="L618" t="n">
        <v>0</v>
      </c>
      <c r="M618" t="n">
        <v>0</v>
      </c>
      <c r="N618" t="n">
        <v>0</v>
      </c>
      <c r="O618" t="n">
        <v>0</v>
      </c>
      <c r="P618" t="n">
        <v>0</v>
      </c>
      <c r="Q618" t="n">
        <v>0</v>
      </c>
      <c r="R618" s="2" t="inlineStr"/>
    </row>
    <row r="619" ht="15" customHeight="1">
      <c r="A619" t="inlineStr">
        <is>
          <t>A 17636-2023</t>
        </is>
      </c>
      <c r="B619" s="1" t="n">
        <v>45036</v>
      </c>
      <c r="C619" s="1" t="n">
        <v>45577</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17703-2023</t>
        </is>
      </c>
      <c r="B620" s="1" t="n">
        <v>45037</v>
      </c>
      <c r="C620" s="1" t="n">
        <v>45577</v>
      </c>
      <c r="D620" t="inlineStr">
        <is>
          <t>JÄMTLANDS LÄN</t>
        </is>
      </c>
      <c r="E620" t="inlineStr">
        <is>
          <t>ÅRE</t>
        </is>
      </c>
      <c r="F620" t="inlineStr">
        <is>
          <t>Övriga Aktiebolag</t>
        </is>
      </c>
      <c r="G620" t="n">
        <v>4</v>
      </c>
      <c r="H620" t="n">
        <v>0</v>
      </c>
      <c r="I620" t="n">
        <v>0</v>
      </c>
      <c r="J620" t="n">
        <v>0</v>
      </c>
      <c r="K620" t="n">
        <v>0</v>
      </c>
      <c r="L620" t="n">
        <v>0</v>
      </c>
      <c r="M620" t="n">
        <v>0</v>
      </c>
      <c r="N620" t="n">
        <v>0</v>
      </c>
      <c r="O620" t="n">
        <v>0</v>
      </c>
      <c r="P620" t="n">
        <v>0</v>
      </c>
      <c r="Q620" t="n">
        <v>0</v>
      </c>
      <c r="R620" s="2" t="inlineStr"/>
    </row>
    <row r="621" ht="15" customHeight="1">
      <c r="A621" t="inlineStr">
        <is>
          <t>A 17847-2023</t>
        </is>
      </c>
      <c r="B621" s="1" t="n">
        <v>45037</v>
      </c>
      <c r="C621" s="1" t="n">
        <v>45577</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18204-2023</t>
        </is>
      </c>
      <c r="B622" s="1" t="n">
        <v>45040</v>
      </c>
      <c r="C622" s="1" t="n">
        <v>45577</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18253-2023</t>
        </is>
      </c>
      <c r="B623" s="1" t="n">
        <v>45041</v>
      </c>
      <c r="C623" s="1" t="n">
        <v>45577</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18264-2023</t>
        </is>
      </c>
      <c r="B624" s="1" t="n">
        <v>45041</v>
      </c>
      <c r="C624" s="1" t="n">
        <v>45577</v>
      </c>
      <c r="D624" t="inlineStr">
        <is>
          <t>JÄMTLANDS LÄN</t>
        </is>
      </c>
      <c r="E624" t="inlineStr">
        <is>
          <t>ÅRE</t>
        </is>
      </c>
      <c r="G624" t="n">
        <v>0.2</v>
      </c>
      <c r="H624" t="n">
        <v>0</v>
      </c>
      <c r="I624" t="n">
        <v>0</v>
      </c>
      <c r="J624" t="n">
        <v>0</v>
      </c>
      <c r="K624" t="n">
        <v>0</v>
      </c>
      <c r="L624" t="n">
        <v>0</v>
      </c>
      <c r="M624" t="n">
        <v>0</v>
      </c>
      <c r="N624" t="n">
        <v>0</v>
      </c>
      <c r="O624" t="n">
        <v>0</v>
      </c>
      <c r="P624" t="n">
        <v>0</v>
      </c>
      <c r="Q624" t="n">
        <v>0</v>
      </c>
      <c r="R624" s="2" t="inlineStr"/>
    </row>
    <row r="625" ht="15" customHeight="1">
      <c r="A625" t="inlineStr">
        <is>
          <t>A 19694-2023</t>
        </is>
      </c>
      <c r="B625" s="1" t="n">
        <v>45051</v>
      </c>
      <c r="C625" s="1" t="n">
        <v>45577</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19698-2023</t>
        </is>
      </c>
      <c r="B626" s="1" t="n">
        <v>45051</v>
      </c>
      <c r="C626" s="1" t="n">
        <v>45577</v>
      </c>
      <c r="D626" t="inlineStr">
        <is>
          <t>JÄMTLANDS LÄN</t>
        </is>
      </c>
      <c r="E626" t="inlineStr">
        <is>
          <t>ÅRE</t>
        </is>
      </c>
      <c r="G626" t="n">
        <v>1.4</v>
      </c>
      <c r="H626" t="n">
        <v>0</v>
      </c>
      <c r="I626" t="n">
        <v>0</v>
      </c>
      <c r="J626" t="n">
        <v>0</v>
      </c>
      <c r="K626" t="n">
        <v>0</v>
      </c>
      <c r="L626" t="n">
        <v>0</v>
      </c>
      <c r="M626" t="n">
        <v>0</v>
      </c>
      <c r="N626" t="n">
        <v>0</v>
      </c>
      <c r="O626" t="n">
        <v>0</v>
      </c>
      <c r="P626" t="n">
        <v>0</v>
      </c>
      <c r="Q626" t="n">
        <v>0</v>
      </c>
      <c r="R626" s="2" t="inlineStr"/>
    </row>
    <row r="627" ht="15" customHeight="1">
      <c r="A627" t="inlineStr">
        <is>
          <t>A 19705-2023</t>
        </is>
      </c>
      <c r="B627" s="1" t="n">
        <v>45051</v>
      </c>
      <c r="C627" s="1" t="n">
        <v>45577</v>
      </c>
      <c r="D627" t="inlineStr">
        <is>
          <t>JÄMTLANDS LÄN</t>
        </is>
      </c>
      <c r="E627" t="inlineStr">
        <is>
          <t>ÅRE</t>
        </is>
      </c>
      <c r="G627" t="n">
        <v>4.7</v>
      </c>
      <c r="H627" t="n">
        <v>0</v>
      </c>
      <c r="I627" t="n">
        <v>0</v>
      </c>
      <c r="J627" t="n">
        <v>0</v>
      </c>
      <c r="K627" t="n">
        <v>0</v>
      </c>
      <c r="L627" t="n">
        <v>0</v>
      </c>
      <c r="M627" t="n">
        <v>0</v>
      </c>
      <c r="N627" t="n">
        <v>0</v>
      </c>
      <c r="O627" t="n">
        <v>0</v>
      </c>
      <c r="P627" t="n">
        <v>0</v>
      </c>
      <c r="Q627" t="n">
        <v>0</v>
      </c>
      <c r="R627" s="2" t="inlineStr"/>
    </row>
    <row r="628" ht="15" customHeight="1">
      <c r="A628" t="inlineStr">
        <is>
          <t>A 19877-2023</t>
        </is>
      </c>
      <c r="B628" s="1" t="n">
        <v>45054</v>
      </c>
      <c r="C628" s="1" t="n">
        <v>45577</v>
      </c>
      <c r="D628" t="inlineStr">
        <is>
          <t>JÄMTLANDS LÄN</t>
        </is>
      </c>
      <c r="E628" t="inlineStr">
        <is>
          <t>ÅRE</t>
        </is>
      </c>
      <c r="G628" t="n">
        <v>6.1</v>
      </c>
      <c r="H628" t="n">
        <v>0</v>
      </c>
      <c r="I628" t="n">
        <v>0</v>
      </c>
      <c r="J628" t="n">
        <v>0</v>
      </c>
      <c r="K628" t="n">
        <v>0</v>
      </c>
      <c r="L628" t="n">
        <v>0</v>
      </c>
      <c r="M628" t="n">
        <v>0</v>
      </c>
      <c r="N628" t="n">
        <v>0</v>
      </c>
      <c r="O628" t="n">
        <v>0</v>
      </c>
      <c r="P628" t="n">
        <v>0</v>
      </c>
      <c r="Q628" t="n">
        <v>0</v>
      </c>
      <c r="R628" s="2" t="inlineStr"/>
    </row>
    <row r="629" ht="15" customHeight="1">
      <c r="A629" t="inlineStr">
        <is>
          <t>A 20278-2023</t>
        </is>
      </c>
      <c r="B629" s="1" t="n">
        <v>45056</v>
      </c>
      <c r="C629" s="1" t="n">
        <v>45577</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23805-2023</t>
        </is>
      </c>
      <c r="B630" s="1" t="n">
        <v>45075</v>
      </c>
      <c r="C630" s="1" t="n">
        <v>45577</v>
      </c>
      <c r="D630" t="inlineStr">
        <is>
          <t>JÄMTLANDS LÄN</t>
        </is>
      </c>
      <c r="E630" t="inlineStr">
        <is>
          <t>ÅRE</t>
        </is>
      </c>
      <c r="G630" t="n">
        <v>0.9</v>
      </c>
      <c r="H630" t="n">
        <v>0</v>
      </c>
      <c r="I630" t="n">
        <v>0</v>
      </c>
      <c r="J630" t="n">
        <v>0</v>
      </c>
      <c r="K630" t="n">
        <v>0</v>
      </c>
      <c r="L630" t="n">
        <v>0</v>
      </c>
      <c r="M630" t="n">
        <v>0</v>
      </c>
      <c r="N630" t="n">
        <v>0</v>
      </c>
      <c r="O630" t="n">
        <v>0</v>
      </c>
      <c r="P630" t="n">
        <v>0</v>
      </c>
      <c r="Q630" t="n">
        <v>0</v>
      </c>
      <c r="R630" s="2" t="inlineStr"/>
    </row>
    <row r="631" ht="15" customHeight="1">
      <c r="A631" t="inlineStr">
        <is>
          <t>A 24655-2023</t>
        </is>
      </c>
      <c r="B631" s="1" t="n">
        <v>45084</v>
      </c>
      <c r="C631" s="1" t="n">
        <v>45577</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25040-2023</t>
        </is>
      </c>
      <c r="B632" s="1" t="n">
        <v>45086</v>
      </c>
      <c r="C632" s="1" t="n">
        <v>45577</v>
      </c>
      <c r="D632" t="inlineStr">
        <is>
          <t>JÄMTLANDS LÄN</t>
        </is>
      </c>
      <c r="E632" t="inlineStr">
        <is>
          <t>ÅRE</t>
        </is>
      </c>
      <c r="G632" t="n">
        <v>0.8</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45577</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25302-2023</t>
        </is>
      </c>
      <c r="B634" s="1" t="n">
        <v>45086</v>
      </c>
      <c r="C634" s="1" t="n">
        <v>45577</v>
      </c>
      <c r="D634" t="inlineStr">
        <is>
          <t>JÄMTLANDS LÄN</t>
        </is>
      </c>
      <c r="E634" t="inlineStr">
        <is>
          <t>ÅRE</t>
        </is>
      </c>
      <c r="G634" t="n">
        <v>1.3</v>
      </c>
      <c r="H634" t="n">
        <v>0</v>
      </c>
      <c r="I634" t="n">
        <v>0</v>
      </c>
      <c r="J634" t="n">
        <v>0</v>
      </c>
      <c r="K634" t="n">
        <v>0</v>
      </c>
      <c r="L634" t="n">
        <v>0</v>
      </c>
      <c r="M634" t="n">
        <v>0</v>
      </c>
      <c r="N634" t="n">
        <v>0</v>
      </c>
      <c r="O634" t="n">
        <v>0</v>
      </c>
      <c r="P634" t="n">
        <v>0</v>
      </c>
      <c r="Q634" t="n">
        <v>0</v>
      </c>
      <c r="R634" s="2" t="inlineStr"/>
    </row>
    <row r="635" ht="15" customHeight="1">
      <c r="A635" t="inlineStr">
        <is>
          <t>A 25303-2023</t>
        </is>
      </c>
      <c r="B635" s="1" t="n">
        <v>45086</v>
      </c>
      <c r="C635" s="1" t="n">
        <v>45577</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26032-2023</t>
        </is>
      </c>
      <c r="B636" s="1" t="n">
        <v>45091</v>
      </c>
      <c r="C636" s="1" t="n">
        <v>45577</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26033-2023</t>
        </is>
      </c>
      <c r="B637" s="1" t="n">
        <v>45091</v>
      </c>
      <c r="C637" s="1" t="n">
        <v>45577</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26960-2023</t>
        </is>
      </c>
      <c r="B638" s="1" t="n">
        <v>45091</v>
      </c>
      <c r="C638" s="1" t="n">
        <v>45577</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29293-2023</t>
        </is>
      </c>
      <c r="B639" s="1" t="n">
        <v>45098</v>
      </c>
      <c r="C639" s="1" t="n">
        <v>45577</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29295-2023</t>
        </is>
      </c>
      <c r="B640" s="1" t="n">
        <v>45098</v>
      </c>
      <c r="C640" s="1" t="n">
        <v>45577</v>
      </c>
      <c r="D640" t="inlineStr">
        <is>
          <t>JÄMTLANDS LÄN</t>
        </is>
      </c>
      <c r="E640" t="inlineStr">
        <is>
          <t>ÅRE</t>
        </is>
      </c>
      <c r="G640" t="n">
        <v>3.9</v>
      </c>
      <c r="H640" t="n">
        <v>0</v>
      </c>
      <c r="I640" t="n">
        <v>0</v>
      </c>
      <c r="J640" t="n">
        <v>0</v>
      </c>
      <c r="K640" t="n">
        <v>0</v>
      </c>
      <c r="L640" t="n">
        <v>0</v>
      </c>
      <c r="M640" t="n">
        <v>0</v>
      </c>
      <c r="N640" t="n">
        <v>0</v>
      </c>
      <c r="O640" t="n">
        <v>0</v>
      </c>
      <c r="P640" t="n">
        <v>0</v>
      </c>
      <c r="Q640" t="n">
        <v>0</v>
      </c>
      <c r="R640" s="2" t="inlineStr"/>
    </row>
    <row r="641" ht="15" customHeight="1">
      <c r="A641" t="inlineStr">
        <is>
          <t>A 29469-2023</t>
        </is>
      </c>
      <c r="B641" s="1" t="n">
        <v>45098</v>
      </c>
      <c r="C641" s="1" t="n">
        <v>45577</v>
      </c>
      <c r="D641" t="inlineStr">
        <is>
          <t>JÄMTLANDS LÄN</t>
        </is>
      </c>
      <c r="E641" t="inlineStr">
        <is>
          <t>ÅRE</t>
        </is>
      </c>
      <c r="G641" t="n">
        <v>0.6</v>
      </c>
      <c r="H641" t="n">
        <v>0</v>
      </c>
      <c r="I641" t="n">
        <v>0</v>
      </c>
      <c r="J641" t="n">
        <v>0</v>
      </c>
      <c r="K641" t="n">
        <v>0</v>
      </c>
      <c r="L641" t="n">
        <v>0</v>
      </c>
      <c r="M641" t="n">
        <v>0</v>
      </c>
      <c r="N641" t="n">
        <v>0</v>
      </c>
      <c r="O641" t="n">
        <v>0</v>
      </c>
      <c r="P641" t="n">
        <v>0</v>
      </c>
      <c r="Q641" t="n">
        <v>0</v>
      </c>
      <c r="R641" s="2" t="inlineStr"/>
    </row>
    <row r="642" ht="15" customHeight="1">
      <c r="A642" t="inlineStr">
        <is>
          <t>A 29294-2023</t>
        </is>
      </c>
      <c r="B642" s="1" t="n">
        <v>45098</v>
      </c>
      <c r="C642" s="1" t="n">
        <v>45577</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29531-2023</t>
        </is>
      </c>
      <c r="B643" s="1" t="n">
        <v>45098</v>
      </c>
      <c r="C643" s="1" t="n">
        <v>45577</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30660-2023</t>
        </is>
      </c>
      <c r="B644" s="1" t="n">
        <v>45098</v>
      </c>
      <c r="C644" s="1" t="n">
        <v>45577</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30263-2023</t>
        </is>
      </c>
      <c r="B645" s="1" t="n">
        <v>45099</v>
      </c>
      <c r="C645" s="1" t="n">
        <v>45577</v>
      </c>
      <c r="D645" t="inlineStr">
        <is>
          <t>JÄMTLANDS LÄN</t>
        </is>
      </c>
      <c r="E645" t="inlineStr">
        <is>
          <t>ÅRE</t>
        </is>
      </c>
      <c r="G645" t="n">
        <v>15.9</v>
      </c>
      <c r="H645" t="n">
        <v>0</v>
      </c>
      <c r="I645" t="n">
        <v>0</v>
      </c>
      <c r="J645" t="n">
        <v>0</v>
      </c>
      <c r="K645" t="n">
        <v>0</v>
      </c>
      <c r="L645" t="n">
        <v>0</v>
      </c>
      <c r="M645" t="n">
        <v>0</v>
      </c>
      <c r="N645" t="n">
        <v>0</v>
      </c>
      <c r="O645" t="n">
        <v>0</v>
      </c>
      <c r="P645" t="n">
        <v>0</v>
      </c>
      <c r="Q645" t="n">
        <v>0</v>
      </c>
      <c r="R645" s="2" t="inlineStr"/>
    </row>
    <row r="646" ht="15" customHeight="1">
      <c r="A646" t="inlineStr">
        <is>
          <t>A 33774-2023</t>
        </is>
      </c>
      <c r="B646" s="1" t="n">
        <v>45120</v>
      </c>
      <c r="C646" s="1" t="n">
        <v>45577</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33117-2023</t>
        </is>
      </c>
      <c r="B647" s="1" t="n">
        <v>45126</v>
      </c>
      <c r="C647" s="1" t="n">
        <v>45577</v>
      </c>
      <c r="D647" t="inlineStr">
        <is>
          <t>JÄMTLANDS LÄN</t>
        </is>
      </c>
      <c r="E647" t="inlineStr">
        <is>
          <t>ÅRE</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33123-2023</t>
        </is>
      </c>
      <c r="B648" s="1" t="n">
        <v>45126</v>
      </c>
      <c r="C648" s="1" t="n">
        <v>45577</v>
      </c>
      <c r="D648" t="inlineStr">
        <is>
          <t>JÄMTLANDS LÄN</t>
        </is>
      </c>
      <c r="E648" t="inlineStr">
        <is>
          <t>ÅRE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33121-2023</t>
        </is>
      </c>
      <c r="B649" s="1" t="n">
        <v>45126</v>
      </c>
      <c r="C649" s="1" t="n">
        <v>45577</v>
      </c>
      <c r="D649" t="inlineStr">
        <is>
          <t>JÄMTLANDS LÄN</t>
        </is>
      </c>
      <c r="E649" t="inlineStr">
        <is>
          <t>ÅRE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34231-2023</t>
        </is>
      </c>
      <c r="B650" s="1" t="n">
        <v>45127</v>
      </c>
      <c r="C650" s="1" t="n">
        <v>45577</v>
      </c>
      <c r="D650" t="inlineStr">
        <is>
          <t>JÄMTLANDS LÄN</t>
        </is>
      </c>
      <c r="E650" t="inlineStr">
        <is>
          <t>ÅRE</t>
        </is>
      </c>
      <c r="G650" t="n">
        <v>18.3</v>
      </c>
      <c r="H650" t="n">
        <v>0</v>
      </c>
      <c r="I650" t="n">
        <v>0</v>
      </c>
      <c r="J650" t="n">
        <v>0</v>
      </c>
      <c r="K650" t="n">
        <v>0</v>
      </c>
      <c r="L650" t="n">
        <v>0</v>
      </c>
      <c r="M650" t="n">
        <v>0</v>
      </c>
      <c r="N650" t="n">
        <v>0</v>
      </c>
      <c r="O650" t="n">
        <v>0</v>
      </c>
      <c r="P650" t="n">
        <v>0</v>
      </c>
      <c r="Q650" t="n">
        <v>0</v>
      </c>
      <c r="R650" s="2" t="inlineStr"/>
    </row>
    <row r="651" ht="15" customHeight="1">
      <c r="A651" t="inlineStr">
        <is>
          <t>A 34538-2023</t>
        </is>
      </c>
      <c r="B651" s="1" t="n">
        <v>45134</v>
      </c>
      <c r="C651" s="1" t="n">
        <v>45577</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36048-2023</t>
        </is>
      </c>
      <c r="B652" s="1" t="n">
        <v>45149</v>
      </c>
      <c r="C652" s="1" t="n">
        <v>45577</v>
      </c>
      <c r="D652" t="inlineStr">
        <is>
          <t>JÄMTLANDS LÄN</t>
        </is>
      </c>
      <c r="E652" t="inlineStr">
        <is>
          <t>ÅRE</t>
        </is>
      </c>
      <c r="G652" t="n">
        <v>11.4</v>
      </c>
      <c r="H652" t="n">
        <v>0</v>
      </c>
      <c r="I652" t="n">
        <v>0</v>
      </c>
      <c r="J652" t="n">
        <v>0</v>
      </c>
      <c r="K652" t="n">
        <v>0</v>
      </c>
      <c r="L652" t="n">
        <v>0</v>
      </c>
      <c r="M652" t="n">
        <v>0</v>
      </c>
      <c r="N652" t="n">
        <v>0</v>
      </c>
      <c r="O652" t="n">
        <v>0</v>
      </c>
      <c r="P652" t="n">
        <v>0</v>
      </c>
      <c r="Q652" t="n">
        <v>0</v>
      </c>
      <c r="R652" s="2" t="inlineStr"/>
    </row>
    <row r="653" ht="15" customHeight="1">
      <c r="A653" t="inlineStr">
        <is>
          <t>A 36234-2023</t>
        </is>
      </c>
      <c r="B653" s="1" t="n">
        <v>45150</v>
      </c>
      <c r="C653" s="1" t="n">
        <v>45577</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36235-2023</t>
        </is>
      </c>
      <c r="B654" s="1" t="n">
        <v>45150</v>
      </c>
      <c r="C654" s="1" t="n">
        <v>45577</v>
      </c>
      <c r="D654" t="inlineStr">
        <is>
          <t>JÄMTLANDS LÄN</t>
        </is>
      </c>
      <c r="E654" t="inlineStr">
        <is>
          <t>ÅRE</t>
        </is>
      </c>
      <c r="G654" t="n">
        <v>4.4</v>
      </c>
      <c r="H654" t="n">
        <v>0</v>
      </c>
      <c r="I654" t="n">
        <v>0</v>
      </c>
      <c r="J654" t="n">
        <v>0</v>
      </c>
      <c r="K654" t="n">
        <v>0</v>
      </c>
      <c r="L654" t="n">
        <v>0</v>
      </c>
      <c r="M654" t="n">
        <v>0</v>
      </c>
      <c r="N654" t="n">
        <v>0</v>
      </c>
      <c r="O654" t="n">
        <v>0</v>
      </c>
      <c r="P654" t="n">
        <v>0</v>
      </c>
      <c r="Q654" t="n">
        <v>0</v>
      </c>
      <c r="R654" s="2" t="inlineStr"/>
    </row>
    <row r="655" ht="15" customHeight="1">
      <c r="A655" t="inlineStr">
        <is>
          <t>A 37729-2023</t>
        </is>
      </c>
      <c r="B655" s="1" t="n">
        <v>45159</v>
      </c>
      <c r="C655" s="1" t="n">
        <v>45577</v>
      </c>
      <c r="D655" t="inlineStr">
        <is>
          <t>JÄMTLANDS LÄN</t>
        </is>
      </c>
      <c r="E655" t="inlineStr">
        <is>
          <t>ÅRE</t>
        </is>
      </c>
      <c r="G655" t="n">
        <v>2.4</v>
      </c>
      <c r="H655" t="n">
        <v>0</v>
      </c>
      <c r="I655" t="n">
        <v>0</v>
      </c>
      <c r="J655" t="n">
        <v>0</v>
      </c>
      <c r="K655" t="n">
        <v>0</v>
      </c>
      <c r="L655" t="n">
        <v>0</v>
      </c>
      <c r="M655" t="n">
        <v>0</v>
      </c>
      <c r="N655" t="n">
        <v>0</v>
      </c>
      <c r="O655" t="n">
        <v>0</v>
      </c>
      <c r="P655" t="n">
        <v>0</v>
      </c>
      <c r="Q655" t="n">
        <v>0</v>
      </c>
      <c r="R655" s="2" t="inlineStr"/>
    </row>
    <row r="656" ht="15" customHeight="1">
      <c r="A656" t="inlineStr">
        <is>
          <t>A 37734-2023</t>
        </is>
      </c>
      <c r="B656" s="1" t="n">
        <v>45159</v>
      </c>
      <c r="C656" s="1" t="n">
        <v>45577</v>
      </c>
      <c r="D656" t="inlineStr">
        <is>
          <t>JÄMTLANDS LÄN</t>
        </is>
      </c>
      <c r="E656" t="inlineStr">
        <is>
          <t>ÅRE</t>
        </is>
      </c>
      <c r="G656" t="n">
        <v>3.4</v>
      </c>
      <c r="H656" t="n">
        <v>0</v>
      </c>
      <c r="I656" t="n">
        <v>0</v>
      </c>
      <c r="J656" t="n">
        <v>0</v>
      </c>
      <c r="K656" t="n">
        <v>0</v>
      </c>
      <c r="L656" t="n">
        <v>0</v>
      </c>
      <c r="M656" t="n">
        <v>0</v>
      </c>
      <c r="N656" t="n">
        <v>0</v>
      </c>
      <c r="O656" t="n">
        <v>0</v>
      </c>
      <c r="P656" t="n">
        <v>0</v>
      </c>
      <c r="Q656" t="n">
        <v>0</v>
      </c>
      <c r="R656" s="2" t="inlineStr"/>
    </row>
    <row r="657" ht="15" customHeight="1">
      <c r="A657" t="inlineStr">
        <is>
          <t>A 37739-2023</t>
        </is>
      </c>
      <c r="B657" s="1" t="n">
        <v>45159</v>
      </c>
      <c r="C657" s="1" t="n">
        <v>45577</v>
      </c>
      <c r="D657" t="inlineStr">
        <is>
          <t>JÄMTLANDS LÄN</t>
        </is>
      </c>
      <c r="E657" t="inlineStr">
        <is>
          <t>ÅRE</t>
        </is>
      </c>
      <c r="G657" t="n">
        <v>1.1</v>
      </c>
      <c r="H657" t="n">
        <v>0</v>
      </c>
      <c r="I657" t="n">
        <v>0</v>
      </c>
      <c r="J657" t="n">
        <v>0</v>
      </c>
      <c r="K657" t="n">
        <v>0</v>
      </c>
      <c r="L657" t="n">
        <v>0</v>
      </c>
      <c r="M657" t="n">
        <v>0</v>
      </c>
      <c r="N657" t="n">
        <v>0</v>
      </c>
      <c r="O657" t="n">
        <v>0</v>
      </c>
      <c r="P657" t="n">
        <v>0</v>
      </c>
      <c r="Q657" t="n">
        <v>0</v>
      </c>
      <c r="R657" s="2" t="inlineStr"/>
    </row>
    <row r="658" ht="15" customHeight="1">
      <c r="A658" t="inlineStr">
        <is>
          <t>A 37758-2023</t>
        </is>
      </c>
      <c r="B658" s="1" t="n">
        <v>45159</v>
      </c>
      <c r="C658" s="1" t="n">
        <v>45577</v>
      </c>
      <c r="D658" t="inlineStr">
        <is>
          <t>JÄMTLANDS LÄN</t>
        </is>
      </c>
      <c r="E658" t="inlineStr">
        <is>
          <t>ÅRE</t>
        </is>
      </c>
      <c r="G658" t="n">
        <v>20.1</v>
      </c>
      <c r="H658" t="n">
        <v>0</v>
      </c>
      <c r="I658" t="n">
        <v>0</v>
      </c>
      <c r="J658" t="n">
        <v>0</v>
      </c>
      <c r="K658" t="n">
        <v>0</v>
      </c>
      <c r="L658" t="n">
        <v>0</v>
      </c>
      <c r="M658" t="n">
        <v>0</v>
      </c>
      <c r="N658" t="n">
        <v>0</v>
      </c>
      <c r="O658" t="n">
        <v>0</v>
      </c>
      <c r="P658" t="n">
        <v>0</v>
      </c>
      <c r="Q658" t="n">
        <v>0</v>
      </c>
      <c r="R658" s="2" t="inlineStr"/>
    </row>
    <row r="659" ht="15" customHeight="1">
      <c r="A659" t="inlineStr">
        <is>
          <t>A 40143-2023</t>
        </is>
      </c>
      <c r="B659" s="1" t="n">
        <v>45169</v>
      </c>
      <c r="C659" s="1" t="n">
        <v>45577</v>
      </c>
      <c r="D659" t="inlineStr">
        <is>
          <t>JÄMTLANDS LÄN</t>
        </is>
      </c>
      <c r="E659" t="inlineStr">
        <is>
          <t>ÅRE</t>
        </is>
      </c>
      <c r="G659" t="n">
        <v>8</v>
      </c>
      <c r="H659" t="n">
        <v>0</v>
      </c>
      <c r="I659" t="n">
        <v>0</v>
      </c>
      <c r="J659" t="n">
        <v>0</v>
      </c>
      <c r="K659" t="n">
        <v>0</v>
      </c>
      <c r="L659" t="n">
        <v>0</v>
      </c>
      <c r="M659" t="n">
        <v>0</v>
      </c>
      <c r="N659" t="n">
        <v>0</v>
      </c>
      <c r="O659" t="n">
        <v>0</v>
      </c>
      <c r="P659" t="n">
        <v>0</v>
      </c>
      <c r="Q659" t="n">
        <v>0</v>
      </c>
      <c r="R659" s="2" t="inlineStr"/>
    </row>
    <row r="660" ht="15" customHeight="1">
      <c r="A660" t="inlineStr">
        <is>
          <t>A 40323-2023</t>
        </is>
      </c>
      <c r="B660" s="1" t="n">
        <v>45169</v>
      </c>
      <c r="C660" s="1" t="n">
        <v>45577</v>
      </c>
      <c r="D660" t="inlineStr">
        <is>
          <t>JÄMTLANDS LÄN</t>
        </is>
      </c>
      <c r="E660" t="inlineStr">
        <is>
          <t>ÅRE</t>
        </is>
      </c>
      <c r="G660" t="n">
        <v>5.1</v>
      </c>
      <c r="H660" t="n">
        <v>0</v>
      </c>
      <c r="I660" t="n">
        <v>0</v>
      </c>
      <c r="J660" t="n">
        <v>0</v>
      </c>
      <c r="K660" t="n">
        <v>0</v>
      </c>
      <c r="L660" t="n">
        <v>0</v>
      </c>
      <c r="M660" t="n">
        <v>0</v>
      </c>
      <c r="N660" t="n">
        <v>0</v>
      </c>
      <c r="O660" t="n">
        <v>0</v>
      </c>
      <c r="P660" t="n">
        <v>0</v>
      </c>
      <c r="Q660" t="n">
        <v>0</v>
      </c>
      <c r="R660" s="2" t="inlineStr"/>
    </row>
    <row r="661" ht="15" customHeight="1">
      <c r="A661" t="inlineStr">
        <is>
          <t>A 42626-2023</t>
        </is>
      </c>
      <c r="B661" s="1" t="n">
        <v>45181</v>
      </c>
      <c r="C661" s="1" t="n">
        <v>45577</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43103-2023</t>
        </is>
      </c>
      <c r="B662" s="1" t="n">
        <v>45183</v>
      </c>
      <c r="C662" s="1" t="n">
        <v>45577</v>
      </c>
      <c r="D662" t="inlineStr">
        <is>
          <t>JÄMTLANDS LÄN</t>
        </is>
      </c>
      <c r="E662" t="inlineStr">
        <is>
          <t>ÅRE</t>
        </is>
      </c>
      <c r="G662" t="n">
        <v>7.2</v>
      </c>
      <c r="H662" t="n">
        <v>0</v>
      </c>
      <c r="I662" t="n">
        <v>0</v>
      </c>
      <c r="J662" t="n">
        <v>0</v>
      </c>
      <c r="K662" t="n">
        <v>0</v>
      </c>
      <c r="L662" t="n">
        <v>0</v>
      </c>
      <c r="M662" t="n">
        <v>0</v>
      </c>
      <c r="N662" t="n">
        <v>0</v>
      </c>
      <c r="O662" t="n">
        <v>0</v>
      </c>
      <c r="P662" t="n">
        <v>0</v>
      </c>
      <c r="Q662" t="n">
        <v>0</v>
      </c>
      <c r="R662" s="2" t="inlineStr"/>
    </row>
    <row r="663" ht="15" customHeight="1">
      <c r="A663" t="inlineStr">
        <is>
          <t>A 43446-2023</t>
        </is>
      </c>
      <c r="B663" s="1" t="n">
        <v>45184</v>
      </c>
      <c r="C663" s="1" t="n">
        <v>45577</v>
      </c>
      <c r="D663" t="inlineStr">
        <is>
          <t>JÄMTLANDS LÄN</t>
        </is>
      </c>
      <c r="E663" t="inlineStr">
        <is>
          <t>ÅRE</t>
        </is>
      </c>
      <c r="F663" t="inlineStr">
        <is>
          <t>Övriga Aktiebolag</t>
        </is>
      </c>
      <c r="G663" t="n">
        <v>6.4</v>
      </c>
      <c r="H663" t="n">
        <v>0</v>
      </c>
      <c r="I663" t="n">
        <v>0</v>
      </c>
      <c r="J663" t="n">
        <v>0</v>
      </c>
      <c r="K663" t="n">
        <v>0</v>
      </c>
      <c r="L663" t="n">
        <v>0</v>
      </c>
      <c r="M663" t="n">
        <v>0</v>
      </c>
      <c r="N663" t="n">
        <v>0</v>
      </c>
      <c r="O663" t="n">
        <v>0</v>
      </c>
      <c r="P663" t="n">
        <v>0</v>
      </c>
      <c r="Q663" t="n">
        <v>0</v>
      </c>
      <c r="R663" s="2" t="inlineStr"/>
    </row>
    <row r="664" ht="15" customHeight="1">
      <c r="A664" t="inlineStr">
        <is>
          <t>A 43449-2023</t>
        </is>
      </c>
      <c r="B664" s="1" t="n">
        <v>45184</v>
      </c>
      <c r="C664" s="1" t="n">
        <v>45577</v>
      </c>
      <c r="D664" t="inlineStr">
        <is>
          <t>JÄMTLANDS LÄN</t>
        </is>
      </c>
      <c r="E664" t="inlineStr">
        <is>
          <t>ÅRE</t>
        </is>
      </c>
      <c r="F664" t="inlineStr">
        <is>
          <t>Övriga Aktiebolag</t>
        </is>
      </c>
      <c r="G664" t="n">
        <v>3.1</v>
      </c>
      <c r="H664" t="n">
        <v>0</v>
      </c>
      <c r="I664" t="n">
        <v>0</v>
      </c>
      <c r="J664" t="n">
        <v>0</v>
      </c>
      <c r="K664" t="n">
        <v>0</v>
      </c>
      <c r="L664" t="n">
        <v>0</v>
      </c>
      <c r="M664" t="n">
        <v>0</v>
      </c>
      <c r="N664" t="n">
        <v>0</v>
      </c>
      <c r="O664" t="n">
        <v>0</v>
      </c>
      <c r="P664" t="n">
        <v>0</v>
      </c>
      <c r="Q664" t="n">
        <v>0</v>
      </c>
      <c r="R664" s="2" t="inlineStr"/>
    </row>
    <row r="665" ht="15" customHeight="1">
      <c r="A665" t="inlineStr">
        <is>
          <t>A 43456-2023</t>
        </is>
      </c>
      <c r="B665" s="1" t="n">
        <v>45184</v>
      </c>
      <c r="C665" s="1" t="n">
        <v>45577</v>
      </c>
      <c r="D665" t="inlineStr">
        <is>
          <t>JÄMTLANDS LÄN</t>
        </is>
      </c>
      <c r="E665" t="inlineStr">
        <is>
          <t>ÅRE</t>
        </is>
      </c>
      <c r="F665" t="inlineStr">
        <is>
          <t>Övriga Aktiebolag</t>
        </is>
      </c>
      <c r="G665" t="n">
        <v>8.9</v>
      </c>
      <c r="H665" t="n">
        <v>0</v>
      </c>
      <c r="I665" t="n">
        <v>0</v>
      </c>
      <c r="J665" t="n">
        <v>0</v>
      </c>
      <c r="K665" t="n">
        <v>0</v>
      </c>
      <c r="L665" t="n">
        <v>0</v>
      </c>
      <c r="M665" t="n">
        <v>0</v>
      </c>
      <c r="N665" t="n">
        <v>0</v>
      </c>
      <c r="O665" t="n">
        <v>0</v>
      </c>
      <c r="P665" t="n">
        <v>0</v>
      </c>
      <c r="Q665" t="n">
        <v>0</v>
      </c>
      <c r="R665" s="2" t="inlineStr"/>
    </row>
    <row r="666" ht="15" customHeight="1">
      <c r="A666" t="inlineStr">
        <is>
          <t>A 44512-2023</t>
        </is>
      </c>
      <c r="B666" s="1" t="n">
        <v>45184</v>
      </c>
      <c r="C666" s="1" t="n">
        <v>45577</v>
      </c>
      <c r="D666" t="inlineStr">
        <is>
          <t>JÄMTLANDS LÄN</t>
        </is>
      </c>
      <c r="E666" t="inlineStr">
        <is>
          <t>ÅRE</t>
        </is>
      </c>
      <c r="G666" t="n">
        <v>12.5</v>
      </c>
      <c r="H666" t="n">
        <v>0</v>
      </c>
      <c r="I666" t="n">
        <v>0</v>
      </c>
      <c r="J666" t="n">
        <v>0</v>
      </c>
      <c r="K666" t="n">
        <v>0</v>
      </c>
      <c r="L666" t="n">
        <v>0</v>
      </c>
      <c r="M666" t="n">
        <v>0</v>
      </c>
      <c r="N666" t="n">
        <v>0</v>
      </c>
      <c r="O666" t="n">
        <v>0</v>
      </c>
      <c r="P666" t="n">
        <v>0</v>
      </c>
      <c r="Q666" t="n">
        <v>0</v>
      </c>
      <c r="R666" s="2" t="inlineStr"/>
    </row>
    <row r="667" ht="15" customHeight="1">
      <c r="A667" t="inlineStr">
        <is>
          <t>A 45242-2023</t>
        </is>
      </c>
      <c r="B667" s="1" t="n">
        <v>45187</v>
      </c>
      <c r="C667" s="1" t="n">
        <v>45577</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44889-2023</t>
        </is>
      </c>
      <c r="B668" s="1" t="n">
        <v>45190</v>
      </c>
      <c r="C668" s="1" t="n">
        <v>45577</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44898-2023</t>
        </is>
      </c>
      <c r="B669" s="1" t="n">
        <v>45190</v>
      </c>
      <c r="C669" s="1" t="n">
        <v>45577</v>
      </c>
      <c r="D669" t="inlineStr">
        <is>
          <t>JÄMTLANDS LÄN</t>
        </is>
      </c>
      <c r="E669" t="inlineStr">
        <is>
          <t>ÅRE</t>
        </is>
      </c>
      <c r="G669" t="n">
        <v>1.1</v>
      </c>
      <c r="H669" t="n">
        <v>0</v>
      </c>
      <c r="I669" t="n">
        <v>0</v>
      </c>
      <c r="J669" t="n">
        <v>0</v>
      </c>
      <c r="K669" t="n">
        <v>0</v>
      </c>
      <c r="L669" t="n">
        <v>0</v>
      </c>
      <c r="M669" t="n">
        <v>0</v>
      </c>
      <c r="N669" t="n">
        <v>0</v>
      </c>
      <c r="O669" t="n">
        <v>0</v>
      </c>
      <c r="P669" t="n">
        <v>0</v>
      </c>
      <c r="Q669" t="n">
        <v>0</v>
      </c>
      <c r="R669" s="2" t="inlineStr"/>
    </row>
    <row r="670" ht="15" customHeight="1">
      <c r="A670" t="inlineStr">
        <is>
          <t>A 46510-2023</t>
        </is>
      </c>
      <c r="B670" s="1" t="n">
        <v>45197</v>
      </c>
      <c r="C670" s="1" t="n">
        <v>45577</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47698-2023</t>
        </is>
      </c>
      <c r="B671" s="1" t="n">
        <v>45203</v>
      </c>
      <c r="C671" s="1" t="n">
        <v>45577</v>
      </c>
      <c r="D671" t="inlineStr">
        <is>
          <t>JÄMTLANDS LÄN</t>
        </is>
      </c>
      <c r="E671" t="inlineStr">
        <is>
          <t>ÅRE</t>
        </is>
      </c>
      <c r="G671" t="n">
        <v>12</v>
      </c>
      <c r="H671" t="n">
        <v>0</v>
      </c>
      <c r="I671" t="n">
        <v>0</v>
      </c>
      <c r="J671" t="n">
        <v>0</v>
      </c>
      <c r="K671" t="n">
        <v>0</v>
      </c>
      <c r="L671" t="n">
        <v>0</v>
      </c>
      <c r="M671" t="n">
        <v>0</v>
      </c>
      <c r="N671" t="n">
        <v>0</v>
      </c>
      <c r="O671" t="n">
        <v>0</v>
      </c>
      <c r="P671" t="n">
        <v>0</v>
      </c>
      <c r="Q671" t="n">
        <v>0</v>
      </c>
      <c r="R671" s="2" t="inlineStr"/>
    </row>
    <row r="672" ht="15" customHeight="1">
      <c r="A672" t="inlineStr">
        <is>
          <t>A 48599-2023</t>
        </is>
      </c>
      <c r="B672" s="1" t="n">
        <v>45208</v>
      </c>
      <c r="C672" s="1" t="n">
        <v>45577</v>
      </c>
      <c r="D672" t="inlineStr">
        <is>
          <t>JÄMTLANDS LÄN</t>
        </is>
      </c>
      <c r="E672" t="inlineStr">
        <is>
          <t>ÅRE</t>
        </is>
      </c>
      <c r="G672" t="n">
        <v>1.1</v>
      </c>
      <c r="H672" t="n">
        <v>0</v>
      </c>
      <c r="I672" t="n">
        <v>0</v>
      </c>
      <c r="J672" t="n">
        <v>0</v>
      </c>
      <c r="K672" t="n">
        <v>0</v>
      </c>
      <c r="L672" t="n">
        <v>0</v>
      </c>
      <c r="M672" t="n">
        <v>0</v>
      </c>
      <c r="N672" t="n">
        <v>0</v>
      </c>
      <c r="O672" t="n">
        <v>0</v>
      </c>
      <c r="P672" t="n">
        <v>0</v>
      </c>
      <c r="Q672" t="n">
        <v>0</v>
      </c>
      <c r="R672" s="2" t="inlineStr"/>
    </row>
    <row r="673" ht="15" customHeight="1">
      <c r="A673" t="inlineStr">
        <is>
          <t>A 52169-2023</t>
        </is>
      </c>
      <c r="B673" s="1" t="n">
        <v>45212</v>
      </c>
      <c r="C673" s="1" t="n">
        <v>45577</v>
      </c>
      <c r="D673" t="inlineStr">
        <is>
          <t>JÄMTLANDS LÄN</t>
        </is>
      </c>
      <c r="E673" t="inlineStr">
        <is>
          <t>ÅRE</t>
        </is>
      </c>
      <c r="F673" t="inlineStr">
        <is>
          <t>Övriga statliga verk och myndigheter</t>
        </is>
      </c>
      <c r="G673" t="n">
        <v>28.1</v>
      </c>
      <c r="H673" t="n">
        <v>0</v>
      </c>
      <c r="I673" t="n">
        <v>0</v>
      </c>
      <c r="J673" t="n">
        <v>0</v>
      </c>
      <c r="K673" t="n">
        <v>0</v>
      </c>
      <c r="L673" t="n">
        <v>0</v>
      </c>
      <c r="M673" t="n">
        <v>0</v>
      </c>
      <c r="N673" t="n">
        <v>0</v>
      </c>
      <c r="O673" t="n">
        <v>0</v>
      </c>
      <c r="P673" t="n">
        <v>0</v>
      </c>
      <c r="Q673" t="n">
        <v>0</v>
      </c>
      <c r="R673" s="2" t="inlineStr"/>
    </row>
    <row r="674" ht="15" customHeight="1">
      <c r="A674" t="inlineStr">
        <is>
          <t>A 50843-2023</t>
        </is>
      </c>
      <c r="B674" s="1" t="n">
        <v>45218</v>
      </c>
      <c r="C674" s="1" t="n">
        <v>45577</v>
      </c>
      <c r="D674" t="inlineStr">
        <is>
          <t>JÄMTLANDS LÄN</t>
        </is>
      </c>
      <c r="E674" t="inlineStr">
        <is>
          <t>ÅRE</t>
        </is>
      </c>
      <c r="G674" t="n">
        <v>3.7</v>
      </c>
      <c r="H674" t="n">
        <v>0</v>
      </c>
      <c r="I674" t="n">
        <v>0</v>
      </c>
      <c r="J674" t="n">
        <v>0</v>
      </c>
      <c r="K674" t="n">
        <v>0</v>
      </c>
      <c r="L674" t="n">
        <v>0</v>
      </c>
      <c r="M674" t="n">
        <v>0</v>
      </c>
      <c r="N674" t="n">
        <v>0</v>
      </c>
      <c r="O674" t="n">
        <v>0</v>
      </c>
      <c r="P674" t="n">
        <v>0</v>
      </c>
      <c r="Q674" t="n">
        <v>0</v>
      </c>
      <c r="R674" s="2" t="inlineStr"/>
    </row>
    <row r="675" ht="15" customHeight="1">
      <c r="A675" t="inlineStr">
        <is>
          <t>A 50951-2023</t>
        </is>
      </c>
      <c r="B675" s="1" t="n">
        <v>45218</v>
      </c>
      <c r="C675" s="1" t="n">
        <v>45577</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51317-2023</t>
        </is>
      </c>
      <c r="B676" s="1" t="n">
        <v>45219</v>
      </c>
      <c r="C676" s="1" t="n">
        <v>45577</v>
      </c>
      <c r="D676" t="inlineStr">
        <is>
          <t>JÄMTLANDS LÄN</t>
        </is>
      </c>
      <c r="E676" t="inlineStr">
        <is>
          <t>ÅRE</t>
        </is>
      </c>
      <c r="G676" t="n">
        <v>2.9</v>
      </c>
      <c r="H676" t="n">
        <v>0</v>
      </c>
      <c r="I676" t="n">
        <v>0</v>
      </c>
      <c r="J676" t="n">
        <v>0</v>
      </c>
      <c r="K676" t="n">
        <v>0</v>
      </c>
      <c r="L676" t="n">
        <v>0</v>
      </c>
      <c r="M676" t="n">
        <v>0</v>
      </c>
      <c r="N676" t="n">
        <v>0</v>
      </c>
      <c r="O676" t="n">
        <v>0</v>
      </c>
      <c r="P676" t="n">
        <v>0</v>
      </c>
      <c r="Q676" t="n">
        <v>0</v>
      </c>
      <c r="R676" s="2" t="inlineStr"/>
    </row>
    <row r="677" ht="15" customHeight="1">
      <c r="A677" t="inlineStr">
        <is>
          <t>A 51271-2023</t>
        </is>
      </c>
      <c r="B677" s="1" t="n">
        <v>45219</v>
      </c>
      <c r="C677" s="1" t="n">
        <v>45577</v>
      </c>
      <c r="D677" t="inlineStr">
        <is>
          <t>JÄMTLANDS LÄN</t>
        </is>
      </c>
      <c r="E677" t="inlineStr">
        <is>
          <t>ÅRE</t>
        </is>
      </c>
      <c r="G677" t="n">
        <v>4.8</v>
      </c>
      <c r="H677" t="n">
        <v>0</v>
      </c>
      <c r="I677" t="n">
        <v>0</v>
      </c>
      <c r="J677" t="n">
        <v>0</v>
      </c>
      <c r="K677" t="n">
        <v>0</v>
      </c>
      <c r="L677" t="n">
        <v>0</v>
      </c>
      <c r="M677" t="n">
        <v>0</v>
      </c>
      <c r="N677" t="n">
        <v>0</v>
      </c>
      <c r="O677" t="n">
        <v>0</v>
      </c>
      <c r="P677" t="n">
        <v>0</v>
      </c>
      <c r="Q677" t="n">
        <v>0</v>
      </c>
      <c r="R677" s="2" t="inlineStr"/>
    </row>
    <row r="678" ht="15" customHeight="1">
      <c r="A678" t="inlineStr">
        <is>
          <t>A 51311-2023</t>
        </is>
      </c>
      <c r="B678" s="1" t="n">
        <v>45219</v>
      </c>
      <c r="C678" s="1" t="n">
        <v>45577</v>
      </c>
      <c r="D678" t="inlineStr">
        <is>
          <t>JÄMTLANDS LÄN</t>
        </is>
      </c>
      <c r="E678" t="inlineStr">
        <is>
          <t>ÅRE</t>
        </is>
      </c>
      <c r="G678" t="n">
        <v>14.2</v>
      </c>
      <c r="H678" t="n">
        <v>0</v>
      </c>
      <c r="I678" t="n">
        <v>0</v>
      </c>
      <c r="J678" t="n">
        <v>0</v>
      </c>
      <c r="K678" t="n">
        <v>0</v>
      </c>
      <c r="L678" t="n">
        <v>0</v>
      </c>
      <c r="M678" t="n">
        <v>0</v>
      </c>
      <c r="N678" t="n">
        <v>0</v>
      </c>
      <c r="O678" t="n">
        <v>0</v>
      </c>
      <c r="P678" t="n">
        <v>0</v>
      </c>
      <c r="Q678" t="n">
        <v>0</v>
      </c>
      <c r="R678" s="2" t="inlineStr"/>
    </row>
    <row r="679" ht="15" customHeight="1">
      <c r="A679" t="inlineStr">
        <is>
          <t>A 51282-2023</t>
        </is>
      </c>
      <c r="B679" s="1" t="n">
        <v>45219</v>
      </c>
      <c r="C679" s="1" t="n">
        <v>45577</v>
      </c>
      <c r="D679" t="inlineStr">
        <is>
          <t>JÄMTLANDS LÄN</t>
        </is>
      </c>
      <c r="E679" t="inlineStr">
        <is>
          <t>ÅRE</t>
        </is>
      </c>
      <c r="G679" t="n">
        <v>2.3</v>
      </c>
      <c r="H679" t="n">
        <v>0</v>
      </c>
      <c r="I679" t="n">
        <v>0</v>
      </c>
      <c r="J679" t="n">
        <v>0</v>
      </c>
      <c r="K679" t="n">
        <v>0</v>
      </c>
      <c r="L679" t="n">
        <v>0</v>
      </c>
      <c r="M679" t="n">
        <v>0</v>
      </c>
      <c r="N679" t="n">
        <v>0</v>
      </c>
      <c r="O679" t="n">
        <v>0</v>
      </c>
      <c r="P679" t="n">
        <v>0</v>
      </c>
      <c r="Q679" t="n">
        <v>0</v>
      </c>
      <c r="R679" s="2" t="inlineStr"/>
    </row>
    <row r="680" ht="15" customHeight="1">
      <c r="A680" t="inlineStr">
        <is>
          <t>A 51277-2023</t>
        </is>
      </c>
      <c r="B680" s="1" t="n">
        <v>45219</v>
      </c>
      <c r="C680" s="1" t="n">
        <v>45577</v>
      </c>
      <c r="D680" t="inlineStr">
        <is>
          <t>JÄMTLANDS LÄN</t>
        </is>
      </c>
      <c r="E680" t="inlineStr">
        <is>
          <t>ÅRE</t>
        </is>
      </c>
      <c r="G680" t="n">
        <v>0.9</v>
      </c>
      <c r="H680" t="n">
        <v>0</v>
      </c>
      <c r="I680" t="n">
        <v>0</v>
      </c>
      <c r="J680" t="n">
        <v>0</v>
      </c>
      <c r="K680" t="n">
        <v>0</v>
      </c>
      <c r="L680" t="n">
        <v>0</v>
      </c>
      <c r="M680" t="n">
        <v>0</v>
      </c>
      <c r="N680" t="n">
        <v>0</v>
      </c>
      <c r="O680" t="n">
        <v>0</v>
      </c>
      <c r="P680" t="n">
        <v>0</v>
      </c>
      <c r="Q680" t="n">
        <v>0</v>
      </c>
      <c r="R680" s="2" t="inlineStr"/>
    </row>
    <row r="681" ht="15" customHeight="1">
      <c r="A681" t="inlineStr">
        <is>
          <t>A 51831-2023</t>
        </is>
      </c>
      <c r="B681" s="1" t="n">
        <v>45222</v>
      </c>
      <c r="C681" s="1" t="n">
        <v>45577</v>
      </c>
      <c r="D681" t="inlineStr">
        <is>
          <t>JÄMTLANDS LÄN</t>
        </is>
      </c>
      <c r="E681" t="inlineStr">
        <is>
          <t>ÅRE</t>
        </is>
      </c>
      <c r="G681" t="n">
        <v>2</v>
      </c>
      <c r="H681" t="n">
        <v>0</v>
      </c>
      <c r="I681" t="n">
        <v>0</v>
      </c>
      <c r="J681" t="n">
        <v>0</v>
      </c>
      <c r="K681" t="n">
        <v>0</v>
      </c>
      <c r="L681" t="n">
        <v>0</v>
      </c>
      <c r="M681" t="n">
        <v>0</v>
      </c>
      <c r="N681" t="n">
        <v>0</v>
      </c>
      <c r="O681" t="n">
        <v>0</v>
      </c>
      <c r="P681" t="n">
        <v>0</v>
      </c>
      <c r="Q681" t="n">
        <v>0</v>
      </c>
      <c r="R681" s="2" t="inlineStr"/>
    </row>
    <row r="682" ht="15" customHeight="1">
      <c r="A682" t="inlineStr">
        <is>
          <t>A 52676-2023</t>
        </is>
      </c>
      <c r="B682" s="1" t="n">
        <v>45225</v>
      </c>
      <c r="C682" s="1" t="n">
        <v>45577</v>
      </c>
      <c r="D682" t="inlineStr">
        <is>
          <t>JÄMTLANDS LÄN</t>
        </is>
      </c>
      <c r="E682" t="inlineStr">
        <is>
          <t>ÅRE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54303-2023</t>
        </is>
      </c>
      <c r="B683" s="1" t="n">
        <v>45225</v>
      </c>
      <c r="C683" s="1" t="n">
        <v>45577</v>
      </c>
      <c r="D683" t="inlineStr">
        <is>
          <t>JÄMTLANDS LÄN</t>
        </is>
      </c>
      <c r="E683" t="inlineStr">
        <is>
          <t>ÅRE</t>
        </is>
      </c>
      <c r="G683" t="n">
        <v>8.9</v>
      </c>
      <c r="H683" t="n">
        <v>0</v>
      </c>
      <c r="I683" t="n">
        <v>0</v>
      </c>
      <c r="J683" t="n">
        <v>0</v>
      </c>
      <c r="K683" t="n">
        <v>0</v>
      </c>
      <c r="L683" t="n">
        <v>0</v>
      </c>
      <c r="M683" t="n">
        <v>0</v>
      </c>
      <c r="N683" t="n">
        <v>0</v>
      </c>
      <c r="O683" t="n">
        <v>0</v>
      </c>
      <c r="P683" t="n">
        <v>0</v>
      </c>
      <c r="Q683" t="n">
        <v>0</v>
      </c>
      <c r="R683" s="2" t="inlineStr"/>
    </row>
    <row r="684" ht="15" customHeight="1">
      <c r="A684" t="inlineStr">
        <is>
          <t>A 54324-2023</t>
        </is>
      </c>
      <c r="B684" s="1" t="n">
        <v>45225</v>
      </c>
      <c r="C684" s="1" t="n">
        <v>45577</v>
      </c>
      <c r="D684" t="inlineStr">
        <is>
          <t>JÄMTLANDS LÄN</t>
        </is>
      </c>
      <c r="E684" t="inlineStr">
        <is>
          <t>ÅRE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54847-2023</t>
        </is>
      </c>
      <c r="B685" s="1" t="n">
        <v>45229</v>
      </c>
      <c r="C685" s="1" t="n">
        <v>45577</v>
      </c>
      <c r="D685" t="inlineStr">
        <is>
          <t>JÄMTLANDS LÄN</t>
        </is>
      </c>
      <c r="E685" t="inlineStr">
        <is>
          <t>ÅRE</t>
        </is>
      </c>
      <c r="G685" t="n">
        <v>16.6</v>
      </c>
      <c r="H685" t="n">
        <v>0</v>
      </c>
      <c r="I685" t="n">
        <v>0</v>
      </c>
      <c r="J685" t="n">
        <v>0</v>
      </c>
      <c r="K685" t="n">
        <v>0</v>
      </c>
      <c r="L685" t="n">
        <v>0</v>
      </c>
      <c r="M685" t="n">
        <v>0</v>
      </c>
      <c r="N685" t="n">
        <v>0</v>
      </c>
      <c r="O685" t="n">
        <v>0</v>
      </c>
      <c r="P685" t="n">
        <v>0</v>
      </c>
      <c r="Q685" t="n">
        <v>0</v>
      </c>
      <c r="R685" s="2" t="inlineStr"/>
    </row>
    <row r="686" ht="15" customHeight="1">
      <c r="A686" t="inlineStr">
        <is>
          <t>A 55109-2023</t>
        </is>
      </c>
      <c r="B686" s="1" t="n">
        <v>45230</v>
      </c>
      <c r="C686" s="1" t="n">
        <v>45577</v>
      </c>
      <c r="D686" t="inlineStr">
        <is>
          <t>JÄMTLANDS LÄN</t>
        </is>
      </c>
      <c r="E686" t="inlineStr">
        <is>
          <t>ÅRE</t>
        </is>
      </c>
      <c r="G686" t="n">
        <v>1.7</v>
      </c>
      <c r="H686" t="n">
        <v>0</v>
      </c>
      <c r="I686" t="n">
        <v>0</v>
      </c>
      <c r="J686" t="n">
        <v>0</v>
      </c>
      <c r="K686" t="n">
        <v>0</v>
      </c>
      <c r="L686" t="n">
        <v>0</v>
      </c>
      <c r="M686" t="n">
        <v>0</v>
      </c>
      <c r="N686" t="n">
        <v>0</v>
      </c>
      <c r="O686" t="n">
        <v>0</v>
      </c>
      <c r="P686" t="n">
        <v>0</v>
      </c>
      <c r="Q686" t="n">
        <v>0</v>
      </c>
      <c r="R686" s="2" t="inlineStr"/>
    </row>
    <row r="687" ht="15" customHeight="1">
      <c r="A687" t="inlineStr">
        <is>
          <t>A 53899-2023</t>
        </is>
      </c>
      <c r="B687" s="1" t="n">
        <v>45231</v>
      </c>
      <c r="C687" s="1" t="n">
        <v>45577</v>
      </c>
      <c r="D687" t="inlineStr">
        <is>
          <t>JÄMTLANDS LÄN</t>
        </is>
      </c>
      <c r="E687" t="inlineStr">
        <is>
          <t>ÅRE</t>
        </is>
      </c>
      <c r="G687" t="n">
        <v>20.4</v>
      </c>
      <c r="H687" t="n">
        <v>0</v>
      </c>
      <c r="I687" t="n">
        <v>0</v>
      </c>
      <c r="J687" t="n">
        <v>0</v>
      </c>
      <c r="K687" t="n">
        <v>0</v>
      </c>
      <c r="L687" t="n">
        <v>0</v>
      </c>
      <c r="M687" t="n">
        <v>0</v>
      </c>
      <c r="N687" t="n">
        <v>0</v>
      </c>
      <c r="O687" t="n">
        <v>0</v>
      </c>
      <c r="P687" t="n">
        <v>0</v>
      </c>
      <c r="Q687" t="n">
        <v>0</v>
      </c>
      <c r="R687" s="2" t="inlineStr"/>
    </row>
    <row r="688" ht="15" customHeight="1">
      <c r="A688" t="inlineStr">
        <is>
          <t>A 54164-2023</t>
        </is>
      </c>
      <c r="B688" s="1" t="n">
        <v>45232</v>
      </c>
      <c r="C688" s="1" t="n">
        <v>45577</v>
      </c>
      <c r="D688" t="inlineStr">
        <is>
          <t>JÄMTLANDS LÄN</t>
        </is>
      </c>
      <c r="E688" t="inlineStr">
        <is>
          <t>ÅRE</t>
        </is>
      </c>
      <c r="G688" t="n">
        <v>2.6</v>
      </c>
      <c r="H688" t="n">
        <v>0</v>
      </c>
      <c r="I688" t="n">
        <v>0</v>
      </c>
      <c r="J688" t="n">
        <v>0</v>
      </c>
      <c r="K688" t="n">
        <v>0</v>
      </c>
      <c r="L688" t="n">
        <v>0</v>
      </c>
      <c r="M688" t="n">
        <v>0</v>
      </c>
      <c r="N688" t="n">
        <v>0</v>
      </c>
      <c r="O688" t="n">
        <v>0</v>
      </c>
      <c r="P688" t="n">
        <v>0</v>
      </c>
      <c r="Q688" t="n">
        <v>0</v>
      </c>
      <c r="R688" s="2" t="inlineStr"/>
    </row>
    <row r="689" ht="15" customHeight="1">
      <c r="A689" t="inlineStr">
        <is>
          <t>A 54116-2023</t>
        </is>
      </c>
      <c r="B689" s="1" t="n">
        <v>45232</v>
      </c>
      <c r="C689" s="1" t="n">
        <v>45577</v>
      </c>
      <c r="D689" t="inlineStr">
        <is>
          <t>JÄMTLANDS LÄN</t>
        </is>
      </c>
      <c r="E689" t="inlineStr">
        <is>
          <t>ÅRE</t>
        </is>
      </c>
      <c r="G689" t="n">
        <v>3.8</v>
      </c>
      <c r="H689" t="n">
        <v>0</v>
      </c>
      <c r="I689" t="n">
        <v>0</v>
      </c>
      <c r="J689" t="n">
        <v>0</v>
      </c>
      <c r="K689" t="n">
        <v>0</v>
      </c>
      <c r="L689" t="n">
        <v>0</v>
      </c>
      <c r="M689" t="n">
        <v>0</v>
      </c>
      <c r="N689" t="n">
        <v>0</v>
      </c>
      <c r="O689" t="n">
        <v>0</v>
      </c>
      <c r="P689" t="n">
        <v>0</v>
      </c>
      <c r="Q689" t="n">
        <v>0</v>
      </c>
      <c r="R689" s="2" t="inlineStr"/>
    </row>
    <row r="690" ht="15" customHeight="1">
      <c r="A690" t="inlineStr">
        <is>
          <t>A 54175-2023</t>
        </is>
      </c>
      <c r="B690" s="1" t="n">
        <v>45232</v>
      </c>
      <c r="C690" s="1" t="n">
        <v>45577</v>
      </c>
      <c r="D690" t="inlineStr">
        <is>
          <t>JÄMTLANDS LÄN</t>
        </is>
      </c>
      <c r="E690" t="inlineStr">
        <is>
          <t>ÅRE</t>
        </is>
      </c>
      <c r="G690" t="n">
        <v>0.1</v>
      </c>
      <c r="H690" t="n">
        <v>0</v>
      </c>
      <c r="I690" t="n">
        <v>0</v>
      </c>
      <c r="J690" t="n">
        <v>0</v>
      </c>
      <c r="K690" t="n">
        <v>0</v>
      </c>
      <c r="L690" t="n">
        <v>0</v>
      </c>
      <c r="M690" t="n">
        <v>0</v>
      </c>
      <c r="N690" t="n">
        <v>0</v>
      </c>
      <c r="O690" t="n">
        <v>0</v>
      </c>
      <c r="P690" t="n">
        <v>0</v>
      </c>
      <c r="Q690" t="n">
        <v>0</v>
      </c>
      <c r="R690" s="2" t="inlineStr"/>
    </row>
    <row r="691" ht="15" customHeight="1">
      <c r="A691" t="inlineStr">
        <is>
          <t>A 56044-2023</t>
        </is>
      </c>
      <c r="B691" s="1" t="n">
        <v>45233</v>
      </c>
      <c r="C691" s="1" t="n">
        <v>45577</v>
      </c>
      <c r="D691" t="inlineStr">
        <is>
          <t>JÄMTLANDS LÄN</t>
        </is>
      </c>
      <c r="E691" t="inlineStr">
        <is>
          <t>ÅRE</t>
        </is>
      </c>
      <c r="G691" t="n">
        <v>5.3</v>
      </c>
      <c r="H691" t="n">
        <v>0</v>
      </c>
      <c r="I691" t="n">
        <v>0</v>
      </c>
      <c r="J691" t="n">
        <v>0</v>
      </c>
      <c r="K691" t="n">
        <v>0</v>
      </c>
      <c r="L691" t="n">
        <v>0</v>
      </c>
      <c r="M691" t="n">
        <v>0</v>
      </c>
      <c r="N691" t="n">
        <v>0</v>
      </c>
      <c r="O691" t="n">
        <v>0</v>
      </c>
      <c r="P691" t="n">
        <v>0</v>
      </c>
      <c r="Q691" t="n">
        <v>0</v>
      </c>
      <c r="R691" s="2" t="inlineStr"/>
    </row>
    <row r="692" ht="15" customHeight="1">
      <c r="A692" t="inlineStr">
        <is>
          <t>A 54385-2023</t>
        </is>
      </c>
      <c r="B692" s="1" t="n">
        <v>45233</v>
      </c>
      <c r="C692" s="1" t="n">
        <v>45577</v>
      </c>
      <c r="D692" t="inlineStr">
        <is>
          <t>JÄMTLANDS LÄN</t>
        </is>
      </c>
      <c r="E692" t="inlineStr">
        <is>
          <t>ÅRE</t>
        </is>
      </c>
      <c r="G692" t="n">
        <v>3.7</v>
      </c>
      <c r="H692" t="n">
        <v>0</v>
      </c>
      <c r="I692" t="n">
        <v>0</v>
      </c>
      <c r="J692" t="n">
        <v>0</v>
      </c>
      <c r="K692" t="n">
        <v>0</v>
      </c>
      <c r="L692" t="n">
        <v>0</v>
      </c>
      <c r="M692" t="n">
        <v>0</v>
      </c>
      <c r="N692" t="n">
        <v>0</v>
      </c>
      <c r="O692" t="n">
        <v>0</v>
      </c>
      <c r="P692" t="n">
        <v>0</v>
      </c>
      <c r="Q692" t="n">
        <v>0</v>
      </c>
      <c r="R692" s="2" t="inlineStr"/>
    </row>
    <row r="693" ht="15" customHeight="1">
      <c r="A693" t="inlineStr">
        <is>
          <t>A 54377-2023</t>
        </is>
      </c>
      <c r="B693" s="1" t="n">
        <v>45233</v>
      </c>
      <c r="C693" s="1" t="n">
        <v>45577</v>
      </c>
      <c r="D693" t="inlineStr">
        <is>
          <t>JÄMTLANDS LÄN</t>
        </is>
      </c>
      <c r="E693" t="inlineStr">
        <is>
          <t>ÅRE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54373-2023</t>
        </is>
      </c>
      <c r="B694" s="1" t="n">
        <v>45233</v>
      </c>
      <c r="C694" s="1" t="n">
        <v>45577</v>
      </c>
      <c r="D694" t="inlineStr">
        <is>
          <t>JÄMTLANDS LÄN</t>
        </is>
      </c>
      <c r="E694" t="inlineStr">
        <is>
          <t>ÅRE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54781-2023</t>
        </is>
      </c>
      <c r="B695" s="1" t="n">
        <v>45236</v>
      </c>
      <c r="C695" s="1" t="n">
        <v>45577</v>
      </c>
      <c r="D695" t="inlineStr">
        <is>
          <t>JÄMTLANDS LÄN</t>
        </is>
      </c>
      <c r="E695" t="inlineStr">
        <is>
          <t>ÅRE</t>
        </is>
      </c>
      <c r="G695" t="n">
        <v>3.5</v>
      </c>
      <c r="H695" t="n">
        <v>0</v>
      </c>
      <c r="I695" t="n">
        <v>0</v>
      </c>
      <c r="J695" t="n">
        <v>0</v>
      </c>
      <c r="K695" t="n">
        <v>0</v>
      </c>
      <c r="L695" t="n">
        <v>0</v>
      </c>
      <c r="M695" t="n">
        <v>0</v>
      </c>
      <c r="N695" t="n">
        <v>0</v>
      </c>
      <c r="O695" t="n">
        <v>0</v>
      </c>
      <c r="P695" t="n">
        <v>0</v>
      </c>
      <c r="Q695" t="n">
        <v>0</v>
      </c>
      <c r="R695" s="2" t="inlineStr"/>
    </row>
    <row r="696" ht="15" customHeight="1">
      <c r="A696" t="inlineStr">
        <is>
          <t>A 54796-2023</t>
        </is>
      </c>
      <c r="B696" s="1" t="n">
        <v>45236</v>
      </c>
      <c r="C696" s="1" t="n">
        <v>45577</v>
      </c>
      <c r="D696" t="inlineStr">
        <is>
          <t>JÄMTLANDS LÄN</t>
        </is>
      </c>
      <c r="E696" t="inlineStr">
        <is>
          <t>ÅRE</t>
        </is>
      </c>
      <c r="G696" t="n">
        <v>9.1</v>
      </c>
      <c r="H696" t="n">
        <v>0</v>
      </c>
      <c r="I696" t="n">
        <v>0</v>
      </c>
      <c r="J696" t="n">
        <v>0</v>
      </c>
      <c r="K696" t="n">
        <v>0</v>
      </c>
      <c r="L696" t="n">
        <v>0</v>
      </c>
      <c r="M696" t="n">
        <v>0</v>
      </c>
      <c r="N696" t="n">
        <v>0</v>
      </c>
      <c r="O696" t="n">
        <v>0</v>
      </c>
      <c r="P696" t="n">
        <v>0</v>
      </c>
      <c r="Q696" t="n">
        <v>0</v>
      </c>
      <c r="R696" s="2" t="inlineStr"/>
    </row>
    <row r="697" ht="15" customHeight="1">
      <c r="A697" t="inlineStr">
        <is>
          <t>A 54898-2023</t>
        </is>
      </c>
      <c r="B697" s="1" t="n">
        <v>45236</v>
      </c>
      <c r="C697" s="1" t="n">
        <v>45577</v>
      </c>
      <c r="D697" t="inlineStr">
        <is>
          <t>JÄMTLANDS LÄN</t>
        </is>
      </c>
      <c r="E697" t="inlineStr">
        <is>
          <t>ÅRE</t>
        </is>
      </c>
      <c r="G697" t="n">
        <v>2.7</v>
      </c>
      <c r="H697" t="n">
        <v>0</v>
      </c>
      <c r="I697" t="n">
        <v>0</v>
      </c>
      <c r="J697" t="n">
        <v>0</v>
      </c>
      <c r="K697" t="n">
        <v>0</v>
      </c>
      <c r="L697" t="n">
        <v>0</v>
      </c>
      <c r="M697" t="n">
        <v>0</v>
      </c>
      <c r="N697" t="n">
        <v>0</v>
      </c>
      <c r="O697" t="n">
        <v>0</v>
      </c>
      <c r="P697" t="n">
        <v>0</v>
      </c>
      <c r="Q697" t="n">
        <v>0</v>
      </c>
      <c r="R697" s="2" t="inlineStr"/>
    </row>
    <row r="698" ht="15" customHeight="1">
      <c r="A698" t="inlineStr">
        <is>
          <t>A 54907-2023</t>
        </is>
      </c>
      <c r="B698" s="1" t="n">
        <v>45236</v>
      </c>
      <c r="C698" s="1" t="n">
        <v>45577</v>
      </c>
      <c r="D698" t="inlineStr">
        <is>
          <t>JÄMTLANDS LÄN</t>
        </is>
      </c>
      <c r="E698" t="inlineStr">
        <is>
          <t>ÅRE</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55860-2023</t>
        </is>
      </c>
      <c r="B699" s="1" t="n">
        <v>45239</v>
      </c>
      <c r="C699" s="1" t="n">
        <v>45577</v>
      </c>
      <c r="D699" t="inlineStr">
        <is>
          <t>JÄMTLANDS LÄN</t>
        </is>
      </c>
      <c r="E699" t="inlineStr">
        <is>
          <t>ÅRE</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56609-2023</t>
        </is>
      </c>
      <c r="B700" s="1" t="n">
        <v>45243</v>
      </c>
      <c r="C700" s="1" t="n">
        <v>45577</v>
      </c>
      <c r="D700" t="inlineStr">
        <is>
          <t>JÄMTLANDS LÄN</t>
        </is>
      </c>
      <c r="E700" t="inlineStr">
        <is>
          <t>ÅRE</t>
        </is>
      </c>
      <c r="G700" t="n">
        <v>17.9</v>
      </c>
      <c r="H700" t="n">
        <v>0</v>
      </c>
      <c r="I700" t="n">
        <v>0</v>
      </c>
      <c r="J700" t="n">
        <v>0</v>
      </c>
      <c r="K700" t="n">
        <v>0</v>
      </c>
      <c r="L700" t="n">
        <v>0</v>
      </c>
      <c r="M700" t="n">
        <v>0</v>
      </c>
      <c r="N700" t="n">
        <v>0</v>
      </c>
      <c r="O700" t="n">
        <v>0</v>
      </c>
      <c r="P700" t="n">
        <v>0</v>
      </c>
      <c r="Q700" t="n">
        <v>0</v>
      </c>
      <c r="R700" s="2" t="inlineStr"/>
    </row>
    <row r="701" ht="15" customHeight="1">
      <c r="A701" t="inlineStr">
        <is>
          <t>A 56679-2023</t>
        </is>
      </c>
      <c r="B701" s="1" t="n">
        <v>45243</v>
      </c>
      <c r="C701" s="1" t="n">
        <v>45577</v>
      </c>
      <c r="D701" t="inlineStr">
        <is>
          <t>JÄMTLANDS LÄN</t>
        </is>
      </c>
      <c r="E701" t="inlineStr">
        <is>
          <t>ÅRE</t>
        </is>
      </c>
      <c r="G701" t="n">
        <v>4.3</v>
      </c>
      <c r="H701" t="n">
        <v>0</v>
      </c>
      <c r="I701" t="n">
        <v>0</v>
      </c>
      <c r="J701" t="n">
        <v>0</v>
      </c>
      <c r="K701" t="n">
        <v>0</v>
      </c>
      <c r="L701" t="n">
        <v>0</v>
      </c>
      <c r="M701" t="n">
        <v>0</v>
      </c>
      <c r="N701" t="n">
        <v>0</v>
      </c>
      <c r="O701" t="n">
        <v>0</v>
      </c>
      <c r="P701" t="n">
        <v>0</v>
      </c>
      <c r="Q701" t="n">
        <v>0</v>
      </c>
      <c r="R701" s="2" t="inlineStr"/>
    </row>
    <row r="702" ht="15" customHeight="1">
      <c r="A702" t="inlineStr">
        <is>
          <t>A 56736-2023</t>
        </is>
      </c>
      <c r="B702" s="1" t="n">
        <v>45244</v>
      </c>
      <c r="C702" s="1" t="n">
        <v>45577</v>
      </c>
      <c r="D702" t="inlineStr">
        <is>
          <t>JÄMTLANDS LÄN</t>
        </is>
      </c>
      <c r="E702" t="inlineStr">
        <is>
          <t>ÅRE</t>
        </is>
      </c>
      <c r="F702" t="inlineStr">
        <is>
          <t>Övriga Aktiebolag</t>
        </is>
      </c>
      <c r="G702" t="n">
        <v>10.7</v>
      </c>
      <c r="H702" t="n">
        <v>0</v>
      </c>
      <c r="I702" t="n">
        <v>0</v>
      </c>
      <c r="J702" t="n">
        <v>0</v>
      </c>
      <c r="K702" t="n">
        <v>0</v>
      </c>
      <c r="L702" t="n">
        <v>0</v>
      </c>
      <c r="M702" t="n">
        <v>0</v>
      </c>
      <c r="N702" t="n">
        <v>0</v>
      </c>
      <c r="O702" t="n">
        <v>0</v>
      </c>
      <c r="P702" t="n">
        <v>0</v>
      </c>
      <c r="Q702" t="n">
        <v>0</v>
      </c>
      <c r="R702" s="2" t="inlineStr"/>
    </row>
    <row r="703" ht="15" customHeight="1">
      <c r="A703" t="inlineStr">
        <is>
          <t>A 56976-2023</t>
        </is>
      </c>
      <c r="B703" s="1" t="n">
        <v>45244</v>
      </c>
      <c r="C703" s="1" t="n">
        <v>45577</v>
      </c>
      <c r="D703" t="inlineStr">
        <is>
          <t>JÄMTLANDS LÄN</t>
        </is>
      </c>
      <c r="E703" t="inlineStr">
        <is>
          <t>ÅRE</t>
        </is>
      </c>
      <c r="F703" t="inlineStr">
        <is>
          <t>Övriga Aktiebolag</t>
        </is>
      </c>
      <c r="G703" t="n">
        <v>4.9</v>
      </c>
      <c r="H703" t="n">
        <v>0</v>
      </c>
      <c r="I703" t="n">
        <v>0</v>
      </c>
      <c r="J703" t="n">
        <v>0</v>
      </c>
      <c r="K703" t="n">
        <v>0</v>
      </c>
      <c r="L703" t="n">
        <v>0</v>
      </c>
      <c r="M703" t="n">
        <v>0</v>
      </c>
      <c r="N703" t="n">
        <v>0</v>
      </c>
      <c r="O703" t="n">
        <v>0</v>
      </c>
      <c r="P703" t="n">
        <v>0</v>
      </c>
      <c r="Q703" t="n">
        <v>0</v>
      </c>
      <c r="R703" s="2" t="inlineStr"/>
    </row>
    <row r="704" ht="15" customHeight="1">
      <c r="A704" t="inlineStr">
        <is>
          <t>A 57448-2023</t>
        </is>
      </c>
      <c r="B704" s="1" t="n">
        <v>45246</v>
      </c>
      <c r="C704" s="1" t="n">
        <v>45577</v>
      </c>
      <c r="D704" t="inlineStr">
        <is>
          <t>JÄMTLANDS LÄN</t>
        </is>
      </c>
      <c r="E704" t="inlineStr">
        <is>
          <t>ÅRE</t>
        </is>
      </c>
      <c r="G704" t="n">
        <v>11.9</v>
      </c>
      <c r="H704" t="n">
        <v>0</v>
      </c>
      <c r="I704" t="n">
        <v>0</v>
      </c>
      <c r="J704" t="n">
        <v>0</v>
      </c>
      <c r="K704" t="n">
        <v>0</v>
      </c>
      <c r="L704" t="n">
        <v>0</v>
      </c>
      <c r="M704" t="n">
        <v>0</v>
      </c>
      <c r="N704" t="n">
        <v>0</v>
      </c>
      <c r="O704" t="n">
        <v>0</v>
      </c>
      <c r="P704" t="n">
        <v>0</v>
      </c>
      <c r="Q704" t="n">
        <v>0</v>
      </c>
      <c r="R704" s="2" t="inlineStr"/>
    </row>
    <row r="705" ht="15" customHeight="1">
      <c r="A705" t="inlineStr">
        <is>
          <t>A 57772-2023</t>
        </is>
      </c>
      <c r="B705" s="1" t="n">
        <v>45246</v>
      </c>
      <c r="C705" s="1" t="n">
        <v>45577</v>
      </c>
      <c r="D705" t="inlineStr">
        <is>
          <t>JÄMTLANDS LÄN</t>
        </is>
      </c>
      <c r="E705" t="inlineStr">
        <is>
          <t>ÅRE</t>
        </is>
      </c>
      <c r="G705" t="n">
        <v>0.6</v>
      </c>
      <c r="H705" t="n">
        <v>0</v>
      </c>
      <c r="I705" t="n">
        <v>0</v>
      </c>
      <c r="J705" t="n">
        <v>0</v>
      </c>
      <c r="K705" t="n">
        <v>0</v>
      </c>
      <c r="L705" t="n">
        <v>0</v>
      </c>
      <c r="M705" t="n">
        <v>0</v>
      </c>
      <c r="N705" t="n">
        <v>0</v>
      </c>
      <c r="O705" t="n">
        <v>0</v>
      </c>
      <c r="P705" t="n">
        <v>0</v>
      </c>
      <c r="Q705" t="n">
        <v>0</v>
      </c>
      <c r="R705" s="2" t="inlineStr"/>
    </row>
    <row r="706" ht="15" customHeight="1">
      <c r="A706" t="inlineStr">
        <is>
          <t>A 57770-2023</t>
        </is>
      </c>
      <c r="B706" s="1" t="n">
        <v>45246</v>
      </c>
      <c r="C706" s="1" t="n">
        <v>45577</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58508-2023</t>
        </is>
      </c>
      <c r="B707" s="1" t="n">
        <v>45246</v>
      </c>
      <c r="C707" s="1" t="n">
        <v>45577</v>
      </c>
      <c r="D707" t="inlineStr">
        <is>
          <t>JÄMTLANDS LÄN</t>
        </is>
      </c>
      <c r="E707" t="inlineStr">
        <is>
          <t>ÅRE</t>
        </is>
      </c>
      <c r="G707" t="n">
        <v>21.8</v>
      </c>
      <c r="H707" t="n">
        <v>0</v>
      </c>
      <c r="I707" t="n">
        <v>0</v>
      </c>
      <c r="J707" t="n">
        <v>0</v>
      </c>
      <c r="K707" t="n">
        <v>0</v>
      </c>
      <c r="L707" t="n">
        <v>0</v>
      </c>
      <c r="M707" t="n">
        <v>0</v>
      </c>
      <c r="N707" t="n">
        <v>0</v>
      </c>
      <c r="O707" t="n">
        <v>0</v>
      </c>
      <c r="P707" t="n">
        <v>0</v>
      </c>
      <c r="Q707" t="n">
        <v>0</v>
      </c>
      <c r="R707" s="2" t="inlineStr"/>
    </row>
    <row r="708" ht="15" customHeight="1">
      <c r="A708" t="inlineStr">
        <is>
          <t>A 58178-2023</t>
        </is>
      </c>
      <c r="B708" s="1" t="n">
        <v>45250</v>
      </c>
      <c r="C708" s="1" t="n">
        <v>45577</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58196-2023</t>
        </is>
      </c>
      <c r="B709" s="1" t="n">
        <v>45250</v>
      </c>
      <c r="C709" s="1" t="n">
        <v>45577</v>
      </c>
      <c r="D709" t="inlineStr">
        <is>
          <t>JÄMTLANDS LÄN</t>
        </is>
      </c>
      <c r="E709" t="inlineStr">
        <is>
          <t>ÅRE</t>
        </is>
      </c>
      <c r="G709" t="n">
        <v>0.6</v>
      </c>
      <c r="H709" t="n">
        <v>0</v>
      </c>
      <c r="I709" t="n">
        <v>0</v>
      </c>
      <c r="J709" t="n">
        <v>0</v>
      </c>
      <c r="K709" t="n">
        <v>0</v>
      </c>
      <c r="L709" t="n">
        <v>0</v>
      </c>
      <c r="M709" t="n">
        <v>0</v>
      </c>
      <c r="N709" t="n">
        <v>0</v>
      </c>
      <c r="O709" t="n">
        <v>0</v>
      </c>
      <c r="P709" t="n">
        <v>0</v>
      </c>
      <c r="Q709" t="n">
        <v>0</v>
      </c>
      <c r="R709" s="2" t="inlineStr"/>
    </row>
    <row r="710" ht="15" customHeight="1">
      <c r="A710" t="inlineStr">
        <is>
          <t>A 58302-2023</t>
        </is>
      </c>
      <c r="B710" s="1" t="n">
        <v>45250</v>
      </c>
      <c r="C710" s="1" t="n">
        <v>45577</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58296-2023</t>
        </is>
      </c>
      <c r="B711" s="1" t="n">
        <v>45250</v>
      </c>
      <c r="C711" s="1" t="n">
        <v>45577</v>
      </c>
      <c r="D711" t="inlineStr">
        <is>
          <t>JÄMTLANDS LÄN</t>
        </is>
      </c>
      <c r="E711" t="inlineStr">
        <is>
          <t>ÅRE</t>
        </is>
      </c>
      <c r="G711" t="n">
        <v>6.3</v>
      </c>
      <c r="H711" t="n">
        <v>0</v>
      </c>
      <c r="I711" t="n">
        <v>0</v>
      </c>
      <c r="J711" t="n">
        <v>0</v>
      </c>
      <c r="K711" t="n">
        <v>0</v>
      </c>
      <c r="L711" t="n">
        <v>0</v>
      </c>
      <c r="M711" t="n">
        <v>0</v>
      </c>
      <c r="N711" t="n">
        <v>0</v>
      </c>
      <c r="O711" t="n">
        <v>0</v>
      </c>
      <c r="P711" t="n">
        <v>0</v>
      </c>
      <c r="Q711" t="n">
        <v>0</v>
      </c>
      <c r="R711" s="2" t="inlineStr"/>
    </row>
    <row r="712" ht="15" customHeight="1">
      <c r="A712" t="inlineStr">
        <is>
          <t>A 58299-2023</t>
        </is>
      </c>
      <c r="B712" s="1" t="n">
        <v>45250</v>
      </c>
      <c r="C712" s="1" t="n">
        <v>45577</v>
      </c>
      <c r="D712" t="inlineStr">
        <is>
          <t>JÄMTLANDS LÄN</t>
        </is>
      </c>
      <c r="E712" t="inlineStr">
        <is>
          <t>ÅRE</t>
        </is>
      </c>
      <c r="G712" t="n">
        <v>0.7</v>
      </c>
      <c r="H712" t="n">
        <v>0</v>
      </c>
      <c r="I712" t="n">
        <v>0</v>
      </c>
      <c r="J712" t="n">
        <v>0</v>
      </c>
      <c r="K712" t="n">
        <v>0</v>
      </c>
      <c r="L712" t="n">
        <v>0</v>
      </c>
      <c r="M712" t="n">
        <v>0</v>
      </c>
      <c r="N712" t="n">
        <v>0</v>
      </c>
      <c r="O712" t="n">
        <v>0</v>
      </c>
      <c r="P712" t="n">
        <v>0</v>
      </c>
      <c r="Q712" t="n">
        <v>0</v>
      </c>
      <c r="R712" s="2" t="inlineStr"/>
    </row>
    <row r="713" ht="15" customHeight="1">
      <c r="A713" t="inlineStr">
        <is>
          <t>A 58907-2023</t>
        </is>
      </c>
      <c r="B713" s="1" t="n">
        <v>45252</v>
      </c>
      <c r="C713" s="1" t="n">
        <v>45577</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59267-2023</t>
        </is>
      </c>
      <c r="B714" s="1" t="n">
        <v>45253</v>
      </c>
      <c r="C714" s="1" t="n">
        <v>45577</v>
      </c>
      <c r="D714" t="inlineStr">
        <is>
          <t>JÄMTLANDS LÄN</t>
        </is>
      </c>
      <c r="E714" t="inlineStr">
        <is>
          <t>ÅRE</t>
        </is>
      </c>
      <c r="G714" t="n">
        <v>2.7</v>
      </c>
      <c r="H714" t="n">
        <v>0</v>
      </c>
      <c r="I714" t="n">
        <v>0</v>
      </c>
      <c r="J714" t="n">
        <v>0</v>
      </c>
      <c r="K714" t="n">
        <v>0</v>
      </c>
      <c r="L714" t="n">
        <v>0</v>
      </c>
      <c r="M714" t="n">
        <v>0</v>
      </c>
      <c r="N714" t="n">
        <v>0</v>
      </c>
      <c r="O714" t="n">
        <v>0</v>
      </c>
      <c r="P714" t="n">
        <v>0</v>
      </c>
      <c r="Q714" t="n">
        <v>0</v>
      </c>
      <c r="R714" s="2" t="inlineStr"/>
    </row>
    <row r="715" ht="15" customHeight="1">
      <c r="A715" t="inlineStr">
        <is>
          <t>A 59274-2023</t>
        </is>
      </c>
      <c r="B715" s="1" t="n">
        <v>45253</v>
      </c>
      <c r="C715" s="1" t="n">
        <v>45577</v>
      </c>
      <c r="D715" t="inlineStr">
        <is>
          <t>JÄMTLANDS LÄN</t>
        </is>
      </c>
      <c r="E715" t="inlineStr">
        <is>
          <t>ÅRE</t>
        </is>
      </c>
      <c r="G715" t="n">
        <v>1.5</v>
      </c>
      <c r="H715" t="n">
        <v>0</v>
      </c>
      <c r="I715" t="n">
        <v>0</v>
      </c>
      <c r="J715" t="n">
        <v>0</v>
      </c>
      <c r="K715" t="n">
        <v>0</v>
      </c>
      <c r="L715" t="n">
        <v>0</v>
      </c>
      <c r="M715" t="n">
        <v>0</v>
      </c>
      <c r="N715" t="n">
        <v>0</v>
      </c>
      <c r="O715" t="n">
        <v>0</v>
      </c>
      <c r="P715" t="n">
        <v>0</v>
      </c>
      <c r="Q715" t="n">
        <v>0</v>
      </c>
      <c r="R715" s="2" t="inlineStr"/>
    </row>
    <row r="716" ht="15" customHeight="1">
      <c r="A716" t="inlineStr">
        <is>
          <t>A 59400-2023</t>
        </is>
      </c>
      <c r="B716" s="1" t="n">
        <v>45253</v>
      </c>
      <c r="C716" s="1" t="n">
        <v>45577</v>
      </c>
      <c r="D716" t="inlineStr">
        <is>
          <t>JÄMTLANDS LÄN</t>
        </is>
      </c>
      <c r="E716" t="inlineStr">
        <is>
          <t>ÅRE</t>
        </is>
      </c>
      <c r="G716" t="n">
        <v>0.7</v>
      </c>
      <c r="H716" t="n">
        <v>0</v>
      </c>
      <c r="I716" t="n">
        <v>0</v>
      </c>
      <c r="J716" t="n">
        <v>0</v>
      </c>
      <c r="K716" t="n">
        <v>0</v>
      </c>
      <c r="L716" t="n">
        <v>0</v>
      </c>
      <c r="M716" t="n">
        <v>0</v>
      </c>
      <c r="N716" t="n">
        <v>0</v>
      </c>
      <c r="O716" t="n">
        <v>0</v>
      </c>
      <c r="P716" t="n">
        <v>0</v>
      </c>
      <c r="Q716" t="n">
        <v>0</v>
      </c>
      <c r="R716" s="2" t="inlineStr"/>
    </row>
    <row r="717" ht="15" customHeight="1">
      <c r="A717" t="inlineStr">
        <is>
          <t>A 59398-2023</t>
        </is>
      </c>
      <c r="B717" s="1" t="n">
        <v>45253</v>
      </c>
      <c r="C717" s="1" t="n">
        <v>45577</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59414-2023</t>
        </is>
      </c>
      <c r="B718" s="1" t="n">
        <v>45254</v>
      </c>
      <c r="C718" s="1" t="n">
        <v>45577</v>
      </c>
      <c r="D718" t="inlineStr">
        <is>
          <t>JÄMTLANDS LÄN</t>
        </is>
      </c>
      <c r="E718" t="inlineStr">
        <is>
          <t>ÅRE</t>
        </is>
      </c>
      <c r="G718" t="n">
        <v>3.6</v>
      </c>
      <c r="H718" t="n">
        <v>0</v>
      </c>
      <c r="I718" t="n">
        <v>0</v>
      </c>
      <c r="J718" t="n">
        <v>0</v>
      </c>
      <c r="K718" t="n">
        <v>0</v>
      </c>
      <c r="L718" t="n">
        <v>0</v>
      </c>
      <c r="M718" t="n">
        <v>0</v>
      </c>
      <c r="N718" t="n">
        <v>0</v>
      </c>
      <c r="O718" t="n">
        <v>0</v>
      </c>
      <c r="P718" t="n">
        <v>0</v>
      </c>
      <c r="Q718" t="n">
        <v>0</v>
      </c>
      <c r="R718" s="2" t="inlineStr"/>
    </row>
    <row r="719" ht="15" customHeight="1">
      <c r="A719" t="inlineStr">
        <is>
          <t>A 59413-2023</t>
        </is>
      </c>
      <c r="B719" s="1" t="n">
        <v>45254</v>
      </c>
      <c r="C719" s="1" t="n">
        <v>45577</v>
      </c>
      <c r="D719" t="inlineStr">
        <is>
          <t>JÄMTLANDS LÄN</t>
        </is>
      </c>
      <c r="E719" t="inlineStr">
        <is>
          <t>ÅRE</t>
        </is>
      </c>
      <c r="G719" t="n">
        <v>4</v>
      </c>
      <c r="H719" t="n">
        <v>0</v>
      </c>
      <c r="I719" t="n">
        <v>0</v>
      </c>
      <c r="J719" t="n">
        <v>0</v>
      </c>
      <c r="K719" t="n">
        <v>0</v>
      </c>
      <c r="L719" t="n">
        <v>0</v>
      </c>
      <c r="M719" t="n">
        <v>0</v>
      </c>
      <c r="N719" t="n">
        <v>0</v>
      </c>
      <c r="O719" t="n">
        <v>0</v>
      </c>
      <c r="P719" t="n">
        <v>0</v>
      </c>
      <c r="Q719" t="n">
        <v>0</v>
      </c>
      <c r="R719" s="2" t="inlineStr"/>
    </row>
    <row r="720" ht="15" customHeight="1">
      <c r="A720" t="inlineStr">
        <is>
          <t>A 59666-2023</t>
        </is>
      </c>
      <c r="B720" s="1" t="n">
        <v>45255</v>
      </c>
      <c r="C720" s="1" t="n">
        <v>45577</v>
      </c>
      <c r="D720" t="inlineStr">
        <is>
          <t>JÄMTLANDS LÄN</t>
        </is>
      </c>
      <c r="E720" t="inlineStr">
        <is>
          <t>ÅRE</t>
        </is>
      </c>
      <c r="G720" t="n">
        <v>6.6</v>
      </c>
      <c r="H720" t="n">
        <v>0</v>
      </c>
      <c r="I720" t="n">
        <v>0</v>
      </c>
      <c r="J720" t="n">
        <v>0</v>
      </c>
      <c r="K720" t="n">
        <v>0</v>
      </c>
      <c r="L720" t="n">
        <v>0</v>
      </c>
      <c r="M720" t="n">
        <v>0</v>
      </c>
      <c r="N720" t="n">
        <v>0</v>
      </c>
      <c r="O720" t="n">
        <v>0</v>
      </c>
      <c r="P720" t="n">
        <v>0</v>
      </c>
      <c r="Q720" t="n">
        <v>0</v>
      </c>
      <c r="R720" s="2" t="inlineStr"/>
    </row>
    <row r="721" ht="15" customHeight="1">
      <c r="A721" t="inlineStr">
        <is>
          <t>A 59753-2023</t>
        </is>
      </c>
      <c r="B721" s="1" t="n">
        <v>45254</v>
      </c>
      <c r="C721" s="1" t="n">
        <v>45577</v>
      </c>
      <c r="D721" t="inlineStr">
        <is>
          <t>JÄMTLANDS LÄN</t>
        </is>
      </c>
      <c r="E721" t="inlineStr">
        <is>
          <t>ÅRE</t>
        </is>
      </c>
      <c r="G721" t="n">
        <v>1</v>
      </c>
      <c r="H721" t="n">
        <v>0</v>
      </c>
      <c r="I721" t="n">
        <v>0</v>
      </c>
      <c r="J721" t="n">
        <v>0</v>
      </c>
      <c r="K721" t="n">
        <v>0</v>
      </c>
      <c r="L721" t="n">
        <v>0</v>
      </c>
      <c r="M721" t="n">
        <v>0</v>
      </c>
      <c r="N721" t="n">
        <v>0</v>
      </c>
      <c r="O721" t="n">
        <v>0</v>
      </c>
      <c r="P721" t="n">
        <v>0</v>
      </c>
      <c r="Q721" t="n">
        <v>0</v>
      </c>
      <c r="R721" s="2" t="inlineStr"/>
    </row>
    <row r="722" ht="15" customHeight="1">
      <c r="A722" t="inlineStr">
        <is>
          <t>A 59968-2023</t>
        </is>
      </c>
      <c r="B722" s="1" t="n">
        <v>45254</v>
      </c>
      <c r="C722" s="1" t="n">
        <v>45577</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59916-2023</t>
        </is>
      </c>
      <c r="B723" s="1" t="n">
        <v>45257</v>
      </c>
      <c r="C723" s="1" t="n">
        <v>45577</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59864-2023</t>
        </is>
      </c>
      <c r="B724" s="1" t="n">
        <v>45257</v>
      </c>
      <c r="C724" s="1" t="n">
        <v>45577</v>
      </c>
      <c r="D724" t="inlineStr">
        <is>
          <t>JÄMTLANDS LÄN</t>
        </is>
      </c>
      <c r="E724" t="inlineStr">
        <is>
          <t>ÅRE</t>
        </is>
      </c>
      <c r="G724" t="n">
        <v>1</v>
      </c>
      <c r="H724" t="n">
        <v>0</v>
      </c>
      <c r="I724" t="n">
        <v>0</v>
      </c>
      <c r="J724" t="n">
        <v>0</v>
      </c>
      <c r="K724" t="n">
        <v>0</v>
      </c>
      <c r="L724" t="n">
        <v>0</v>
      </c>
      <c r="M724" t="n">
        <v>0</v>
      </c>
      <c r="N724" t="n">
        <v>0</v>
      </c>
      <c r="O724" t="n">
        <v>0</v>
      </c>
      <c r="P724" t="n">
        <v>0</v>
      </c>
      <c r="Q724" t="n">
        <v>0</v>
      </c>
      <c r="R724" s="2" t="inlineStr"/>
    </row>
    <row r="725" ht="15" customHeight="1">
      <c r="A725" t="inlineStr">
        <is>
          <t>A 59878-2023</t>
        </is>
      </c>
      <c r="B725" s="1" t="n">
        <v>45257</v>
      </c>
      <c r="C725" s="1" t="n">
        <v>45577</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59892-2023</t>
        </is>
      </c>
      <c r="B726" s="1" t="n">
        <v>45257</v>
      </c>
      <c r="C726" s="1" t="n">
        <v>45577</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60332-2023</t>
        </is>
      </c>
      <c r="B727" s="1" t="n">
        <v>45258</v>
      </c>
      <c r="C727" s="1" t="n">
        <v>45577</v>
      </c>
      <c r="D727" t="inlineStr">
        <is>
          <t>JÄMTLANDS LÄN</t>
        </is>
      </c>
      <c r="E727" t="inlineStr">
        <is>
          <t>ÅRE</t>
        </is>
      </c>
      <c r="G727" t="n">
        <v>12.5</v>
      </c>
      <c r="H727" t="n">
        <v>0</v>
      </c>
      <c r="I727" t="n">
        <v>0</v>
      </c>
      <c r="J727" t="n">
        <v>0</v>
      </c>
      <c r="K727" t="n">
        <v>0</v>
      </c>
      <c r="L727" t="n">
        <v>0</v>
      </c>
      <c r="M727" t="n">
        <v>0</v>
      </c>
      <c r="N727" t="n">
        <v>0</v>
      </c>
      <c r="O727" t="n">
        <v>0</v>
      </c>
      <c r="P727" t="n">
        <v>0</v>
      </c>
      <c r="Q727" t="n">
        <v>0</v>
      </c>
      <c r="R727" s="2" t="inlineStr"/>
    </row>
    <row r="728" ht="15" customHeight="1">
      <c r="A728" t="inlineStr">
        <is>
          <t>A 60808-2023</t>
        </is>
      </c>
      <c r="B728" s="1" t="n">
        <v>45260</v>
      </c>
      <c r="C728" s="1" t="n">
        <v>45577</v>
      </c>
      <c r="D728" t="inlineStr">
        <is>
          <t>JÄMTLANDS LÄN</t>
        </is>
      </c>
      <c r="E728" t="inlineStr">
        <is>
          <t>ÅRE</t>
        </is>
      </c>
      <c r="G728" t="n">
        <v>10.4</v>
      </c>
      <c r="H728" t="n">
        <v>0</v>
      </c>
      <c r="I728" t="n">
        <v>0</v>
      </c>
      <c r="J728" t="n">
        <v>0</v>
      </c>
      <c r="K728" t="n">
        <v>0</v>
      </c>
      <c r="L728" t="n">
        <v>0</v>
      </c>
      <c r="M728" t="n">
        <v>0</v>
      </c>
      <c r="N728" t="n">
        <v>0</v>
      </c>
      <c r="O728" t="n">
        <v>0</v>
      </c>
      <c r="P728" t="n">
        <v>0</v>
      </c>
      <c r="Q728" t="n">
        <v>0</v>
      </c>
      <c r="R728" s="2" t="inlineStr"/>
    </row>
    <row r="729" ht="15" customHeight="1">
      <c r="A729" t="inlineStr">
        <is>
          <t>A 60973-2023</t>
        </is>
      </c>
      <c r="B729" s="1" t="n">
        <v>45261</v>
      </c>
      <c r="C729" s="1" t="n">
        <v>45577</v>
      </c>
      <c r="D729" t="inlineStr">
        <is>
          <t>JÄMTLANDS LÄN</t>
        </is>
      </c>
      <c r="E729" t="inlineStr">
        <is>
          <t>ÅRE</t>
        </is>
      </c>
      <c r="G729" t="n">
        <v>3.1</v>
      </c>
      <c r="H729" t="n">
        <v>0</v>
      </c>
      <c r="I729" t="n">
        <v>0</v>
      </c>
      <c r="J729" t="n">
        <v>0</v>
      </c>
      <c r="K729" t="n">
        <v>0</v>
      </c>
      <c r="L729" t="n">
        <v>0</v>
      </c>
      <c r="M729" t="n">
        <v>0</v>
      </c>
      <c r="N729" t="n">
        <v>0</v>
      </c>
      <c r="O729" t="n">
        <v>0</v>
      </c>
      <c r="P729" t="n">
        <v>0</v>
      </c>
      <c r="Q729" t="n">
        <v>0</v>
      </c>
      <c r="R729" s="2" t="inlineStr"/>
    </row>
    <row r="730" ht="15" customHeight="1">
      <c r="A730" t="inlineStr">
        <is>
          <t>A 60962-2023</t>
        </is>
      </c>
      <c r="B730" s="1" t="n">
        <v>45261</v>
      </c>
      <c r="C730" s="1" t="n">
        <v>45577</v>
      </c>
      <c r="D730" t="inlineStr">
        <is>
          <t>JÄMTLANDS LÄN</t>
        </is>
      </c>
      <c r="E730" t="inlineStr">
        <is>
          <t>ÅRE</t>
        </is>
      </c>
      <c r="G730" t="n">
        <v>3.2</v>
      </c>
      <c r="H730" t="n">
        <v>0</v>
      </c>
      <c r="I730" t="n">
        <v>0</v>
      </c>
      <c r="J730" t="n">
        <v>0</v>
      </c>
      <c r="K730" t="n">
        <v>0</v>
      </c>
      <c r="L730" t="n">
        <v>0</v>
      </c>
      <c r="M730" t="n">
        <v>0</v>
      </c>
      <c r="N730" t="n">
        <v>0</v>
      </c>
      <c r="O730" t="n">
        <v>0</v>
      </c>
      <c r="P730" t="n">
        <v>0</v>
      </c>
      <c r="Q730" t="n">
        <v>0</v>
      </c>
      <c r="R730" s="2" t="inlineStr"/>
    </row>
    <row r="731" ht="15" customHeight="1">
      <c r="A731" t="inlineStr">
        <is>
          <t>A 61622-2023</t>
        </is>
      </c>
      <c r="B731" s="1" t="n">
        <v>45261</v>
      </c>
      <c r="C731" s="1" t="n">
        <v>45577</v>
      </c>
      <c r="D731" t="inlineStr">
        <is>
          <t>JÄMTLANDS LÄN</t>
        </is>
      </c>
      <c r="E731" t="inlineStr">
        <is>
          <t>ÅRE</t>
        </is>
      </c>
      <c r="G731" t="n">
        <v>1.6</v>
      </c>
      <c r="H731" t="n">
        <v>0</v>
      </c>
      <c r="I731" t="n">
        <v>0</v>
      </c>
      <c r="J731" t="n">
        <v>0</v>
      </c>
      <c r="K731" t="n">
        <v>0</v>
      </c>
      <c r="L731" t="n">
        <v>0</v>
      </c>
      <c r="M731" t="n">
        <v>0</v>
      </c>
      <c r="N731" t="n">
        <v>0</v>
      </c>
      <c r="O731" t="n">
        <v>0</v>
      </c>
      <c r="P731" t="n">
        <v>0</v>
      </c>
      <c r="Q731" t="n">
        <v>0</v>
      </c>
      <c r="R731" s="2" t="inlineStr"/>
    </row>
    <row r="732" ht="15" customHeight="1">
      <c r="A732" t="inlineStr">
        <is>
          <t>A 61183-2023</t>
        </is>
      </c>
      <c r="B732" s="1" t="n">
        <v>45263</v>
      </c>
      <c r="C732" s="1" t="n">
        <v>45577</v>
      </c>
      <c r="D732" t="inlineStr">
        <is>
          <t>JÄMTLANDS LÄN</t>
        </is>
      </c>
      <c r="E732" t="inlineStr">
        <is>
          <t>ÅRE</t>
        </is>
      </c>
      <c r="G732" t="n">
        <v>8.4</v>
      </c>
      <c r="H732" t="n">
        <v>0</v>
      </c>
      <c r="I732" t="n">
        <v>0</v>
      </c>
      <c r="J732" t="n">
        <v>0</v>
      </c>
      <c r="K732" t="n">
        <v>0</v>
      </c>
      <c r="L732" t="n">
        <v>0</v>
      </c>
      <c r="M732" t="n">
        <v>0</v>
      </c>
      <c r="N732" t="n">
        <v>0</v>
      </c>
      <c r="O732" t="n">
        <v>0</v>
      </c>
      <c r="P732" t="n">
        <v>0</v>
      </c>
      <c r="Q732" t="n">
        <v>0</v>
      </c>
      <c r="R732" s="2" t="inlineStr"/>
    </row>
    <row r="733" ht="15" customHeight="1">
      <c r="A733" t="inlineStr">
        <is>
          <t>A 61295-2023</t>
        </is>
      </c>
      <c r="B733" s="1" t="n">
        <v>45264</v>
      </c>
      <c r="C733" s="1" t="n">
        <v>45577</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61477-2023</t>
        </is>
      </c>
      <c r="B734" s="1" t="n">
        <v>45264</v>
      </c>
      <c r="C734" s="1" t="n">
        <v>45577</v>
      </c>
      <c r="D734" t="inlineStr">
        <is>
          <t>JÄMTLANDS LÄN</t>
        </is>
      </c>
      <c r="E734" t="inlineStr">
        <is>
          <t>ÅRE</t>
        </is>
      </c>
      <c r="G734" t="n">
        <v>1.8</v>
      </c>
      <c r="H734" t="n">
        <v>0</v>
      </c>
      <c r="I734" t="n">
        <v>0</v>
      </c>
      <c r="J734" t="n">
        <v>0</v>
      </c>
      <c r="K734" t="n">
        <v>0</v>
      </c>
      <c r="L734" t="n">
        <v>0</v>
      </c>
      <c r="M734" t="n">
        <v>0</v>
      </c>
      <c r="N734" t="n">
        <v>0</v>
      </c>
      <c r="O734" t="n">
        <v>0</v>
      </c>
      <c r="P734" t="n">
        <v>0</v>
      </c>
      <c r="Q734" t="n">
        <v>0</v>
      </c>
      <c r="R734" s="2" t="inlineStr"/>
    </row>
    <row r="735" ht="15" customHeight="1">
      <c r="A735" t="inlineStr">
        <is>
          <t>A 61479-2023</t>
        </is>
      </c>
      <c r="B735" s="1" t="n">
        <v>45264</v>
      </c>
      <c r="C735" s="1" t="n">
        <v>45577</v>
      </c>
      <c r="D735" t="inlineStr">
        <is>
          <t>JÄMTLANDS LÄN</t>
        </is>
      </c>
      <c r="E735" t="inlineStr">
        <is>
          <t>ÅRE</t>
        </is>
      </c>
      <c r="G735" t="n">
        <v>2.5</v>
      </c>
      <c r="H735" t="n">
        <v>0</v>
      </c>
      <c r="I735" t="n">
        <v>0</v>
      </c>
      <c r="J735" t="n">
        <v>0</v>
      </c>
      <c r="K735" t="n">
        <v>0</v>
      </c>
      <c r="L735" t="n">
        <v>0</v>
      </c>
      <c r="M735" t="n">
        <v>0</v>
      </c>
      <c r="N735" t="n">
        <v>0</v>
      </c>
      <c r="O735" t="n">
        <v>0</v>
      </c>
      <c r="P735" t="n">
        <v>0</v>
      </c>
      <c r="Q735" t="n">
        <v>0</v>
      </c>
      <c r="R735" s="2" t="inlineStr"/>
    </row>
    <row r="736" ht="15" customHeight="1">
      <c r="A736" t="inlineStr">
        <is>
          <t>A 61482-2023</t>
        </is>
      </c>
      <c r="B736" s="1" t="n">
        <v>45264</v>
      </c>
      <c r="C736" s="1" t="n">
        <v>45577</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61480-2023</t>
        </is>
      </c>
      <c r="B737" s="1" t="n">
        <v>45264</v>
      </c>
      <c r="C737" s="1" t="n">
        <v>45577</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61978-2023</t>
        </is>
      </c>
      <c r="B738" s="1" t="n">
        <v>45266</v>
      </c>
      <c r="C738" s="1" t="n">
        <v>45577</v>
      </c>
      <c r="D738" t="inlineStr">
        <is>
          <t>JÄMTLANDS LÄN</t>
        </is>
      </c>
      <c r="E738" t="inlineStr">
        <is>
          <t>ÅRE</t>
        </is>
      </c>
      <c r="G738" t="n">
        <v>5.5</v>
      </c>
      <c r="H738" t="n">
        <v>0</v>
      </c>
      <c r="I738" t="n">
        <v>0</v>
      </c>
      <c r="J738" t="n">
        <v>0</v>
      </c>
      <c r="K738" t="n">
        <v>0</v>
      </c>
      <c r="L738" t="n">
        <v>0</v>
      </c>
      <c r="M738" t="n">
        <v>0</v>
      </c>
      <c r="N738" t="n">
        <v>0</v>
      </c>
      <c r="O738" t="n">
        <v>0</v>
      </c>
      <c r="P738" t="n">
        <v>0</v>
      </c>
      <c r="Q738" t="n">
        <v>0</v>
      </c>
      <c r="R738" s="2" t="inlineStr"/>
    </row>
    <row r="739" ht="15" customHeight="1">
      <c r="A739" t="inlineStr">
        <is>
          <t>A 63906-2023</t>
        </is>
      </c>
      <c r="B739" s="1" t="n">
        <v>45278</v>
      </c>
      <c r="C739" s="1" t="n">
        <v>45577</v>
      </c>
      <c r="D739" t="inlineStr">
        <is>
          <t>JÄMTLANDS LÄN</t>
        </is>
      </c>
      <c r="E739" t="inlineStr">
        <is>
          <t>ÅRE</t>
        </is>
      </c>
      <c r="G739" t="n">
        <v>12</v>
      </c>
      <c r="H739" t="n">
        <v>0</v>
      </c>
      <c r="I739" t="n">
        <v>0</v>
      </c>
      <c r="J739" t="n">
        <v>0</v>
      </c>
      <c r="K739" t="n">
        <v>0</v>
      </c>
      <c r="L739" t="n">
        <v>0</v>
      </c>
      <c r="M739" t="n">
        <v>0</v>
      </c>
      <c r="N739" t="n">
        <v>0</v>
      </c>
      <c r="O739" t="n">
        <v>0</v>
      </c>
      <c r="P739" t="n">
        <v>0</v>
      </c>
      <c r="Q739" t="n">
        <v>0</v>
      </c>
      <c r="R739" s="2" t="inlineStr"/>
    </row>
    <row r="740" ht="15" customHeight="1">
      <c r="A740" t="inlineStr">
        <is>
          <t>A 64312-2023</t>
        </is>
      </c>
      <c r="B740" s="1" t="n">
        <v>45279</v>
      </c>
      <c r="C740" s="1" t="n">
        <v>45577</v>
      </c>
      <c r="D740" t="inlineStr">
        <is>
          <t>JÄMTLANDS LÄN</t>
        </is>
      </c>
      <c r="E740" t="inlineStr">
        <is>
          <t>ÅRE</t>
        </is>
      </c>
      <c r="G740" t="n">
        <v>13.4</v>
      </c>
      <c r="H740" t="n">
        <v>0</v>
      </c>
      <c r="I740" t="n">
        <v>0</v>
      </c>
      <c r="J740" t="n">
        <v>0</v>
      </c>
      <c r="K740" t="n">
        <v>0</v>
      </c>
      <c r="L740" t="n">
        <v>0</v>
      </c>
      <c r="M740" t="n">
        <v>0</v>
      </c>
      <c r="N740" t="n">
        <v>0</v>
      </c>
      <c r="O740" t="n">
        <v>0</v>
      </c>
      <c r="P740" t="n">
        <v>0</v>
      </c>
      <c r="Q740" t="n">
        <v>0</v>
      </c>
      <c r="R740" s="2" t="inlineStr"/>
    </row>
    <row r="741" ht="15" customHeight="1">
      <c r="A741" t="inlineStr">
        <is>
          <t>A 64758-2023</t>
        </is>
      </c>
      <c r="B741" s="1" t="n">
        <v>45281</v>
      </c>
      <c r="C741" s="1" t="n">
        <v>45577</v>
      </c>
      <c r="D741" t="inlineStr">
        <is>
          <t>JÄMTLANDS LÄN</t>
        </is>
      </c>
      <c r="E741" t="inlineStr">
        <is>
          <t>ÅRE</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65029-2023</t>
        </is>
      </c>
      <c r="B742" s="1" t="n">
        <v>45287</v>
      </c>
      <c r="C742" s="1" t="n">
        <v>45577</v>
      </c>
      <c r="D742" t="inlineStr">
        <is>
          <t>JÄMTLANDS LÄN</t>
        </is>
      </c>
      <c r="E742" t="inlineStr">
        <is>
          <t>ÅRE</t>
        </is>
      </c>
      <c r="G742" t="n">
        <v>18.2</v>
      </c>
      <c r="H742" t="n">
        <v>0</v>
      </c>
      <c r="I742" t="n">
        <v>0</v>
      </c>
      <c r="J742" t="n">
        <v>0</v>
      </c>
      <c r="K742" t="n">
        <v>0</v>
      </c>
      <c r="L742" t="n">
        <v>0</v>
      </c>
      <c r="M742" t="n">
        <v>0</v>
      </c>
      <c r="N742" t="n">
        <v>0</v>
      </c>
      <c r="O742" t="n">
        <v>0</v>
      </c>
      <c r="P742" t="n">
        <v>0</v>
      </c>
      <c r="Q742" t="n">
        <v>0</v>
      </c>
      <c r="R742" s="2" t="inlineStr"/>
    </row>
    <row r="743" ht="15" customHeight="1">
      <c r="A743" t="inlineStr">
        <is>
          <t>A 65079-2023</t>
        </is>
      </c>
      <c r="B743" s="1" t="n">
        <v>45288</v>
      </c>
      <c r="C743" s="1" t="n">
        <v>45577</v>
      </c>
      <c r="D743" t="inlineStr">
        <is>
          <t>JÄMTLANDS LÄN</t>
        </is>
      </c>
      <c r="E743" t="inlineStr">
        <is>
          <t>ÅRE</t>
        </is>
      </c>
      <c r="G743" t="n">
        <v>6</v>
      </c>
      <c r="H743" t="n">
        <v>0</v>
      </c>
      <c r="I743" t="n">
        <v>0</v>
      </c>
      <c r="J743" t="n">
        <v>0</v>
      </c>
      <c r="K743" t="n">
        <v>0</v>
      </c>
      <c r="L743" t="n">
        <v>0</v>
      </c>
      <c r="M743" t="n">
        <v>0</v>
      </c>
      <c r="N743" t="n">
        <v>0</v>
      </c>
      <c r="O743" t="n">
        <v>0</v>
      </c>
      <c r="P743" t="n">
        <v>0</v>
      </c>
      <c r="Q743" t="n">
        <v>0</v>
      </c>
      <c r="R743" s="2" t="inlineStr"/>
    </row>
    <row r="744" ht="15" customHeight="1">
      <c r="A744" t="inlineStr">
        <is>
          <t>A 65078-2023</t>
        </is>
      </c>
      <c r="B744" s="1" t="n">
        <v>45288</v>
      </c>
      <c r="C744" s="1" t="n">
        <v>45577</v>
      </c>
      <c r="D744" t="inlineStr">
        <is>
          <t>JÄMTLANDS LÄN</t>
        </is>
      </c>
      <c r="E744" t="inlineStr">
        <is>
          <t>ÅRE</t>
        </is>
      </c>
      <c r="G744" t="n">
        <v>2.2</v>
      </c>
      <c r="H744" t="n">
        <v>0</v>
      </c>
      <c r="I744" t="n">
        <v>0</v>
      </c>
      <c r="J744" t="n">
        <v>0</v>
      </c>
      <c r="K744" t="n">
        <v>0</v>
      </c>
      <c r="L744" t="n">
        <v>0</v>
      </c>
      <c r="M744" t="n">
        <v>0</v>
      </c>
      <c r="N744" t="n">
        <v>0</v>
      </c>
      <c r="O744" t="n">
        <v>0</v>
      </c>
      <c r="P744" t="n">
        <v>0</v>
      </c>
      <c r="Q744" t="n">
        <v>0</v>
      </c>
      <c r="R744" s="2" t="inlineStr"/>
    </row>
    <row r="745" ht="15" customHeight="1">
      <c r="A745" t="inlineStr">
        <is>
          <t>A 65033-2023</t>
        </is>
      </c>
      <c r="B745" s="1" t="n">
        <v>45287</v>
      </c>
      <c r="C745" s="1" t="n">
        <v>45577</v>
      </c>
      <c r="D745" t="inlineStr">
        <is>
          <t>JÄMTLANDS LÄN</t>
        </is>
      </c>
      <c r="E745" t="inlineStr">
        <is>
          <t>ÅRE</t>
        </is>
      </c>
      <c r="G745" t="n">
        <v>2.8</v>
      </c>
      <c r="H745" t="n">
        <v>0</v>
      </c>
      <c r="I745" t="n">
        <v>0</v>
      </c>
      <c r="J745" t="n">
        <v>0</v>
      </c>
      <c r="K745" t="n">
        <v>0</v>
      </c>
      <c r="L745" t="n">
        <v>0</v>
      </c>
      <c r="M745" t="n">
        <v>0</v>
      </c>
      <c r="N745" t="n">
        <v>0</v>
      </c>
      <c r="O745" t="n">
        <v>0</v>
      </c>
      <c r="P745" t="n">
        <v>0</v>
      </c>
      <c r="Q745" t="n">
        <v>0</v>
      </c>
      <c r="R745" s="2" t="inlineStr"/>
    </row>
    <row r="746" ht="15" customHeight="1">
      <c r="A746" t="inlineStr">
        <is>
          <t>A 376-2024</t>
        </is>
      </c>
      <c r="B746" s="1" t="n">
        <v>45296</v>
      </c>
      <c r="C746" s="1" t="n">
        <v>45577</v>
      </c>
      <c r="D746" t="inlineStr">
        <is>
          <t>JÄMTLANDS LÄN</t>
        </is>
      </c>
      <c r="E746" t="inlineStr">
        <is>
          <t>ÅRE</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393-2024</t>
        </is>
      </c>
      <c r="B747" s="1" t="n">
        <v>45296</v>
      </c>
      <c r="C747" s="1" t="n">
        <v>45577</v>
      </c>
      <c r="D747" t="inlineStr">
        <is>
          <t>JÄMTLANDS LÄN</t>
        </is>
      </c>
      <c r="E747" t="inlineStr">
        <is>
          <t>ÅRE</t>
        </is>
      </c>
      <c r="G747" t="n">
        <v>6.5</v>
      </c>
      <c r="H747" t="n">
        <v>0</v>
      </c>
      <c r="I747" t="n">
        <v>0</v>
      </c>
      <c r="J747" t="n">
        <v>0</v>
      </c>
      <c r="K747" t="n">
        <v>0</v>
      </c>
      <c r="L747" t="n">
        <v>0</v>
      </c>
      <c r="M747" t="n">
        <v>0</v>
      </c>
      <c r="N747" t="n">
        <v>0</v>
      </c>
      <c r="O747" t="n">
        <v>0</v>
      </c>
      <c r="P747" t="n">
        <v>0</v>
      </c>
      <c r="Q747" t="n">
        <v>0</v>
      </c>
      <c r="R747" s="2" t="inlineStr"/>
    </row>
    <row r="748" ht="15" customHeight="1">
      <c r="A748" t="inlineStr">
        <is>
          <t>A 747-2024</t>
        </is>
      </c>
      <c r="B748" s="1" t="n">
        <v>45300</v>
      </c>
      <c r="C748" s="1" t="n">
        <v>45577</v>
      </c>
      <c r="D748" t="inlineStr">
        <is>
          <t>JÄMTLANDS LÄN</t>
        </is>
      </c>
      <c r="E748" t="inlineStr">
        <is>
          <t>ÅRE</t>
        </is>
      </c>
      <c r="G748" t="n">
        <v>4.8</v>
      </c>
      <c r="H748" t="n">
        <v>0</v>
      </c>
      <c r="I748" t="n">
        <v>0</v>
      </c>
      <c r="J748" t="n">
        <v>0</v>
      </c>
      <c r="K748" t="n">
        <v>0</v>
      </c>
      <c r="L748" t="n">
        <v>0</v>
      </c>
      <c r="M748" t="n">
        <v>0</v>
      </c>
      <c r="N748" t="n">
        <v>0</v>
      </c>
      <c r="O748" t="n">
        <v>0</v>
      </c>
      <c r="P748" t="n">
        <v>0</v>
      </c>
      <c r="Q748" t="n">
        <v>0</v>
      </c>
      <c r="R748" s="2" t="inlineStr"/>
    </row>
    <row r="749" ht="15" customHeight="1">
      <c r="A749" t="inlineStr">
        <is>
          <t>A 1050-2024</t>
        </is>
      </c>
      <c r="B749" s="1" t="n">
        <v>45301</v>
      </c>
      <c r="C749" s="1" t="n">
        <v>45577</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1378-2024</t>
        </is>
      </c>
      <c r="B750" s="1" t="n">
        <v>45303</v>
      </c>
      <c r="C750" s="1" t="n">
        <v>45577</v>
      </c>
      <c r="D750" t="inlineStr">
        <is>
          <t>JÄMTLANDS LÄN</t>
        </is>
      </c>
      <c r="E750" t="inlineStr">
        <is>
          <t>ÅRE</t>
        </is>
      </c>
      <c r="G750" t="n">
        <v>1.2</v>
      </c>
      <c r="H750" t="n">
        <v>0</v>
      </c>
      <c r="I750" t="n">
        <v>0</v>
      </c>
      <c r="J750" t="n">
        <v>0</v>
      </c>
      <c r="K750" t="n">
        <v>0</v>
      </c>
      <c r="L750" t="n">
        <v>0</v>
      </c>
      <c r="M750" t="n">
        <v>0</v>
      </c>
      <c r="N750" t="n">
        <v>0</v>
      </c>
      <c r="O750" t="n">
        <v>0</v>
      </c>
      <c r="P750" t="n">
        <v>0</v>
      </c>
      <c r="Q750" t="n">
        <v>0</v>
      </c>
      <c r="R750" s="2" t="inlineStr"/>
    </row>
    <row r="751" ht="15" customHeight="1">
      <c r="A751" t="inlineStr">
        <is>
          <t>A 1460-2024</t>
        </is>
      </c>
      <c r="B751" s="1" t="n">
        <v>45303</v>
      </c>
      <c r="C751" s="1" t="n">
        <v>45577</v>
      </c>
      <c r="D751" t="inlineStr">
        <is>
          <t>JÄMTLANDS LÄN</t>
        </is>
      </c>
      <c r="E751" t="inlineStr">
        <is>
          <t>ÅRE</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1491-2024</t>
        </is>
      </c>
      <c r="B752" s="1" t="n">
        <v>45305</v>
      </c>
      <c r="C752" s="1" t="n">
        <v>45577</v>
      </c>
      <c r="D752" t="inlineStr">
        <is>
          <t>JÄMTLANDS LÄN</t>
        </is>
      </c>
      <c r="E752" t="inlineStr">
        <is>
          <t>ÅRE</t>
        </is>
      </c>
      <c r="G752" t="n">
        <v>31.4</v>
      </c>
      <c r="H752" t="n">
        <v>0</v>
      </c>
      <c r="I752" t="n">
        <v>0</v>
      </c>
      <c r="J752" t="n">
        <v>0</v>
      </c>
      <c r="K752" t="n">
        <v>0</v>
      </c>
      <c r="L752" t="n">
        <v>0</v>
      </c>
      <c r="M752" t="n">
        <v>0</v>
      </c>
      <c r="N752" t="n">
        <v>0</v>
      </c>
      <c r="O752" t="n">
        <v>0</v>
      </c>
      <c r="P752" t="n">
        <v>0</v>
      </c>
      <c r="Q752" t="n">
        <v>0</v>
      </c>
      <c r="R752" s="2" t="inlineStr"/>
    </row>
    <row r="753" ht="15" customHeight="1">
      <c r="A753" t="inlineStr">
        <is>
          <t>A 6825-2024</t>
        </is>
      </c>
      <c r="B753" s="1" t="n">
        <v>45342</v>
      </c>
      <c r="C753" s="1" t="n">
        <v>45577</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7334-2024</t>
        </is>
      </c>
      <c r="B754" s="1" t="n">
        <v>45345</v>
      </c>
      <c r="C754" s="1" t="n">
        <v>45577</v>
      </c>
      <c r="D754" t="inlineStr">
        <is>
          <t>JÄMTLANDS LÄN</t>
        </is>
      </c>
      <c r="E754" t="inlineStr">
        <is>
          <t>ÅRE</t>
        </is>
      </c>
      <c r="G754" t="n">
        <v>12.7</v>
      </c>
      <c r="H754" t="n">
        <v>0</v>
      </c>
      <c r="I754" t="n">
        <v>0</v>
      </c>
      <c r="J754" t="n">
        <v>0</v>
      </c>
      <c r="K754" t="n">
        <v>0</v>
      </c>
      <c r="L754" t="n">
        <v>0</v>
      </c>
      <c r="M754" t="n">
        <v>0</v>
      </c>
      <c r="N754" t="n">
        <v>0</v>
      </c>
      <c r="O754" t="n">
        <v>0</v>
      </c>
      <c r="P754" t="n">
        <v>0</v>
      </c>
      <c r="Q754" t="n">
        <v>0</v>
      </c>
      <c r="R754" s="2" t="inlineStr"/>
    </row>
    <row r="755" ht="15" customHeight="1">
      <c r="A755" t="inlineStr">
        <is>
          <t>A 7323-2024</t>
        </is>
      </c>
      <c r="B755" s="1" t="n">
        <v>45345</v>
      </c>
      <c r="C755" s="1" t="n">
        <v>45577</v>
      </c>
      <c r="D755" t="inlineStr">
        <is>
          <t>JÄMTLANDS LÄN</t>
        </is>
      </c>
      <c r="E755" t="inlineStr">
        <is>
          <t>ÅRE</t>
        </is>
      </c>
      <c r="G755" t="n">
        <v>3.7</v>
      </c>
      <c r="H755" t="n">
        <v>0</v>
      </c>
      <c r="I755" t="n">
        <v>0</v>
      </c>
      <c r="J755" t="n">
        <v>0</v>
      </c>
      <c r="K755" t="n">
        <v>0</v>
      </c>
      <c r="L755" t="n">
        <v>0</v>
      </c>
      <c r="M755" t="n">
        <v>0</v>
      </c>
      <c r="N755" t="n">
        <v>0</v>
      </c>
      <c r="O755" t="n">
        <v>0</v>
      </c>
      <c r="P755" t="n">
        <v>0</v>
      </c>
      <c r="Q755" t="n">
        <v>0</v>
      </c>
      <c r="R755" s="2" t="inlineStr"/>
    </row>
    <row r="756" ht="15" customHeight="1">
      <c r="A756" t="inlineStr">
        <is>
          <t>A 8576-2024</t>
        </is>
      </c>
      <c r="B756" s="1" t="n">
        <v>45355</v>
      </c>
      <c r="C756" s="1" t="n">
        <v>45577</v>
      </c>
      <c r="D756" t="inlineStr">
        <is>
          <t>JÄMTLANDS LÄN</t>
        </is>
      </c>
      <c r="E756" t="inlineStr">
        <is>
          <t>ÅRE</t>
        </is>
      </c>
      <c r="G756" t="n">
        <v>21.7</v>
      </c>
      <c r="H756" t="n">
        <v>0</v>
      </c>
      <c r="I756" t="n">
        <v>0</v>
      </c>
      <c r="J756" t="n">
        <v>0</v>
      </c>
      <c r="K756" t="n">
        <v>0</v>
      </c>
      <c r="L756" t="n">
        <v>0</v>
      </c>
      <c r="M756" t="n">
        <v>0</v>
      </c>
      <c r="N756" t="n">
        <v>0</v>
      </c>
      <c r="O756" t="n">
        <v>0</v>
      </c>
      <c r="P756" t="n">
        <v>0</v>
      </c>
      <c r="Q756" t="n">
        <v>0</v>
      </c>
      <c r="R756" s="2" t="inlineStr"/>
    </row>
    <row r="757" ht="15" customHeight="1">
      <c r="A757" t="inlineStr">
        <is>
          <t>A 9926-2024</t>
        </is>
      </c>
      <c r="B757" s="1" t="n">
        <v>45363</v>
      </c>
      <c r="C757" s="1" t="n">
        <v>45577</v>
      </c>
      <c r="D757" t="inlineStr">
        <is>
          <t>JÄMTLANDS LÄN</t>
        </is>
      </c>
      <c r="E757" t="inlineStr">
        <is>
          <t>ÅRE</t>
        </is>
      </c>
      <c r="G757" t="n">
        <v>3.4</v>
      </c>
      <c r="H757" t="n">
        <v>0</v>
      </c>
      <c r="I757" t="n">
        <v>0</v>
      </c>
      <c r="J757" t="n">
        <v>0</v>
      </c>
      <c r="K757" t="n">
        <v>0</v>
      </c>
      <c r="L757" t="n">
        <v>0</v>
      </c>
      <c r="M757" t="n">
        <v>0</v>
      </c>
      <c r="N757" t="n">
        <v>0</v>
      </c>
      <c r="O757" t="n">
        <v>0</v>
      </c>
      <c r="P757" t="n">
        <v>0</v>
      </c>
      <c r="Q757" t="n">
        <v>0</v>
      </c>
      <c r="R757" s="2" t="inlineStr"/>
    </row>
    <row r="758" ht="15" customHeight="1">
      <c r="A758" t="inlineStr">
        <is>
          <t>A 9936-2024</t>
        </is>
      </c>
      <c r="B758" s="1" t="n">
        <v>45363</v>
      </c>
      <c r="C758" s="1" t="n">
        <v>45577</v>
      </c>
      <c r="D758" t="inlineStr">
        <is>
          <t>JÄMTLANDS LÄN</t>
        </is>
      </c>
      <c r="E758" t="inlineStr">
        <is>
          <t>ÅRE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11291-2024</t>
        </is>
      </c>
      <c r="B759" s="1" t="n">
        <v>45371</v>
      </c>
      <c r="C759" s="1" t="n">
        <v>45577</v>
      </c>
      <c r="D759" t="inlineStr">
        <is>
          <t>JÄMTLANDS LÄN</t>
        </is>
      </c>
      <c r="E759" t="inlineStr">
        <is>
          <t>ÅRE</t>
        </is>
      </c>
      <c r="G759" t="n">
        <v>4.4</v>
      </c>
      <c r="H759" t="n">
        <v>0</v>
      </c>
      <c r="I759" t="n">
        <v>0</v>
      </c>
      <c r="J759" t="n">
        <v>0</v>
      </c>
      <c r="K759" t="n">
        <v>0</v>
      </c>
      <c r="L759" t="n">
        <v>0</v>
      </c>
      <c r="M759" t="n">
        <v>0</v>
      </c>
      <c r="N759" t="n">
        <v>0</v>
      </c>
      <c r="O759" t="n">
        <v>0</v>
      </c>
      <c r="P759" t="n">
        <v>0</v>
      </c>
      <c r="Q759" t="n">
        <v>0</v>
      </c>
      <c r="R759" s="2" t="inlineStr"/>
    </row>
    <row r="760" ht="15" customHeight="1">
      <c r="A760" t="inlineStr">
        <is>
          <t>A 11292-2024</t>
        </is>
      </c>
      <c r="B760" s="1" t="n">
        <v>45371</v>
      </c>
      <c r="C760" s="1" t="n">
        <v>45577</v>
      </c>
      <c r="D760" t="inlineStr">
        <is>
          <t>JÄMTLANDS LÄN</t>
        </is>
      </c>
      <c r="E760" t="inlineStr">
        <is>
          <t>ÅRE</t>
        </is>
      </c>
      <c r="G760" t="n">
        <v>1.1</v>
      </c>
      <c r="H760" t="n">
        <v>0</v>
      </c>
      <c r="I760" t="n">
        <v>0</v>
      </c>
      <c r="J760" t="n">
        <v>0</v>
      </c>
      <c r="K760" t="n">
        <v>0</v>
      </c>
      <c r="L760" t="n">
        <v>0</v>
      </c>
      <c r="M760" t="n">
        <v>0</v>
      </c>
      <c r="N760" t="n">
        <v>0</v>
      </c>
      <c r="O760" t="n">
        <v>0</v>
      </c>
      <c r="P760" t="n">
        <v>0</v>
      </c>
      <c r="Q760" t="n">
        <v>0</v>
      </c>
      <c r="R760" s="2" t="inlineStr"/>
    </row>
    <row r="761" ht="15" customHeight="1">
      <c r="A761" t="inlineStr">
        <is>
          <t>A 11914-2024</t>
        </is>
      </c>
      <c r="B761" s="1" t="n">
        <v>45376</v>
      </c>
      <c r="C761" s="1" t="n">
        <v>45577</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11820-2024</t>
        </is>
      </c>
      <c r="B762" s="1" t="n">
        <v>45376</v>
      </c>
      <c r="C762" s="1" t="n">
        <v>45577</v>
      </c>
      <c r="D762" t="inlineStr">
        <is>
          <t>JÄMTLANDS LÄN</t>
        </is>
      </c>
      <c r="E762" t="inlineStr">
        <is>
          <t>ÅRE</t>
        </is>
      </c>
      <c r="G762" t="n">
        <v>9.9</v>
      </c>
      <c r="H762" t="n">
        <v>0</v>
      </c>
      <c r="I762" t="n">
        <v>0</v>
      </c>
      <c r="J762" t="n">
        <v>0</v>
      </c>
      <c r="K762" t="n">
        <v>0</v>
      </c>
      <c r="L762" t="n">
        <v>0</v>
      </c>
      <c r="M762" t="n">
        <v>0</v>
      </c>
      <c r="N762" t="n">
        <v>0</v>
      </c>
      <c r="O762" t="n">
        <v>0</v>
      </c>
      <c r="P762" t="n">
        <v>0</v>
      </c>
      <c r="Q762" t="n">
        <v>0</v>
      </c>
      <c r="R762" s="2" t="inlineStr"/>
    </row>
    <row r="763" ht="15" customHeight="1">
      <c r="A763" t="inlineStr">
        <is>
          <t>A 12427-2024</t>
        </is>
      </c>
      <c r="B763" s="1" t="n">
        <v>45379</v>
      </c>
      <c r="C763" s="1" t="n">
        <v>45577</v>
      </c>
      <c r="D763" t="inlineStr">
        <is>
          <t>JÄMTLANDS LÄN</t>
        </is>
      </c>
      <c r="E763" t="inlineStr">
        <is>
          <t>ÅRE</t>
        </is>
      </c>
      <c r="G763" t="n">
        <v>8.4</v>
      </c>
      <c r="H763" t="n">
        <v>0</v>
      </c>
      <c r="I763" t="n">
        <v>0</v>
      </c>
      <c r="J763" t="n">
        <v>0</v>
      </c>
      <c r="K763" t="n">
        <v>0</v>
      </c>
      <c r="L763" t="n">
        <v>0</v>
      </c>
      <c r="M763" t="n">
        <v>0</v>
      </c>
      <c r="N763" t="n">
        <v>0</v>
      </c>
      <c r="O763" t="n">
        <v>0</v>
      </c>
      <c r="P763" t="n">
        <v>0</v>
      </c>
      <c r="Q763" t="n">
        <v>0</v>
      </c>
      <c r="R763" s="2" t="inlineStr"/>
    </row>
    <row r="764" ht="15" customHeight="1">
      <c r="A764" t="inlineStr">
        <is>
          <t>A 12895-2024</t>
        </is>
      </c>
      <c r="B764" s="1" t="n">
        <v>45385</v>
      </c>
      <c r="C764" s="1" t="n">
        <v>45577</v>
      </c>
      <c r="D764" t="inlineStr">
        <is>
          <t>JÄMTLANDS LÄN</t>
        </is>
      </c>
      <c r="E764" t="inlineStr">
        <is>
          <t>ÅRE</t>
        </is>
      </c>
      <c r="G764" t="n">
        <v>7.1</v>
      </c>
      <c r="H764" t="n">
        <v>0</v>
      </c>
      <c r="I764" t="n">
        <v>0</v>
      </c>
      <c r="J764" t="n">
        <v>0</v>
      </c>
      <c r="K764" t="n">
        <v>0</v>
      </c>
      <c r="L764" t="n">
        <v>0</v>
      </c>
      <c r="M764" t="n">
        <v>0</v>
      </c>
      <c r="N764" t="n">
        <v>0</v>
      </c>
      <c r="O764" t="n">
        <v>0</v>
      </c>
      <c r="P764" t="n">
        <v>0</v>
      </c>
      <c r="Q764" t="n">
        <v>0</v>
      </c>
      <c r="R764" s="2" t="inlineStr"/>
    </row>
    <row r="765" ht="15" customHeight="1">
      <c r="A765" t="inlineStr">
        <is>
          <t>A 12933-2024</t>
        </is>
      </c>
      <c r="B765" s="1" t="n">
        <v>45385</v>
      </c>
      <c r="C765" s="1" t="n">
        <v>45577</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12948-2024</t>
        </is>
      </c>
      <c r="B766" s="1" t="n">
        <v>45385</v>
      </c>
      <c r="C766" s="1" t="n">
        <v>45577</v>
      </c>
      <c r="D766" t="inlineStr">
        <is>
          <t>JÄMTLANDS LÄN</t>
        </is>
      </c>
      <c r="E766" t="inlineStr">
        <is>
          <t>ÅRE</t>
        </is>
      </c>
      <c r="G766" t="n">
        <v>1.4</v>
      </c>
      <c r="H766" t="n">
        <v>0</v>
      </c>
      <c r="I766" t="n">
        <v>0</v>
      </c>
      <c r="J766" t="n">
        <v>0</v>
      </c>
      <c r="K766" t="n">
        <v>0</v>
      </c>
      <c r="L766" t="n">
        <v>0</v>
      </c>
      <c r="M766" t="n">
        <v>0</v>
      </c>
      <c r="N766" t="n">
        <v>0</v>
      </c>
      <c r="O766" t="n">
        <v>0</v>
      </c>
      <c r="P766" t="n">
        <v>0</v>
      </c>
      <c r="Q766" t="n">
        <v>0</v>
      </c>
      <c r="R766" s="2" t="inlineStr"/>
    </row>
    <row r="767" ht="15" customHeight="1">
      <c r="A767" t="inlineStr">
        <is>
          <t>A 13039-2024</t>
        </is>
      </c>
      <c r="B767" s="1" t="n">
        <v>45385</v>
      </c>
      <c r="C767" s="1" t="n">
        <v>45577</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13033-2024</t>
        </is>
      </c>
      <c r="B768" s="1" t="n">
        <v>45385</v>
      </c>
      <c r="C768" s="1" t="n">
        <v>45577</v>
      </c>
      <c r="D768" t="inlineStr">
        <is>
          <t>JÄMTLANDS LÄN</t>
        </is>
      </c>
      <c r="E768" t="inlineStr">
        <is>
          <t>ÅRE</t>
        </is>
      </c>
      <c r="G768" t="n">
        <v>7.3</v>
      </c>
      <c r="H768" t="n">
        <v>0</v>
      </c>
      <c r="I768" t="n">
        <v>0</v>
      </c>
      <c r="J768" t="n">
        <v>0</v>
      </c>
      <c r="K768" t="n">
        <v>0</v>
      </c>
      <c r="L768" t="n">
        <v>0</v>
      </c>
      <c r="M768" t="n">
        <v>0</v>
      </c>
      <c r="N768" t="n">
        <v>0</v>
      </c>
      <c r="O768" t="n">
        <v>0</v>
      </c>
      <c r="P768" t="n">
        <v>0</v>
      </c>
      <c r="Q768" t="n">
        <v>0</v>
      </c>
      <c r="R768" s="2" t="inlineStr"/>
    </row>
    <row r="769" ht="15" customHeight="1">
      <c r="A769" t="inlineStr">
        <is>
          <t>A 13062-2024</t>
        </is>
      </c>
      <c r="B769" s="1" t="n">
        <v>45385</v>
      </c>
      <c r="C769" s="1" t="n">
        <v>45577</v>
      </c>
      <c r="D769" t="inlineStr">
        <is>
          <t>JÄMTLANDS LÄN</t>
        </is>
      </c>
      <c r="E769" t="inlineStr">
        <is>
          <t>ÅRE</t>
        </is>
      </c>
      <c r="G769" t="n">
        <v>3.2</v>
      </c>
      <c r="H769" t="n">
        <v>0</v>
      </c>
      <c r="I769" t="n">
        <v>0</v>
      </c>
      <c r="J769" t="n">
        <v>0</v>
      </c>
      <c r="K769" t="n">
        <v>0</v>
      </c>
      <c r="L769" t="n">
        <v>0</v>
      </c>
      <c r="M769" t="n">
        <v>0</v>
      </c>
      <c r="N769" t="n">
        <v>0</v>
      </c>
      <c r="O769" t="n">
        <v>0</v>
      </c>
      <c r="P769" t="n">
        <v>0</v>
      </c>
      <c r="Q769" t="n">
        <v>0</v>
      </c>
      <c r="R769" s="2" t="inlineStr"/>
    </row>
    <row r="770" ht="15" customHeight="1">
      <c r="A770" t="inlineStr">
        <is>
          <t>A 12930-2024</t>
        </is>
      </c>
      <c r="B770" s="1" t="n">
        <v>45385</v>
      </c>
      <c r="C770" s="1" t="n">
        <v>45577</v>
      </c>
      <c r="D770" t="inlineStr">
        <is>
          <t>JÄMTLANDS LÄN</t>
        </is>
      </c>
      <c r="E770" t="inlineStr">
        <is>
          <t>ÅRE</t>
        </is>
      </c>
      <c r="G770" t="n">
        <v>4.4</v>
      </c>
      <c r="H770" t="n">
        <v>0</v>
      </c>
      <c r="I770" t="n">
        <v>0</v>
      </c>
      <c r="J770" t="n">
        <v>0</v>
      </c>
      <c r="K770" t="n">
        <v>0</v>
      </c>
      <c r="L770" t="n">
        <v>0</v>
      </c>
      <c r="M770" t="n">
        <v>0</v>
      </c>
      <c r="N770" t="n">
        <v>0</v>
      </c>
      <c r="O770" t="n">
        <v>0</v>
      </c>
      <c r="P770" t="n">
        <v>0</v>
      </c>
      <c r="Q770" t="n">
        <v>0</v>
      </c>
      <c r="R770" s="2" t="inlineStr"/>
    </row>
    <row r="771" ht="15" customHeight="1">
      <c r="A771" t="inlineStr">
        <is>
          <t>A 12951-2024</t>
        </is>
      </c>
      <c r="B771" s="1" t="n">
        <v>45385</v>
      </c>
      <c r="C771" s="1" t="n">
        <v>45577</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13022-2024</t>
        </is>
      </c>
      <c r="B772" s="1" t="n">
        <v>45385</v>
      </c>
      <c r="C772" s="1" t="n">
        <v>45577</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12936-2024</t>
        </is>
      </c>
      <c r="B773" s="1" t="n">
        <v>45385</v>
      </c>
      <c r="C773" s="1" t="n">
        <v>45577</v>
      </c>
      <c r="D773" t="inlineStr">
        <is>
          <t>JÄMTLANDS LÄN</t>
        </is>
      </c>
      <c r="E773" t="inlineStr">
        <is>
          <t>ÅRE</t>
        </is>
      </c>
      <c r="G773" t="n">
        <v>4.9</v>
      </c>
      <c r="H773" t="n">
        <v>0</v>
      </c>
      <c r="I773" t="n">
        <v>0</v>
      </c>
      <c r="J773" t="n">
        <v>0</v>
      </c>
      <c r="K773" t="n">
        <v>0</v>
      </c>
      <c r="L773" t="n">
        <v>0</v>
      </c>
      <c r="M773" t="n">
        <v>0</v>
      </c>
      <c r="N773" t="n">
        <v>0</v>
      </c>
      <c r="O773" t="n">
        <v>0</v>
      </c>
      <c r="P773" t="n">
        <v>0</v>
      </c>
      <c r="Q773" t="n">
        <v>0</v>
      </c>
      <c r="R773" s="2" t="inlineStr"/>
    </row>
    <row r="774" ht="15" customHeight="1">
      <c r="A774" t="inlineStr">
        <is>
          <t>A 12940-2024</t>
        </is>
      </c>
      <c r="B774" s="1" t="n">
        <v>45385</v>
      </c>
      <c r="C774" s="1" t="n">
        <v>45577</v>
      </c>
      <c r="D774" t="inlineStr">
        <is>
          <t>JÄMTLANDS LÄN</t>
        </is>
      </c>
      <c r="E774" t="inlineStr">
        <is>
          <t>ÅRE</t>
        </is>
      </c>
      <c r="G774" t="n">
        <v>2.5</v>
      </c>
      <c r="H774" t="n">
        <v>0</v>
      </c>
      <c r="I774" t="n">
        <v>0</v>
      </c>
      <c r="J774" t="n">
        <v>0</v>
      </c>
      <c r="K774" t="n">
        <v>0</v>
      </c>
      <c r="L774" t="n">
        <v>0</v>
      </c>
      <c r="M774" t="n">
        <v>0</v>
      </c>
      <c r="N774" t="n">
        <v>0</v>
      </c>
      <c r="O774" t="n">
        <v>0</v>
      </c>
      <c r="P774" t="n">
        <v>0</v>
      </c>
      <c r="Q774" t="n">
        <v>0</v>
      </c>
      <c r="R774" s="2" t="inlineStr"/>
    </row>
    <row r="775" ht="15" customHeight="1">
      <c r="A775" t="inlineStr">
        <is>
          <t>A 13097-2024</t>
        </is>
      </c>
      <c r="B775" s="1" t="n">
        <v>45385</v>
      </c>
      <c r="C775" s="1" t="n">
        <v>45577</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13301-2024</t>
        </is>
      </c>
      <c r="B776" s="1" t="n">
        <v>45386</v>
      </c>
      <c r="C776" s="1" t="n">
        <v>45577</v>
      </c>
      <c r="D776" t="inlineStr">
        <is>
          <t>JÄMTLANDS LÄN</t>
        </is>
      </c>
      <c r="E776" t="inlineStr">
        <is>
          <t>ÅRE</t>
        </is>
      </c>
      <c r="G776" t="n">
        <v>9</v>
      </c>
      <c r="H776" t="n">
        <v>0</v>
      </c>
      <c r="I776" t="n">
        <v>0</v>
      </c>
      <c r="J776" t="n">
        <v>0</v>
      </c>
      <c r="K776" t="n">
        <v>0</v>
      </c>
      <c r="L776" t="n">
        <v>0</v>
      </c>
      <c r="M776" t="n">
        <v>0</v>
      </c>
      <c r="N776" t="n">
        <v>0</v>
      </c>
      <c r="O776" t="n">
        <v>0</v>
      </c>
      <c r="P776" t="n">
        <v>0</v>
      </c>
      <c r="Q776" t="n">
        <v>0</v>
      </c>
      <c r="R776" s="2" t="inlineStr"/>
    </row>
    <row r="777" ht="15" customHeight="1">
      <c r="A777" t="inlineStr">
        <is>
          <t>A 13370-2024</t>
        </is>
      </c>
      <c r="B777" s="1" t="n">
        <v>45387</v>
      </c>
      <c r="C777" s="1" t="n">
        <v>45577</v>
      </c>
      <c r="D777" t="inlineStr">
        <is>
          <t>JÄMTLANDS LÄN</t>
        </is>
      </c>
      <c r="E777" t="inlineStr">
        <is>
          <t>ÅRE</t>
        </is>
      </c>
      <c r="G777" t="n">
        <v>8.5</v>
      </c>
      <c r="H777" t="n">
        <v>0</v>
      </c>
      <c r="I777" t="n">
        <v>0</v>
      </c>
      <c r="J777" t="n">
        <v>0</v>
      </c>
      <c r="K777" t="n">
        <v>0</v>
      </c>
      <c r="L777" t="n">
        <v>0</v>
      </c>
      <c r="M777" t="n">
        <v>0</v>
      </c>
      <c r="N777" t="n">
        <v>0</v>
      </c>
      <c r="O777" t="n">
        <v>0</v>
      </c>
      <c r="P777" t="n">
        <v>0</v>
      </c>
      <c r="Q777" t="n">
        <v>0</v>
      </c>
      <c r="R777" s="2" t="inlineStr"/>
    </row>
    <row r="778" ht="15" customHeight="1">
      <c r="A778" t="inlineStr">
        <is>
          <t>A 14497-2024</t>
        </is>
      </c>
      <c r="B778" s="1" t="n">
        <v>45394</v>
      </c>
      <c r="C778" s="1" t="n">
        <v>45577</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14898-2024</t>
        </is>
      </c>
      <c r="B779" s="1" t="n">
        <v>45398</v>
      </c>
      <c r="C779" s="1" t="n">
        <v>45577</v>
      </c>
      <c r="D779" t="inlineStr">
        <is>
          <t>JÄMTLANDS LÄN</t>
        </is>
      </c>
      <c r="E779" t="inlineStr">
        <is>
          <t>ÅRE</t>
        </is>
      </c>
      <c r="G779" t="n">
        <v>7.3</v>
      </c>
      <c r="H779" t="n">
        <v>0</v>
      </c>
      <c r="I779" t="n">
        <v>0</v>
      </c>
      <c r="J779" t="n">
        <v>0</v>
      </c>
      <c r="K779" t="n">
        <v>0</v>
      </c>
      <c r="L779" t="n">
        <v>0</v>
      </c>
      <c r="M779" t="n">
        <v>0</v>
      </c>
      <c r="N779" t="n">
        <v>0</v>
      </c>
      <c r="O779" t="n">
        <v>0</v>
      </c>
      <c r="P779" t="n">
        <v>0</v>
      </c>
      <c r="Q779" t="n">
        <v>0</v>
      </c>
      <c r="R779" s="2" t="inlineStr"/>
    </row>
    <row r="780" ht="15" customHeight="1">
      <c r="A780" t="inlineStr">
        <is>
          <t>A 15517-2024</t>
        </is>
      </c>
      <c r="B780" s="1" t="n">
        <v>45401</v>
      </c>
      <c r="C780" s="1" t="n">
        <v>45577</v>
      </c>
      <c r="D780" t="inlineStr">
        <is>
          <t>JÄMTLANDS LÄN</t>
        </is>
      </c>
      <c r="E780" t="inlineStr">
        <is>
          <t>ÅRE</t>
        </is>
      </c>
      <c r="G780" t="n">
        <v>1.4</v>
      </c>
      <c r="H780" t="n">
        <v>0</v>
      </c>
      <c r="I780" t="n">
        <v>0</v>
      </c>
      <c r="J780" t="n">
        <v>0</v>
      </c>
      <c r="K780" t="n">
        <v>0</v>
      </c>
      <c r="L780" t="n">
        <v>0</v>
      </c>
      <c r="M780" t="n">
        <v>0</v>
      </c>
      <c r="N780" t="n">
        <v>0</v>
      </c>
      <c r="O780" t="n">
        <v>0</v>
      </c>
      <c r="P780" t="n">
        <v>0</v>
      </c>
      <c r="Q780" t="n">
        <v>0</v>
      </c>
      <c r="R780" s="2" t="inlineStr"/>
    </row>
    <row r="781" ht="15" customHeight="1">
      <c r="A781" t="inlineStr">
        <is>
          <t>A 15481-2024</t>
        </is>
      </c>
      <c r="B781" s="1" t="n">
        <v>45401</v>
      </c>
      <c r="C781" s="1" t="n">
        <v>45577</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15482-2024</t>
        </is>
      </c>
      <c r="B782" s="1" t="n">
        <v>45401</v>
      </c>
      <c r="C782" s="1" t="n">
        <v>45577</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15480-2024</t>
        </is>
      </c>
      <c r="B783" s="1" t="n">
        <v>45401</v>
      </c>
      <c r="C783" s="1" t="n">
        <v>45577</v>
      </c>
      <c r="D783" t="inlineStr">
        <is>
          <t>JÄMTLANDS LÄN</t>
        </is>
      </c>
      <c r="E783" t="inlineStr">
        <is>
          <t>ÅRE</t>
        </is>
      </c>
      <c r="G783" t="n">
        <v>11.8</v>
      </c>
      <c r="H783" t="n">
        <v>0</v>
      </c>
      <c r="I783" t="n">
        <v>0</v>
      </c>
      <c r="J783" t="n">
        <v>0</v>
      </c>
      <c r="K783" t="n">
        <v>0</v>
      </c>
      <c r="L783" t="n">
        <v>0</v>
      </c>
      <c r="M783" t="n">
        <v>0</v>
      </c>
      <c r="N783" t="n">
        <v>0</v>
      </c>
      <c r="O783" t="n">
        <v>0</v>
      </c>
      <c r="P783" t="n">
        <v>0</v>
      </c>
      <c r="Q783" t="n">
        <v>0</v>
      </c>
      <c r="R783" s="2" t="inlineStr"/>
    </row>
    <row r="784" ht="15" customHeight="1">
      <c r="A784" t="inlineStr">
        <is>
          <t>A 15521-2024</t>
        </is>
      </c>
      <c r="B784" s="1" t="n">
        <v>45401</v>
      </c>
      <c r="C784" s="1" t="n">
        <v>45577</v>
      </c>
      <c r="D784" t="inlineStr">
        <is>
          <t>JÄMTLANDS LÄN</t>
        </is>
      </c>
      <c r="E784" t="inlineStr">
        <is>
          <t>ÅRE</t>
        </is>
      </c>
      <c r="G784" t="n">
        <v>6.3</v>
      </c>
      <c r="H784" t="n">
        <v>0</v>
      </c>
      <c r="I784" t="n">
        <v>0</v>
      </c>
      <c r="J784" t="n">
        <v>0</v>
      </c>
      <c r="K784" t="n">
        <v>0</v>
      </c>
      <c r="L784" t="n">
        <v>0</v>
      </c>
      <c r="M784" t="n">
        <v>0</v>
      </c>
      <c r="N784" t="n">
        <v>0</v>
      </c>
      <c r="O784" t="n">
        <v>0</v>
      </c>
      <c r="P784" t="n">
        <v>0</v>
      </c>
      <c r="Q784" t="n">
        <v>0</v>
      </c>
      <c r="R784" s="2" t="inlineStr"/>
    </row>
    <row r="785" ht="15" customHeight="1">
      <c r="A785" t="inlineStr">
        <is>
          <t>A 15519-2024</t>
        </is>
      </c>
      <c r="B785" s="1" t="n">
        <v>45401</v>
      </c>
      <c r="C785" s="1" t="n">
        <v>45577</v>
      </c>
      <c r="D785" t="inlineStr">
        <is>
          <t>JÄMTLANDS LÄN</t>
        </is>
      </c>
      <c r="E785" t="inlineStr">
        <is>
          <t>ÅRE</t>
        </is>
      </c>
      <c r="G785" t="n">
        <v>0.8</v>
      </c>
      <c r="H785" t="n">
        <v>0</v>
      </c>
      <c r="I785" t="n">
        <v>0</v>
      </c>
      <c r="J785" t="n">
        <v>0</v>
      </c>
      <c r="K785" t="n">
        <v>0</v>
      </c>
      <c r="L785" t="n">
        <v>0</v>
      </c>
      <c r="M785" t="n">
        <v>0</v>
      </c>
      <c r="N785" t="n">
        <v>0</v>
      </c>
      <c r="O785" t="n">
        <v>0</v>
      </c>
      <c r="P785" t="n">
        <v>0</v>
      </c>
      <c r="Q785" t="n">
        <v>0</v>
      </c>
      <c r="R785" s="2" t="inlineStr"/>
    </row>
    <row r="786" ht="15" customHeight="1">
      <c r="A786" t="inlineStr">
        <is>
          <t>A 16348-2024</t>
        </is>
      </c>
      <c r="B786" s="1" t="n">
        <v>45407</v>
      </c>
      <c r="C786" s="1" t="n">
        <v>45577</v>
      </c>
      <c r="D786" t="inlineStr">
        <is>
          <t>JÄMTLANDS LÄN</t>
        </is>
      </c>
      <c r="E786" t="inlineStr">
        <is>
          <t>ÅRE</t>
        </is>
      </c>
      <c r="G786" t="n">
        <v>4.6</v>
      </c>
      <c r="H786" t="n">
        <v>0</v>
      </c>
      <c r="I786" t="n">
        <v>0</v>
      </c>
      <c r="J786" t="n">
        <v>0</v>
      </c>
      <c r="K786" t="n">
        <v>0</v>
      </c>
      <c r="L786" t="n">
        <v>0</v>
      </c>
      <c r="M786" t="n">
        <v>0</v>
      </c>
      <c r="N786" t="n">
        <v>0</v>
      </c>
      <c r="O786" t="n">
        <v>0</v>
      </c>
      <c r="P786" t="n">
        <v>0</v>
      </c>
      <c r="Q786" t="n">
        <v>0</v>
      </c>
      <c r="R786" s="2" t="inlineStr"/>
    </row>
    <row r="787" ht="15" customHeight="1">
      <c r="A787" t="inlineStr">
        <is>
          <t>A 16885-2024</t>
        </is>
      </c>
      <c r="B787" s="1" t="n">
        <v>45411</v>
      </c>
      <c r="C787" s="1" t="n">
        <v>45577</v>
      </c>
      <c r="D787" t="inlineStr">
        <is>
          <t>JÄMTLANDS LÄN</t>
        </is>
      </c>
      <c r="E787" t="inlineStr">
        <is>
          <t>ÅRE</t>
        </is>
      </c>
      <c r="G787" t="n">
        <v>13.7</v>
      </c>
      <c r="H787" t="n">
        <v>0</v>
      </c>
      <c r="I787" t="n">
        <v>0</v>
      </c>
      <c r="J787" t="n">
        <v>0</v>
      </c>
      <c r="K787" t="n">
        <v>0</v>
      </c>
      <c r="L787" t="n">
        <v>0</v>
      </c>
      <c r="M787" t="n">
        <v>0</v>
      </c>
      <c r="N787" t="n">
        <v>0</v>
      </c>
      <c r="O787" t="n">
        <v>0</v>
      </c>
      <c r="P787" t="n">
        <v>0</v>
      </c>
      <c r="Q787" t="n">
        <v>0</v>
      </c>
      <c r="R787" s="2" t="inlineStr"/>
    </row>
    <row r="788" ht="15" customHeight="1">
      <c r="A788" t="inlineStr">
        <is>
          <t>A 17576-2024</t>
        </is>
      </c>
      <c r="B788" s="1" t="n">
        <v>45415</v>
      </c>
      <c r="C788" s="1" t="n">
        <v>45577</v>
      </c>
      <c r="D788" t="inlineStr">
        <is>
          <t>JÄMTLANDS LÄN</t>
        </is>
      </c>
      <c r="E788" t="inlineStr">
        <is>
          <t>ÅRE</t>
        </is>
      </c>
      <c r="G788" t="n">
        <v>0.1</v>
      </c>
      <c r="H788" t="n">
        <v>0</v>
      </c>
      <c r="I788" t="n">
        <v>0</v>
      </c>
      <c r="J788" t="n">
        <v>0</v>
      </c>
      <c r="K788" t="n">
        <v>0</v>
      </c>
      <c r="L788" t="n">
        <v>0</v>
      </c>
      <c r="M788" t="n">
        <v>0</v>
      </c>
      <c r="N788" t="n">
        <v>0</v>
      </c>
      <c r="O788" t="n">
        <v>0</v>
      </c>
      <c r="P788" t="n">
        <v>0</v>
      </c>
      <c r="Q788" t="n">
        <v>0</v>
      </c>
      <c r="R788" s="2" t="inlineStr"/>
    </row>
    <row r="789" ht="15" customHeight="1">
      <c r="A789" t="inlineStr">
        <is>
          <t>A 17777-2024</t>
        </is>
      </c>
      <c r="B789" s="1" t="n">
        <v>45418</v>
      </c>
      <c r="C789" s="1" t="n">
        <v>45577</v>
      </c>
      <c r="D789" t="inlineStr">
        <is>
          <t>JÄMTLANDS LÄN</t>
        </is>
      </c>
      <c r="E789" t="inlineStr">
        <is>
          <t>ÅRE</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17630-2024</t>
        </is>
      </c>
      <c r="B790" s="1" t="n">
        <v>45418</v>
      </c>
      <c r="C790" s="1" t="n">
        <v>45577</v>
      </c>
      <c r="D790" t="inlineStr">
        <is>
          <t>JÄMTLANDS LÄN</t>
        </is>
      </c>
      <c r="E790" t="inlineStr">
        <is>
          <t>ÅRE</t>
        </is>
      </c>
      <c r="F790" t="inlineStr">
        <is>
          <t>Övriga Aktiebolag</t>
        </is>
      </c>
      <c r="G790" t="n">
        <v>29.2</v>
      </c>
      <c r="H790" t="n">
        <v>0</v>
      </c>
      <c r="I790" t="n">
        <v>0</v>
      </c>
      <c r="J790" t="n">
        <v>0</v>
      </c>
      <c r="K790" t="n">
        <v>0</v>
      </c>
      <c r="L790" t="n">
        <v>0</v>
      </c>
      <c r="M790" t="n">
        <v>0</v>
      </c>
      <c r="N790" t="n">
        <v>0</v>
      </c>
      <c r="O790" t="n">
        <v>0</v>
      </c>
      <c r="P790" t="n">
        <v>0</v>
      </c>
      <c r="Q790" t="n">
        <v>0</v>
      </c>
      <c r="R790" s="2" t="inlineStr"/>
    </row>
    <row r="791" ht="15" customHeight="1">
      <c r="A791" t="inlineStr">
        <is>
          <t>A 18072-2024</t>
        </is>
      </c>
      <c r="B791" s="1" t="n">
        <v>45420</v>
      </c>
      <c r="C791" s="1" t="n">
        <v>45577</v>
      </c>
      <c r="D791" t="inlineStr">
        <is>
          <t>JÄMTLANDS LÄN</t>
        </is>
      </c>
      <c r="E791" t="inlineStr">
        <is>
          <t>ÅRE</t>
        </is>
      </c>
      <c r="G791" t="n">
        <v>1.1</v>
      </c>
      <c r="H791" t="n">
        <v>0</v>
      </c>
      <c r="I791" t="n">
        <v>0</v>
      </c>
      <c r="J791" t="n">
        <v>0</v>
      </c>
      <c r="K791" t="n">
        <v>0</v>
      </c>
      <c r="L791" t="n">
        <v>0</v>
      </c>
      <c r="M791" t="n">
        <v>0</v>
      </c>
      <c r="N791" t="n">
        <v>0</v>
      </c>
      <c r="O791" t="n">
        <v>0</v>
      </c>
      <c r="P791" t="n">
        <v>0</v>
      </c>
      <c r="Q791" t="n">
        <v>0</v>
      </c>
      <c r="R791" s="2" t="inlineStr"/>
    </row>
    <row r="792" ht="15" customHeight="1">
      <c r="A792" t="inlineStr">
        <is>
          <t>A 18928-2024</t>
        </is>
      </c>
      <c r="B792" s="1" t="n">
        <v>45427</v>
      </c>
      <c r="C792" s="1" t="n">
        <v>45577</v>
      </c>
      <c r="D792" t="inlineStr">
        <is>
          <t>JÄMTLANDS LÄN</t>
        </is>
      </c>
      <c r="E792" t="inlineStr">
        <is>
          <t>ÅRE</t>
        </is>
      </c>
      <c r="G792" t="n">
        <v>0.8</v>
      </c>
      <c r="H792" t="n">
        <v>0</v>
      </c>
      <c r="I792" t="n">
        <v>0</v>
      </c>
      <c r="J792" t="n">
        <v>0</v>
      </c>
      <c r="K792" t="n">
        <v>0</v>
      </c>
      <c r="L792" t="n">
        <v>0</v>
      </c>
      <c r="M792" t="n">
        <v>0</v>
      </c>
      <c r="N792" t="n">
        <v>0</v>
      </c>
      <c r="O792" t="n">
        <v>0</v>
      </c>
      <c r="P792" t="n">
        <v>0</v>
      </c>
      <c r="Q792" t="n">
        <v>0</v>
      </c>
      <c r="R792" s="2" t="inlineStr"/>
    </row>
    <row r="793" ht="15" customHeight="1">
      <c r="A793" t="inlineStr">
        <is>
          <t>A 20202-2024</t>
        </is>
      </c>
      <c r="B793" s="1" t="n">
        <v>45434</v>
      </c>
      <c r="C793" s="1" t="n">
        <v>45577</v>
      </c>
      <c r="D793" t="inlineStr">
        <is>
          <t>JÄMTLANDS LÄN</t>
        </is>
      </c>
      <c r="E793" t="inlineStr">
        <is>
          <t>ÅRE</t>
        </is>
      </c>
      <c r="G793" t="n">
        <v>6.7</v>
      </c>
      <c r="H793" t="n">
        <v>0</v>
      </c>
      <c r="I793" t="n">
        <v>0</v>
      </c>
      <c r="J793" t="n">
        <v>0</v>
      </c>
      <c r="K793" t="n">
        <v>0</v>
      </c>
      <c r="L793" t="n">
        <v>0</v>
      </c>
      <c r="M793" t="n">
        <v>0</v>
      </c>
      <c r="N793" t="n">
        <v>0</v>
      </c>
      <c r="O793" t="n">
        <v>0</v>
      </c>
      <c r="P793" t="n">
        <v>0</v>
      </c>
      <c r="Q793" t="n">
        <v>0</v>
      </c>
      <c r="R793" s="2" t="inlineStr"/>
    </row>
    <row r="794" ht="15" customHeight="1">
      <c r="A794" t="inlineStr">
        <is>
          <t>A 20485-2024</t>
        </is>
      </c>
      <c r="B794" s="1" t="n">
        <v>45435</v>
      </c>
      <c r="C794" s="1" t="n">
        <v>45577</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20480-2024</t>
        </is>
      </c>
      <c r="B795" s="1" t="n">
        <v>45435</v>
      </c>
      <c r="C795" s="1" t="n">
        <v>45577</v>
      </c>
      <c r="D795" t="inlineStr">
        <is>
          <t>JÄMTLANDS LÄN</t>
        </is>
      </c>
      <c r="E795" t="inlineStr">
        <is>
          <t>ÅRE</t>
        </is>
      </c>
      <c r="G795" t="n">
        <v>2.7</v>
      </c>
      <c r="H795" t="n">
        <v>0</v>
      </c>
      <c r="I795" t="n">
        <v>0</v>
      </c>
      <c r="J795" t="n">
        <v>0</v>
      </c>
      <c r="K795" t="n">
        <v>0</v>
      </c>
      <c r="L795" t="n">
        <v>0</v>
      </c>
      <c r="M795" t="n">
        <v>0</v>
      </c>
      <c r="N795" t="n">
        <v>0</v>
      </c>
      <c r="O795" t="n">
        <v>0</v>
      </c>
      <c r="P795" t="n">
        <v>0</v>
      </c>
      <c r="Q795" t="n">
        <v>0</v>
      </c>
      <c r="R795" s="2" t="inlineStr"/>
    </row>
    <row r="796" ht="15" customHeight="1">
      <c r="A796" t="inlineStr">
        <is>
          <t>A 20804-2024</t>
        </is>
      </c>
      <c r="B796" s="1" t="n">
        <v>45439</v>
      </c>
      <c r="C796" s="1" t="n">
        <v>45577</v>
      </c>
      <c r="D796" t="inlineStr">
        <is>
          <t>JÄMTLANDS LÄN</t>
        </is>
      </c>
      <c r="E796" t="inlineStr">
        <is>
          <t>ÅRE</t>
        </is>
      </c>
      <c r="G796" t="n">
        <v>6.4</v>
      </c>
      <c r="H796" t="n">
        <v>0</v>
      </c>
      <c r="I796" t="n">
        <v>0</v>
      </c>
      <c r="J796" t="n">
        <v>0</v>
      </c>
      <c r="K796" t="n">
        <v>0</v>
      </c>
      <c r="L796" t="n">
        <v>0</v>
      </c>
      <c r="M796" t="n">
        <v>0</v>
      </c>
      <c r="N796" t="n">
        <v>0</v>
      </c>
      <c r="O796" t="n">
        <v>0</v>
      </c>
      <c r="P796" t="n">
        <v>0</v>
      </c>
      <c r="Q796" t="n">
        <v>0</v>
      </c>
      <c r="R796" s="2" t="inlineStr"/>
    </row>
    <row r="797" ht="15" customHeight="1">
      <c r="A797" t="inlineStr">
        <is>
          <t>A 20999-2024</t>
        </is>
      </c>
      <c r="B797" s="1" t="n">
        <v>45439</v>
      </c>
      <c r="C797" s="1" t="n">
        <v>45577</v>
      </c>
      <c r="D797" t="inlineStr">
        <is>
          <t>JÄMTLANDS LÄN</t>
        </is>
      </c>
      <c r="E797" t="inlineStr">
        <is>
          <t>ÅRE</t>
        </is>
      </c>
      <c r="G797" t="n">
        <v>5.7</v>
      </c>
      <c r="H797" t="n">
        <v>0</v>
      </c>
      <c r="I797" t="n">
        <v>0</v>
      </c>
      <c r="J797" t="n">
        <v>0</v>
      </c>
      <c r="K797" t="n">
        <v>0</v>
      </c>
      <c r="L797" t="n">
        <v>0</v>
      </c>
      <c r="M797" t="n">
        <v>0</v>
      </c>
      <c r="N797" t="n">
        <v>0</v>
      </c>
      <c r="O797" t="n">
        <v>0</v>
      </c>
      <c r="P797" t="n">
        <v>0</v>
      </c>
      <c r="Q797" t="n">
        <v>0</v>
      </c>
      <c r="R797" s="2" t="inlineStr"/>
    </row>
    <row r="798" ht="15" customHeight="1">
      <c r="A798" t="inlineStr">
        <is>
          <t>A 21640-2024</t>
        </is>
      </c>
      <c r="B798" s="1" t="n">
        <v>45442</v>
      </c>
      <c r="C798" s="1" t="n">
        <v>45577</v>
      </c>
      <c r="D798" t="inlineStr">
        <is>
          <t>JÄMTLANDS LÄN</t>
        </is>
      </c>
      <c r="E798" t="inlineStr">
        <is>
          <t>ÅRE</t>
        </is>
      </c>
      <c r="G798" t="n">
        <v>16.4</v>
      </c>
      <c r="H798" t="n">
        <v>0</v>
      </c>
      <c r="I798" t="n">
        <v>0</v>
      </c>
      <c r="J798" t="n">
        <v>0</v>
      </c>
      <c r="K798" t="n">
        <v>0</v>
      </c>
      <c r="L798" t="n">
        <v>0</v>
      </c>
      <c r="M798" t="n">
        <v>0</v>
      </c>
      <c r="N798" t="n">
        <v>0</v>
      </c>
      <c r="O798" t="n">
        <v>0</v>
      </c>
      <c r="P798" t="n">
        <v>0</v>
      </c>
      <c r="Q798" t="n">
        <v>0</v>
      </c>
      <c r="R798" s="2" t="inlineStr"/>
    </row>
    <row r="799" ht="15" customHeight="1">
      <c r="A799" t="inlineStr">
        <is>
          <t>A 22600-2024</t>
        </is>
      </c>
      <c r="B799" s="1" t="n">
        <v>45447</v>
      </c>
      <c r="C799" s="1" t="n">
        <v>45577</v>
      </c>
      <c r="D799" t="inlineStr">
        <is>
          <t>JÄMTLANDS LÄN</t>
        </is>
      </c>
      <c r="E799" t="inlineStr">
        <is>
          <t>ÅRE</t>
        </is>
      </c>
      <c r="G799" t="n">
        <v>22.5</v>
      </c>
      <c r="H799" t="n">
        <v>0</v>
      </c>
      <c r="I799" t="n">
        <v>0</v>
      </c>
      <c r="J799" t="n">
        <v>0</v>
      </c>
      <c r="K799" t="n">
        <v>0</v>
      </c>
      <c r="L799" t="n">
        <v>0</v>
      </c>
      <c r="M799" t="n">
        <v>0</v>
      </c>
      <c r="N799" t="n">
        <v>0</v>
      </c>
      <c r="O799" t="n">
        <v>0</v>
      </c>
      <c r="P799" t="n">
        <v>0</v>
      </c>
      <c r="Q799" t="n">
        <v>0</v>
      </c>
      <c r="R799" s="2" t="inlineStr"/>
    </row>
    <row r="800" ht="15" customHeight="1">
      <c r="A800" t="inlineStr">
        <is>
          <t>A 22687-2024</t>
        </is>
      </c>
      <c r="B800" s="1" t="n">
        <v>45448</v>
      </c>
      <c r="C800" s="1" t="n">
        <v>45577</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23159-2024</t>
        </is>
      </c>
      <c r="B801" s="1" t="n">
        <v>45450</v>
      </c>
      <c r="C801" s="1" t="n">
        <v>45577</v>
      </c>
      <c r="D801" t="inlineStr">
        <is>
          <t>JÄMTLANDS LÄN</t>
        </is>
      </c>
      <c r="E801" t="inlineStr">
        <is>
          <t>ÅRE</t>
        </is>
      </c>
      <c r="G801" t="n">
        <v>1.2</v>
      </c>
      <c r="H801" t="n">
        <v>0</v>
      </c>
      <c r="I801" t="n">
        <v>0</v>
      </c>
      <c r="J801" t="n">
        <v>0</v>
      </c>
      <c r="K801" t="n">
        <v>0</v>
      </c>
      <c r="L801" t="n">
        <v>0</v>
      </c>
      <c r="M801" t="n">
        <v>0</v>
      </c>
      <c r="N801" t="n">
        <v>0</v>
      </c>
      <c r="O801" t="n">
        <v>0</v>
      </c>
      <c r="P801" t="n">
        <v>0</v>
      </c>
      <c r="Q801" t="n">
        <v>0</v>
      </c>
      <c r="R801" s="2" t="inlineStr"/>
    </row>
    <row r="802" ht="15" customHeight="1">
      <c r="A802" t="inlineStr">
        <is>
          <t>A 23805-2024</t>
        </is>
      </c>
      <c r="B802" s="1" t="n">
        <v>45455</v>
      </c>
      <c r="C802" s="1" t="n">
        <v>45577</v>
      </c>
      <c r="D802" t="inlineStr">
        <is>
          <t>JÄMTLANDS LÄN</t>
        </is>
      </c>
      <c r="E802" t="inlineStr">
        <is>
          <t>ÅRE</t>
        </is>
      </c>
      <c r="G802" t="n">
        <v>1.5</v>
      </c>
      <c r="H802" t="n">
        <v>0</v>
      </c>
      <c r="I802" t="n">
        <v>0</v>
      </c>
      <c r="J802" t="n">
        <v>0</v>
      </c>
      <c r="K802" t="n">
        <v>0</v>
      </c>
      <c r="L802" t="n">
        <v>0</v>
      </c>
      <c r="M802" t="n">
        <v>0</v>
      </c>
      <c r="N802" t="n">
        <v>0</v>
      </c>
      <c r="O802" t="n">
        <v>0</v>
      </c>
      <c r="P802" t="n">
        <v>0</v>
      </c>
      <c r="Q802" t="n">
        <v>0</v>
      </c>
      <c r="R802" s="2" t="inlineStr"/>
    </row>
    <row r="803" ht="15" customHeight="1">
      <c r="A803" t="inlineStr">
        <is>
          <t>A 23822-2024</t>
        </is>
      </c>
      <c r="B803" s="1" t="n">
        <v>45455</v>
      </c>
      <c r="C803" s="1" t="n">
        <v>45577</v>
      </c>
      <c r="D803" t="inlineStr">
        <is>
          <t>JÄMTLANDS LÄN</t>
        </is>
      </c>
      <c r="E803" t="inlineStr">
        <is>
          <t>ÅRE</t>
        </is>
      </c>
      <c r="G803" t="n">
        <v>4.8</v>
      </c>
      <c r="H803" t="n">
        <v>0</v>
      </c>
      <c r="I803" t="n">
        <v>0</v>
      </c>
      <c r="J803" t="n">
        <v>0</v>
      </c>
      <c r="K803" t="n">
        <v>0</v>
      </c>
      <c r="L803" t="n">
        <v>0</v>
      </c>
      <c r="M803" t="n">
        <v>0</v>
      </c>
      <c r="N803" t="n">
        <v>0</v>
      </c>
      <c r="O803" t="n">
        <v>0</v>
      </c>
      <c r="P803" t="n">
        <v>0</v>
      </c>
      <c r="Q803" t="n">
        <v>0</v>
      </c>
      <c r="R803" s="2" t="inlineStr"/>
    </row>
    <row r="804" ht="15" customHeight="1">
      <c r="A804" t="inlineStr">
        <is>
          <t>A 24344-2024</t>
        </is>
      </c>
      <c r="B804" s="1" t="n">
        <v>45457</v>
      </c>
      <c r="C804" s="1" t="n">
        <v>45577</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25379-2024</t>
        </is>
      </c>
      <c r="B805" s="1" t="n">
        <v>45462</v>
      </c>
      <c r="C805" s="1" t="n">
        <v>45577</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25710-2024</t>
        </is>
      </c>
      <c r="B806" s="1" t="n">
        <v>45463</v>
      </c>
      <c r="C806" s="1" t="n">
        <v>45577</v>
      </c>
      <c r="D806" t="inlineStr">
        <is>
          <t>JÄMTLANDS LÄN</t>
        </is>
      </c>
      <c r="E806" t="inlineStr">
        <is>
          <t>ÅRE</t>
        </is>
      </c>
      <c r="G806" t="n">
        <v>4.5</v>
      </c>
      <c r="H806" t="n">
        <v>0</v>
      </c>
      <c r="I806" t="n">
        <v>0</v>
      </c>
      <c r="J806" t="n">
        <v>0</v>
      </c>
      <c r="K806" t="n">
        <v>0</v>
      </c>
      <c r="L806" t="n">
        <v>0</v>
      </c>
      <c r="M806" t="n">
        <v>0</v>
      </c>
      <c r="N806" t="n">
        <v>0</v>
      </c>
      <c r="O806" t="n">
        <v>0</v>
      </c>
      <c r="P806" t="n">
        <v>0</v>
      </c>
      <c r="Q806" t="n">
        <v>0</v>
      </c>
      <c r="R806" s="2" t="inlineStr"/>
    </row>
    <row r="807" ht="15" customHeight="1">
      <c r="A807" t="inlineStr">
        <is>
          <t>A 25517-2024</t>
        </is>
      </c>
      <c r="B807" s="1" t="n">
        <v>45463</v>
      </c>
      <c r="C807" s="1" t="n">
        <v>45577</v>
      </c>
      <c r="D807" t="inlineStr">
        <is>
          <t>JÄMTLANDS LÄN</t>
        </is>
      </c>
      <c r="E807" t="inlineStr">
        <is>
          <t>ÅRE</t>
        </is>
      </c>
      <c r="G807" t="n">
        <v>5.3</v>
      </c>
      <c r="H807" t="n">
        <v>0</v>
      </c>
      <c r="I807" t="n">
        <v>0</v>
      </c>
      <c r="J807" t="n">
        <v>0</v>
      </c>
      <c r="K807" t="n">
        <v>0</v>
      </c>
      <c r="L807" t="n">
        <v>0</v>
      </c>
      <c r="M807" t="n">
        <v>0</v>
      </c>
      <c r="N807" t="n">
        <v>0</v>
      </c>
      <c r="O807" t="n">
        <v>0</v>
      </c>
      <c r="P807" t="n">
        <v>0</v>
      </c>
      <c r="Q807" t="n">
        <v>0</v>
      </c>
      <c r="R807" s="2" t="inlineStr"/>
    </row>
    <row r="808" ht="15" customHeight="1">
      <c r="A808" t="inlineStr">
        <is>
          <t>A 26312-2024</t>
        </is>
      </c>
      <c r="B808" s="1" t="n">
        <v>45468</v>
      </c>
      <c r="C808" s="1" t="n">
        <v>45577</v>
      </c>
      <c r="D808" t="inlineStr">
        <is>
          <t>JÄMTLANDS LÄN</t>
        </is>
      </c>
      <c r="E808" t="inlineStr">
        <is>
          <t>ÅRE</t>
        </is>
      </c>
      <c r="G808" t="n">
        <v>4.5</v>
      </c>
      <c r="H808" t="n">
        <v>0</v>
      </c>
      <c r="I808" t="n">
        <v>0</v>
      </c>
      <c r="J808" t="n">
        <v>0</v>
      </c>
      <c r="K808" t="n">
        <v>0</v>
      </c>
      <c r="L808" t="n">
        <v>0</v>
      </c>
      <c r="M808" t="n">
        <v>0</v>
      </c>
      <c r="N808" t="n">
        <v>0</v>
      </c>
      <c r="O808" t="n">
        <v>0</v>
      </c>
      <c r="P808" t="n">
        <v>0</v>
      </c>
      <c r="Q808" t="n">
        <v>0</v>
      </c>
      <c r="R808" s="2" t="inlineStr"/>
    </row>
    <row r="809" ht="15" customHeight="1">
      <c r="A809" t="inlineStr">
        <is>
          <t>A 27500-2024</t>
        </is>
      </c>
      <c r="B809" s="1" t="n">
        <v>45474</v>
      </c>
      <c r="C809" s="1" t="n">
        <v>45577</v>
      </c>
      <c r="D809" t="inlineStr">
        <is>
          <t>JÄMTLANDS LÄN</t>
        </is>
      </c>
      <c r="E809" t="inlineStr">
        <is>
          <t>ÅRE</t>
        </is>
      </c>
      <c r="G809" t="n">
        <v>4.1</v>
      </c>
      <c r="H809" t="n">
        <v>0</v>
      </c>
      <c r="I809" t="n">
        <v>0</v>
      </c>
      <c r="J809" t="n">
        <v>0</v>
      </c>
      <c r="K809" t="n">
        <v>0</v>
      </c>
      <c r="L809" t="n">
        <v>0</v>
      </c>
      <c r="M809" t="n">
        <v>0</v>
      </c>
      <c r="N809" t="n">
        <v>0</v>
      </c>
      <c r="O809" t="n">
        <v>0</v>
      </c>
      <c r="P809" t="n">
        <v>0</v>
      </c>
      <c r="Q809" t="n">
        <v>0</v>
      </c>
      <c r="R809" s="2" t="inlineStr"/>
    </row>
    <row r="810" ht="15" customHeight="1">
      <c r="A810" t="inlineStr">
        <is>
          <t>A 27456-2024</t>
        </is>
      </c>
      <c r="B810" s="1" t="n">
        <v>45474</v>
      </c>
      <c r="C810" s="1" t="n">
        <v>45577</v>
      </c>
      <c r="D810" t="inlineStr">
        <is>
          <t>JÄMTLANDS LÄN</t>
        </is>
      </c>
      <c r="E810" t="inlineStr">
        <is>
          <t>ÅRE</t>
        </is>
      </c>
      <c r="G810" t="n">
        <v>6.1</v>
      </c>
      <c r="H810" t="n">
        <v>0</v>
      </c>
      <c r="I810" t="n">
        <v>0</v>
      </c>
      <c r="J810" t="n">
        <v>0</v>
      </c>
      <c r="K810" t="n">
        <v>0</v>
      </c>
      <c r="L810" t="n">
        <v>0</v>
      </c>
      <c r="M810" t="n">
        <v>0</v>
      </c>
      <c r="N810" t="n">
        <v>0</v>
      </c>
      <c r="O810" t="n">
        <v>0</v>
      </c>
      <c r="P810" t="n">
        <v>0</v>
      </c>
      <c r="Q810" t="n">
        <v>0</v>
      </c>
      <c r="R810" s="2" t="inlineStr"/>
    </row>
    <row r="811" ht="15" customHeight="1">
      <c r="A811" t="inlineStr">
        <is>
          <t>A 28642-2024</t>
        </is>
      </c>
      <c r="B811" s="1" t="n">
        <v>45478</v>
      </c>
      <c r="C811" s="1" t="n">
        <v>45577</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29177-2024</t>
        </is>
      </c>
      <c r="B812" s="1" t="n">
        <v>45482</v>
      </c>
      <c r="C812" s="1" t="n">
        <v>45577</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30080-2024</t>
        </is>
      </c>
      <c r="B813" s="1" t="n">
        <v>45485</v>
      </c>
      <c r="C813" s="1" t="n">
        <v>45577</v>
      </c>
      <c r="D813" t="inlineStr">
        <is>
          <t>JÄMTLANDS LÄN</t>
        </is>
      </c>
      <c r="E813" t="inlineStr">
        <is>
          <t>ÅRE</t>
        </is>
      </c>
      <c r="G813" t="n">
        <v>24.6</v>
      </c>
      <c r="H813" t="n">
        <v>0</v>
      </c>
      <c r="I813" t="n">
        <v>0</v>
      </c>
      <c r="J813" t="n">
        <v>0</v>
      </c>
      <c r="K813" t="n">
        <v>0</v>
      </c>
      <c r="L813" t="n">
        <v>0</v>
      </c>
      <c r="M813" t="n">
        <v>0</v>
      </c>
      <c r="N813" t="n">
        <v>0</v>
      </c>
      <c r="O813" t="n">
        <v>0</v>
      </c>
      <c r="P813" t="n">
        <v>0</v>
      </c>
      <c r="Q813" t="n">
        <v>0</v>
      </c>
      <c r="R813" s="2" t="inlineStr"/>
    </row>
    <row r="814" ht="15" customHeight="1">
      <c r="A814" t="inlineStr">
        <is>
          <t>A 30081-2024</t>
        </is>
      </c>
      <c r="B814" s="1" t="n">
        <v>45485</v>
      </c>
      <c r="C814" s="1" t="n">
        <v>45577</v>
      </c>
      <c r="D814" t="inlineStr">
        <is>
          <t>JÄMTLANDS LÄN</t>
        </is>
      </c>
      <c r="E814" t="inlineStr">
        <is>
          <t>ÅRE</t>
        </is>
      </c>
      <c r="G814" t="n">
        <v>17.8</v>
      </c>
      <c r="H814" t="n">
        <v>0</v>
      </c>
      <c r="I814" t="n">
        <v>0</v>
      </c>
      <c r="J814" t="n">
        <v>0</v>
      </c>
      <c r="K814" t="n">
        <v>0</v>
      </c>
      <c r="L814" t="n">
        <v>0</v>
      </c>
      <c r="M814" t="n">
        <v>0</v>
      </c>
      <c r="N814" t="n">
        <v>0</v>
      </c>
      <c r="O814" t="n">
        <v>0</v>
      </c>
      <c r="P814" t="n">
        <v>0</v>
      </c>
      <c r="Q814" t="n">
        <v>0</v>
      </c>
      <c r="R814" s="2" t="inlineStr"/>
    </row>
    <row r="815" ht="15" customHeight="1">
      <c r="A815" t="inlineStr">
        <is>
          <t>A 30379-2024</t>
        </is>
      </c>
      <c r="B815" s="1" t="n">
        <v>45491</v>
      </c>
      <c r="C815" s="1" t="n">
        <v>45577</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30987-2024</t>
        </is>
      </c>
      <c r="B816" s="1" t="n">
        <v>45499</v>
      </c>
      <c r="C816" s="1" t="n">
        <v>45577</v>
      </c>
      <c r="D816" t="inlineStr">
        <is>
          <t>JÄMTLANDS LÄN</t>
        </is>
      </c>
      <c r="E816" t="inlineStr">
        <is>
          <t>ÅRE</t>
        </is>
      </c>
      <c r="G816" t="n">
        <v>10</v>
      </c>
      <c r="H816" t="n">
        <v>0</v>
      </c>
      <c r="I816" t="n">
        <v>0</v>
      </c>
      <c r="J816" t="n">
        <v>0</v>
      </c>
      <c r="K816" t="n">
        <v>0</v>
      </c>
      <c r="L816" t="n">
        <v>0</v>
      </c>
      <c r="M816" t="n">
        <v>0</v>
      </c>
      <c r="N816" t="n">
        <v>0</v>
      </c>
      <c r="O816" t="n">
        <v>0</v>
      </c>
      <c r="P816" t="n">
        <v>0</v>
      </c>
      <c r="Q816" t="n">
        <v>0</v>
      </c>
      <c r="R816" s="2" t="inlineStr"/>
    </row>
    <row r="817" ht="15" customHeight="1">
      <c r="A817" t="inlineStr">
        <is>
          <t>A 33230-2024</t>
        </is>
      </c>
      <c r="B817" s="1" t="n">
        <v>45518</v>
      </c>
      <c r="C817" s="1" t="n">
        <v>45577</v>
      </c>
      <c r="D817" t="inlineStr">
        <is>
          <t>JÄMTLANDS LÄN</t>
        </is>
      </c>
      <c r="E817" t="inlineStr">
        <is>
          <t>ÅRE</t>
        </is>
      </c>
      <c r="G817" t="n">
        <v>2.4</v>
      </c>
      <c r="H817" t="n">
        <v>0</v>
      </c>
      <c r="I817" t="n">
        <v>0</v>
      </c>
      <c r="J817" t="n">
        <v>0</v>
      </c>
      <c r="K817" t="n">
        <v>0</v>
      </c>
      <c r="L817" t="n">
        <v>0</v>
      </c>
      <c r="M817" t="n">
        <v>0</v>
      </c>
      <c r="N817" t="n">
        <v>0</v>
      </c>
      <c r="O817" t="n">
        <v>0</v>
      </c>
      <c r="P817" t="n">
        <v>0</v>
      </c>
      <c r="Q817" t="n">
        <v>0</v>
      </c>
      <c r="R817" s="2" t="inlineStr"/>
    </row>
    <row r="818" ht="15" customHeight="1">
      <c r="A818" t="inlineStr">
        <is>
          <t>A 33239-2024</t>
        </is>
      </c>
      <c r="B818" s="1" t="n">
        <v>45518</v>
      </c>
      <c r="C818" s="1" t="n">
        <v>45577</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33379-2024</t>
        </is>
      </c>
      <c r="B819" s="1" t="n">
        <v>45519</v>
      </c>
      <c r="C819" s="1" t="n">
        <v>45577</v>
      </c>
      <c r="D819" t="inlineStr">
        <is>
          <t>JÄMTLANDS LÄN</t>
        </is>
      </c>
      <c r="E819" t="inlineStr">
        <is>
          <t>ÅRE</t>
        </is>
      </c>
      <c r="G819" t="n">
        <v>1.5</v>
      </c>
      <c r="H819" t="n">
        <v>0</v>
      </c>
      <c r="I819" t="n">
        <v>0</v>
      </c>
      <c r="J819" t="n">
        <v>0</v>
      </c>
      <c r="K819" t="n">
        <v>0</v>
      </c>
      <c r="L819" t="n">
        <v>0</v>
      </c>
      <c r="M819" t="n">
        <v>0</v>
      </c>
      <c r="N819" t="n">
        <v>0</v>
      </c>
      <c r="O819" t="n">
        <v>0</v>
      </c>
      <c r="P819" t="n">
        <v>0</v>
      </c>
      <c r="Q819" t="n">
        <v>0</v>
      </c>
      <c r="R819" s="2" t="inlineStr"/>
    </row>
    <row r="820" ht="15" customHeight="1">
      <c r="A820" t="inlineStr">
        <is>
          <t>A 34149-2024</t>
        </is>
      </c>
      <c r="B820" s="1" t="n">
        <v>45524</v>
      </c>
      <c r="C820" s="1" t="n">
        <v>45577</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35745-2024</t>
        </is>
      </c>
      <c r="B821" s="1" t="n">
        <v>45532</v>
      </c>
      <c r="C821" s="1" t="n">
        <v>45577</v>
      </c>
      <c r="D821" t="inlineStr">
        <is>
          <t>JÄMTLANDS LÄN</t>
        </is>
      </c>
      <c r="E821" t="inlineStr">
        <is>
          <t>ÅRE</t>
        </is>
      </c>
      <c r="G821" t="n">
        <v>4.2</v>
      </c>
      <c r="H821" t="n">
        <v>0</v>
      </c>
      <c r="I821" t="n">
        <v>0</v>
      </c>
      <c r="J821" t="n">
        <v>0</v>
      </c>
      <c r="K821" t="n">
        <v>0</v>
      </c>
      <c r="L821" t="n">
        <v>0</v>
      </c>
      <c r="M821" t="n">
        <v>0</v>
      </c>
      <c r="N821" t="n">
        <v>0</v>
      </c>
      <c r="O821" t="n">
        <v>0</v>
      </c>
      <c r="P821" t="n">
        <v>0</v>
      </c>
      <c r="Q821" t="n">
        <v>0</v>
      </c>
      <c r="R821" s="2" t="inlineStr"/>
    </row>
    <row r="822" ht="15" customHeight="1">
      <c r="A822" t="inlineStr">
        <is>
          <t>A 37718-2024</t>
        </is>
      </c>
      <c r="B822" s="1" t="n">
        <v>45541</v>
      </c>
      <c r="C822" s="1" t="n">
        <v>45577</v>
      </c>
      <c r="D822" t="inlineStr">
        <is>
          <t>JÄMTLANDS LÄN</t>
        </is>
      </c>
      <c r="E822" t="inlineStr">
        <is>
          <t>ÅRE</t>
        </is>
      </c>
      <c r="G822" t="n">
        <v>2.9</v>
      </c>
      <c r="H822" t="n">
        <v>0</v>
      </c>
      <c r="I822" t="n">
        <v>0</v>
      </c>
      <c r="J822" t="n">
        <v>0</v>
      </c>
      <c r="K822" t="n">
        <v>0</v>
      </c>
      <c r="L822" t="n">
        <v>0</v>
      </c>
      <c r="M822" t="n">
        <v>0</v>
      </c>
      <c r="N822" t="n">
        <v>0</v>
      </c>
      <c r="O822" t="n">
        <v>0</v>
      </c>
      <c r="P822" t="n">
        <v>0</v>
      </c>
      <c r="Q822" t="n">
        <v>0</v>
      </c>
      <c r="R822" s="2" t="inlineStr"/>
    </row>
    <row r="823" ht="15" customHeight="1">
      <c r="A823" t="inlineStr">
        <is>
          <t>A 38227-2024</t>
        </is>
      </c>
      <c r="B823" s="1" t="n">
        <v>45545</v>
      </c>
      <c r="C823" s="1" t="n">
        <v>45577</v>
      </c>
      <c r="D823" t="inlineStr">
        <is>
          <t>JÄMTLANDS LÄN</t>
        </is>
      </c>
      <c r="E823" t="inlineStr">
        <is>
          <t>ÅRE</t>
        </is>
      </c>
      <c r="G823" t="n">
        <v>3.9</v>
      </c>
      <c r="H823" t="n">
        <v>0</v>
      </c>
      <c r="I823" t="n">
        <v>0</v>
      </c>
      <c r="J823" t="n">
        <v>0</v>
      </c>
      <c r="K823" t="n">
        <v>0</v>
      </c>
      <c r="L823" t="n">
        <v>0</v>
      </c>
      <c r="M823" t="n">
        <v>0</v>
      </c>
      <c r="N823" t="n">
        <v>0</v>
      </c>
      <c r="O823" t="n">
        <v>0</v>
      </c>
      <c r="P823" t="n">
        <v>0</v>
      </c>
      <c r="Q823" t="n">
        <v>0</v>
      </c>
      <c r="R823" s="2" t="inlineStr"/>
    </row>
    <row r="824" ht="15" customHeight="1">
      <c r="A824" t="inlineStr">
        <is>
          <t>A 38263-2024</t>
        </is>
      </c>
      <c r="B824" s="1" t="n">
        <v>45545</v>
      </c>
      <c r="C824" s="1" t="n">
        <v>45577</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38082-2024</t>
        </is>
      </c>
      <c r="B825" s="1" t="n">
        <v>45545</v>
      </c>
      <c r="C825" s="1" t="n">
        <v>45577</v>
      </c>
      <c r="D825" t="inlineStr">
        <is>
          <t>JÄMTLANDS LÄN</t>
        </is>
      </c>
      <c r="E825" t="inlineStr">
        <is>
          <t>ÅRE</t>
        </is>
      </c>
      <c r="F825" t="inlineStr">
        <is>
          <t>Övriga Aktiebolag</t>
        </is>
      </c>
      <c r="G825" t="n">
        <v>17.4</v>
      </c>
      <c r="H825" t="n">
        <v>0</v>
      </c>
      <c r="I825" t="n">
        <v>0</v>
      </c>
      <c r="J825" t="n">
        <v>0</v>
      </c>
      <c r="K825" t="n">
        <v>0</v>
      </c>
      <c r="L825" t="n">
        <v>0</v>
      </c>
      <c r="M825" t="n">
        <v>0</v>
      </c>
      <c r="N825" t="n">
        <v>0</v>
      </c>
      <c r="O825" t="n">
        <v>0</v>
      </c>
      <c r="P825" t="n">
        <v>0</v>
      </c>
      <c r="Q825" t="n">
        <v>0</v>
      </c>
      <c r="R825" s="2" t="inlineStr"/>
    </row>
    <row r="826" ht="15" customHeight="1">
      <c r="A826" t="inlineStr">
        <is>
          <t>A 38268-2024</t>
        </is>
      </c>
      <c r="B826" s="1" t="n">
        <v>45545</v>
      </c>
      <c r="C826" s="1" t="n">
        <v>45577</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38276-2024</t>
        </is>
      </c>
      <c r="B827" s="1" t="n">
        <v>45545</v>
      </c>
      <c r="C827" s="1" t="n">
        <v>45577</v>
      </c>
      <c r="D827" t="inlineStr">
        <is>
          <t>JÄMTLANDS LÄN</t>
        </is>
      </c>
      <c r="E827" t="inlineStr">
        <is>
          <t>ÅRE</t>
        </is>
      </c>
      <c r="G827" t="n">
        <v>6.9</v>
      </c>
      <c r="H827" t="n">
        <v>0</v>
      </c>
      <c r="I827" t="n">
        <v>0</v>
      </c>
      <c r="J827" t="n">
        <v>0</v>
      </c>
      <c r="K827" t="n">
        <v>0</v>
      </c>
      <c r="L827" t="n">
        <v>0</v>
      </c>
      <c r="M827" t="n">
        <v>0</v>
      </c>
      <c r="N827" t="n">
        <v>0</v>
      </c>
      <c r="O827" t="n">
        <v>0</v>
      </c>
      <c r="P827" t="n">
        <v>0</v>
      </c>
      <c r="Q827" t="n">
        <v>0</v>
      </c>
      <c r="R827" s="2" t="inlineStr"/>
    </row>
    <row r="828" ht="15" customHeight="1">
      <c r="A828" t="inlineStr">
        <is>
          <t>A 38791-2024</t>
        </is>
      </c>
      <c r="B828" s="1" t="n">
        <v>45547</v>
      </c>
      <c r="C828" s="1" t="n">
        <v>45577</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39068-2024</t>
        </is>
      </c>
      <c r="B829" s="1" t="n">
        <v>45548</v>
      </c>
      <c r="C829" s="1" t="n">
        <v>45577</v>
      </c>
      <c r="D829" t="inlineStr">
        <is>
          <t>JÄMTLANDS LÄN</t>
        </is>
      </c>
      <c r="E829" t="inlineStr">
        <is>
          <t>ÅRE</t>
        </is>
      </c>
      <c r="G829" t="n">
        <v>14.8</v>
      </c>
      <c r="H829" t="n">
        <v>0</v>
      </c>
      <c r="I829" t="n">
        <v>0</v>
      </c>
      <c r="J829" t="n">
        <v>0</v>
      </c>
      <c r="K829" t="n">
        <v>0</v>
      </c>
      <c r="L829" t="n">
        <v>0</v>
      </c>
      <c r="M829" t="n">
        <v>0</v>
      </c>
      <c r="N829" t="n">
        <v>0</v>
      </c>
      <c r="O829" t="n">
        <v>0</v>
      </c>
      <c r="P829" t="n">
        <v>0</v>
      </c>
      <c r="Q829" t="n">
        <v>0</v>
      </c>
      <c r="R829" s="2" t="inlineStr"/>
    </row>
    <row r="830" ht="15" customHeight="1">
      <c r="A830" t="inlineStr">
        <is>
          <t>A 39072-2024</t>
        </is>
      </c>
      <c r="B830" s="1" t="n">
        <v>45548</v>
      </c>
      <c r="C830" s="1" t="n">
        <v>45577</v>
      </c>
      <c r="D830" t="inlineStr">
        <is>
          <t>JÄMTLANDS LÄN</t>
        </is>
      </c>
      <c r="E830" t="inlineStr">
        <is>
          <t>ÅRE</t>
        </is>
      </c>
      <c r="G830" t="n">
        <v>1.4</v>
      </c>
      <c r="H830" t="n">
        <v>0</v>
      </c>
      <c r="I830" t="n">
        <v>0</v>
      </c>
      <c r="J830" t="n">
        <v>0</v>
      </c>
      <c r="K830" t="n">
        <v>0</v>
      </c>
      <c r="L830" t="n">
        <v>0</v>
      </c>
      <c r="M830" t="n">
        <v>0</v>
      </c>
      <c r="N830" t="n">
        <v>0</v>
      </c>
      <c r="O830" t="n">
        <v>0</v>
      </c>
      <c r="P830" t="n">
        <v>0</v>
      </c>
      <c r="Q830" t="n">
        <v>0</v>
      </c>
      <c r="R830" s="2" t="inlineStr"/>
    </row>
    <row r="831" ht="15" customHeight="1">
      <c r="A831" t="inlineStr">
        <is>
          <t>A 39069-2024</t>
        </is>
      </c>
      <c r="B831" s="1" t="n">
        <v>45548</v>
      </c>
      <c r="C831" s="1" t="n">
        <v>45577</v>
      </c>
      <c r="D831" t="inlineStr">
        <is>
          <t>JÄMTLANDS LÄN</t>
        </is>
      </c>
      <c r="E831" t="inlineStr">
        <is>
          <t>ÅRE</t>
        </is>
      </c>
      <c r="G831" t="n">
        <v>0.5</v>
      </c>
      <c r="H831" t="n">
        <v>0</v>
      </c>
      <c r="I831" t="n">
        <v>0</v>
      </c>
      <c r="J831" t="n">
        <v>0</v>
      </c>
      <c r="K831" t="n">
        <v>0</v>
      </c>
      <c r="L831" t="n">
        <v>0</v>
      </c>
      <c r="M831" t="n">
        <v>0</v>
      </c>
      <c r="N831" t="n">
        <v>0</v>
      </c>
      <c r="O831" t="n">
        <v>0</v>
      </c>
      <c r="P831" t="n">
        <v>0</v>
      </c>
      <c r="Q831" t="n">
        <v>0</v>
      </c>
      <c r="R831" s="2" t="inlineStr"/>
    </row>
    <row r="832" ht="15" customHeight="1">
      <c r="A832" t="inlineStr">
        <is>
          <t>A 39071-2024</t>
        </is>
      </c>
      <c r="B832" s="1" t="n">
        <v>45548</v>
      </c>
      <c r="C832" s="1" t="n">
        <v>45577</v>
      </c>
      <c r="D832" t="inlineStr">
        <is>
          <t>JÄMTLANDS LÄN</t>
        </is>
      </c>
      <c r="E832" t="inlineStr">
        <is>
          <t>ÅRE</t>
        </is>
      </c>
      <c r="G832" t="n">
        <v>0.6</v>
      </c>
      <c r="H832" t="n">
        <v>0</v>
      </c>
      <c r="I832" t="n">
        <v>0</v>
      </c>
      <c r="J832" t="n">
        <v>0</v>
      </c>
      <c r="K832" t="n">
        <v>0</v>
      </c>
      <c r="L832" t="n">
        <v>0</v>
      </c>
      <c r="M832" t="n">
        <v>0</v>
      </c>
      <c r="N832" t="n">
        <v>0</v>
      </c>
      <c r="O832" t="n">
        <v>0</v>
      </c>
      <c r="P832" t="n">
        <v>0</v>
      </c>
      <c r="Q832" t="n">
        <v>0</v>
      </c>
      <c r="R832" s="2" t="inlineStr"/>
    </row>
    <row r="833" ht="15" customHeight="1">
      <c r="A833" t="inlineStr">
        <is>
          <t>A 39195-2024</t>
        </is>
      </c>
      <c r="B833" s="1" t="n">
        <v>45548</v>
      </c>
      <c r="C833" s="1" t="n">
        <v>45577</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39070-2024</t>
        </is>
      </c>
      <c r="B834" s="1" t="n">
        <v>45548</v>
      </c>
      <c r="C834" s="1" t="n">
        <v>45577</v>
      </c>
      <c r="D834" t="inlineStr">
        <is>
          <t>JÄMTLANDS LÄN</t>
        </is>
      </c>
      <c r="E834" t="inlineStr">
        <is>
          <t>ÅRE</t>
        </is>
      </c>
      <c r="G834" t="n">
        <v>2.1</v>
      </c>
      <c r="H834" t="n">
        <v>0</v>
      </c>
      <c r="I834" t="n">
        <v>0</v>
      </c>
      <c r="J834" t="n">
        <v>0</v>
      </c>
      <c r="K834" t="n">
        <v>0</v>
      </c>
      <c r="L834" t="n">
        <v>0</v>
      </c>
      <c r="M834" t="n">
        <v>0</v>
      </c>
      <c r="N834" t="n">
        <v>0</v>
      </c>
      <c r="O834" t="n">
        <v>0</v>
      </c>
      <c r="P834" t="n">
        <v>0</v>
      </c>
      <c r="Q834" t="n">
        <v>0</v>
      </c>
      <c r="R834" s="2" t="inlineStr"/>
    </row>
    <row r="835" ht="15" customHeight="1">
      <c r="A835" t="inlineStr">
        <is>
          <t>A 41268-2024</t>
        </is>
      </c>
      <c r="B835" s="1" t="n">
        <v>45559</v>
      </c>
      <c r="C835" s="1" t="n">
        <v>45577</v>
      </c>
      <c r="D835" t="inlineStr">
        <is>
          <t>JÄMTLANDS LÄN</t>
        </is>
      </c>
      <c r="E835" t="inlineStr">
        <is>
          <t>ÅRE</t>
        </is>
      </c>
      <c r="G835" t="n">
        <v>1.1</v>
      </c>
      <c r="H835" t="n">
        <v>0</v>
      </c>
      <c r="I835" t="n">
        <v>0</v>
      </c>
      <c r="J835" t="n">
        <v>0</v>
      </c>
      <c r="K835" t="n">
        <v>0</v>
      </c>
      <c r="L835" t="n">
        <v>0</v>
      </c>
      <c r="M835" t="n">
        <v>0</v>
      </c>
      <c r="N835" t="n">
        <v>0</v>
      </c>
      <c r="O835" t="n">
        <v>0</v>
      </c>
      <c r="P835" t="n">
        <v>0</v>
      </c>
      <c r="Q835" t="n">
        <v>0</v>
      </c>
      <c r="R835" s="2" t="inlineStr"/>
    </row>
    <row r="836" ht="15" customHeight="1">
      <c r="A836" t="inlineStr">
        <is>
          <t>A 41266-2024</t>
        </is>
      </c>
      <c r="B836" s="1" t="n">
        <v>45559</v>
      </c>
      <c r="C836" s="1" t="n">
        <v>45577</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41267-2024</t>
        </is>
      </c>
      <c r="B837" s="1" t="n">
        <v>45559</v>
      </c>
      <c r="C837" s="1" t="n">
        <v>45577</v>
      </c>
      <c r="D837" t="inlineStr">
        <is>
          <t>JÄMTLANDS LÄN</t>
        </is>
      </c>
      <c r="E837" t="inlineStr">
        <is>
          <t>ÅRE</t>
        </is>
      </c>
      <c r="G837" t="n">
        <v>3.4</v>
      </c>
      <c r="H837" t="n">
        <v>0</v>
      </c>
      <c r="I837" t="n">
        <v>0</v>
      </c>
      <c r="J837" t="n">
        <v>0</v>
      </c>
      <c r="K837" t="n">
        <v>0</v>
      </c>
      <c r="L837" t="n">
        <v>0</v>
      </c>
      <c r="M837" t="n">
        <v>0</v>
      </c>
      <c r="N837" t="n">
        <v>0</v>
      </c>
      <c r="O837" t="n">
        <v>0</v>
      </c>
      <c r="P837" t="n">
        <v>0</v>
      </c>
      <c r="Q837" t="n">
        <v>0</v>
      </c>
      <c r="R837" s="2" t="inlineStr"/>
    </row>
    <row r="838" ht="15" customHeight="1">
      <c r="A838" t="inlineStr">
        <is>
          <t>A 42274-2024</t>
        </is>
      </c>
      <c r="B838" s="1" t="n">
        <v>45559</v>
      </c>
      <c r="C838" s="1" t="n">
        <v>45577</v>
      </c>
      <c r="D838" t="inlineStr">
        <is>
          <t>JÄMTLANDS LÄN</t>
        </is>
      </c>
      <c r="E838" t="inlineStr">
        <is>
          <t>ÅRE</t>
        </is>
      </c>
      <c r="G838" t="n">
        <v>2.2</v>
      </c>
      <c r="H838" t="n">
        <v>0</v>
      </c>
      <c r="I838" t="n">
        <v>0</v>
      </c>
      <c r="J838" t="n">
        <v>0</v>
      </c>
      <c r="K838" t="n">
        <v>0</v>
      </c>
      <c r="L838" t="n">
        <v>0</v>
      </c>
      <c r="M838" t="n">
        <v>0</v>
      </c>
      <c r="N838" t="n">
        <v>0</v>
      </c>
      <c r="O838" t="n">
        <v>0</v>
      </c>
      <c r="P838" t="n">
        <v>0</v>
      </c>
      <c r="Q838" t="n">
        <v>0</v>
      </c>
      <c r="R838" s="2" t="inlineStr"/>
    </row>
    <row r="839" ht="15" customHeight="1">
      <c r="A839" t="inlineStr">
        <is>
          <t>A 41653-2024</t>
        </is>
      </c>
      <c r="B839" s="1" t="n">
        <v>45560</v>
      </c>
      <c r="C839" s="1" t="n">
        <v>45577</v>
      </c>
      <c r="D839" t="inlineStr">
        <is>
          <t>JÄMTLANDS LÄN</t>
        </is>
      </c>
      <c r="E839" t="inlineStr">
        <is>
          <t>ÅRE</t>
        </is>
      </c>
      <c r="G839" t="n">
        <v>0.5</v>
      </c>
      <c r="H839" t="n">
        <v>0</v>
      </c>
      <c r="I839" t="n">
        <v>0</v>
      </c>
      <c r="J839" t="n">
        <v>0</v>
      </c>
      <c r="K839" t="n">
        <v>0</v>
      </c>
      <c r="L839" t="n">
        <v>0</v>
      </c>
      <c r="M839" t="n">
        <v>0</v>
      </c>
      <c r="N839" t="n">
        <v>0</v>
      </c>
      <c r="O839" t="n">
        <v>0</v>
      </c>
      <c r="P839" t="n">
        <v>0</v>
      </c>
      <c r="Q839" t="n">
        <v>0</v>
      </c>
      <c r="R839" s="2" t="inlineStr"/>
    </row>
    <row r="840" ht="15" customHeight="1">
      <c r="A840" t="inlineStr">
        <is>
          <t>A 41686-2024</t>
        </is>
      </c>
      <c r="B840" s="1" t="n">
        <v>45560</v>
      </c>
      <c r="C840" s="1" t="n">
        <v>45577</v>
      </c>
      <c r="D840" t="inlineStr">
        <is>
          <t>JÄMTLANDS LÄN</t>
        </is>
      </c>
      <c r="E840" t="inlineStr">
        <is>
          <t>ÅRE</t>
        </is>
      </c>
      <c r="G840" t="n">
        <v>0.6</v>
      </c>
      <c r="H840" t="n">
        <v>0</v>
      </c>
      <c r="I840" t="n">
        <v>0</v>
      </c>
      <c r="J840" t="n">
        <v>0</v>
      </c>
      <c r="K840" t="n">
        <v>0</v>
      </c>
      <c r="L840" t="n">
        <v>0</v>
      </c>
      <c r="M840" t="n">
        <v>0</v>
      </c>
      <c r="N840" t="n">
        <v>0</v>
      </c>
      <c r="O840" t="n">
        <v>0</v>
      </c>
      <c r="P840" t="n">
        <v>0</v>
      </c>
      <c r="Q840" t="n">
        <v>0</v>
      </c>
      <c r="R840" s="2" t="inlineStr"/>
    </row>
    <row r="841" ht="15" customHeight="1">
      <c r="A841" t="inlineStr">
        <is>
          <t>A 41677-2024</t>
        </is>
      </c>
      <c r="B841" s="1" t="n">
        <v>45560</v>
      </c>
      <c r="C841" s="1" t="n">
        <v>45577</v>
      </c>
      <c r="D841" t="inlineStr">
        <is>
          <t>JÄMTLANDS LÄN</t>
        </is>
      </c>
      <c r="E841" t="inlineStr">
        <is>
          <t>ÅRE</t>
        </is>
      </c>
      <c r="G841" t="n">
        <v>0.5</v>
      </c>
      <c r="H841" t="n">
        <v>0</v>
      </c>
      <c r="I841" t="n">
        <v>0</v>
      </c>
      <c r="J841" t="n">
        <v>0</v>
      </c>
      <c r="K841" t="n">
        <v>0</v>
      </c>
      <c r="L841" t="n">
        <v>0</v>
      </c>
      <c r="M841" t="n">
        <v>0</v>
      </c>
      <c r="N841" t="n">
        <v>0</v>
      </c>
      <c r="O841" t="n">
        <v>0</v>
      </c>
      <c r="P841" t="n">
        <v>0</v>
      </c>
      <c r="Q841" t="n">
        <v>0</v>
      </c>
      <c r="R841" s="2" t="inlineStr"/>
    </row>
    <row r="842" ht="15" customHeight="1">
      <c r="A842" t="inlineStr">
        <is>
          <t>A 41563-2024</t>
        </is>
      </c>
      <c r="B842" s="1" t="n">
        <v>45560</v>
      </c>
      <c r="C842" s="1" t="n">
        <v>45577</v>
      </c>
      <c r="D842" t="inlineStr">
        <is>
          <t>JÄMTLANDS LÄN</t>
        </is>
      </c>
      <c r="E842" t="inlineStr">
        <is>
          <t>ÅRE</t>
        </is>
      </c>
      <c r="G842" t="n">
        <v>9.4</v>
      </c>
      <c r="H842" t="n">
        <v>0</v>
      </c>
      <c r="I842" t="n">
        <v>0</v>
      </c>
      <c r="J842" t="n">
        <v>0</v>
      </c>
      <c r="K842" t="n">
        <v>0</v>
      </c>
      <c r="L842" t="n">
        <v>0</v>
      </c>
      <c r="M842" t="n">
        <v>0</v>
      </c>
      <c r="N842" t="n">
        <v>0</v>
      </c>
      <c r="O842" t="n">
        <v>0</v>
      </c>
      <c r="P842" t="n">
        <v>0</v>
      </c>
      <c r="Q842" t="n">
        <v>0</v>
      </c>
      <c r="R842" s="2" t="inlineStr"/>
    </row>
    <row r="843" ht="15" customHeight="1">
      <c r="A843" t="inlineStr">
        <is>
          <t>A 41688-2024</t>
        </is>
      </c>
      <c r="B843" s="1" t="n">
        <v>45560</v>
      </c>
      <c r="C843" s="1" t="n">
        <v>45577</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41797-2024</t>
        </is>
      </c>
      <c r="B844" s="1" t="n">
        <v>45561</v>
      </c>
      <c r="C844" s="1" t="n">
        <v>45577</v>
      </c>
      <c r="D844" t="inlineStr">
        <is>
          <t>JÄMTLANDS LÄN</t>
        </is>
      </c>
      <c r="E844" t="inlineStr">
        <is>
          <t>ÅRE</t>
        </is>
      </c>
      <c r="G844" t="n">
        <v>10.5</v>
      </c>
      <c r="H844" t="n">
        <v>0</v>
      </c>
      <c r="I844" t="n">
        <v>0</v>
      </c>
      <c r="J844" t="n">
        <v>0</v>
      </c>
      <c r="K844" t="n">
        <v>0</v>
      </c>
      <c r="L844" t="n">
        <v>0</v>
      </c>
      <c r="M844" t="n">
        <v>0</v>
      </c>
      <c r="N844" t="n">
        <v>0</v>
      </c>
      <c r="O844" t="n">
        <v>0</v>
      </c>
      <c r="P844" t="n">
        <v>0</v>
      </c>
      <c r="Q844" t="n">
        <v>0</v>
      </c>
      <c r="R844" s="2" t="inlineStr"/>
    </row>
    <row r="845" ht="15" customHeight="1">
      <c r="A845" t="inlineStr">
        <is>
          <t>A 41814-2024</t>
        </is>
      </c>
      <c r="B845" s="1" t="n">
        <v>45561</v>
      </c>
      <c r="C845" s="1" t="n">
        <v>45577</v>
      </c>
      <c r="D845" t="inlineStr">
        <is>
          <t>JÄMTLANDS LÄN</t>
        </is>
      </c>
      <c r="E845" t="inlineStr">
        <is>
          <t>ÅRE</t>
        </is>
      </c>
      <c r="G845" t="n">
        <v>5.4</v>
      </c>
      <c r="H845" t="n">
        <v>0</v>
      </c>
      <c r="I845" t="n">
        <v>0</v>
      </c>
      <c r="J845" t="n">
        <v>0</v>
      </c>
      <c r="K845" t="n">
        <v>0</v>
      </c>
      <c r="L845" t="n">
        <v>0</v>
      </c>
      <c r="M845" t="n">
        <v>0</v>
      </c>
      <c r="N845" t="n">
        <v>0</v>
      </c>
      <c r="O845" t="n">
        <v>0</v>
      </c>
      <c r="P845" t="n">
        <v>0</v>
      </c>
      <c r="Q845" t="n">
        <v>0</v>
      </c>
      <c r="R845" s="2" t="inlineStr"/>
    </row>
    <row r="846" ht="15" customHeight="1">
      <c r="A846" t="inlineStr">
        <is>
          <t>A 42244-2024</t>
        </is>
      </c>
      <c r="B846" s="1" t="n">
        <v>45562</v>
      </c>
      <c r="C846" s="1" t="n">
        <v>45577</v>
      </c>
      <c r="D846" t="inlineStr">
        <is>
          <t>JÄMTLANDS LÄN</t>
        </is>
      </c>
      <c r="E846" t="inlineStr">
        <is>
          <t>ÅRE</t>
        </is>
      </c>
      <c r="F846" t="inlineStr">
        <is>
          <t>Övriga Aktiebolag</t>
        </is>
      </c>
      <c r="G846" t="n">
        <v>6</v>
      </c>
      <c r="H846" t="n">
        <v>0</v>
      </c>
      <c r="I846" t="n">
        <v>0</v>
      </c>
      <c r="J846" t="n">
        <v>0</v>
      </c>
      <c r="K846" t="n">
        <v>0</v>
      </c>
      <c r="L846" t="n">
        <v>0</v>
      </c>
      <c r="M846" t="n">
        <v>0</v>
      </c>
      <c r="N846" t="n">
        <v>0</v>
      </c>
      <c r="O846" t="n">
        <v>0</v>
      </c>
      <c r="P846" t="n">
        <v>0</v>
      </c>
      <c r="Q846" t="n">
        <v>0</v>
      </c>
      <c r="R846" s="2" t="inlineStr"/>
    </row>
    <row r="847" ht="15" customHeight="1">
      <c r="A847" t="inlineStr">
        <is>
          <t>A 42592-2024</t>
        </is>
      </c>
      <c r="B847" s="1" t="n">
        <v>45565</v>
      </c>
      <c r="C847" s="1" t="n">
        <v>45577</v>
      </c>
      <c r="D847" t="inlineStr">
        <is>
          <t>JÄMTLANDS LÄN</t>
        </is>
      </c>
      <c r="E847" t="inlineStr">
        <is>
          <t>ÅRE</t>
        </is>
      </c>
      <c r="F847" t="inlineStr">
        <is>
          <t>Övriga Aktiebolag</t>
        </is>
      </c>
      <c r="G847" t="n">
        <v>4.4</v>
      </c>
      <c r="H847" t="n">
        <v>0</v>
      </c>
      <c r="I847" t="n">
        <v>0</v>
      </c>
      <c r="J847" t="n">
        <v>0</v>
      </c>
      <c r="K847" t="n">
        <v>0</v>
      </c>
      <c r="L847" t="n">
        <v>0</v>
      </c>
      <c r="M847" t="n">
        <v>0</v>
      </c>
      <c r="N847" t="n">
        <v>0</v>
      </c>
      <c r="O847" t="n">
        <v>0</v>
      </c>
      <c r="P847" t="n">
        <v>0</v>
      </c>
      <c r="Q847" t="n">
        <v>0</v>
      </c>
      <c r="R847" s="2" t="inlineStr"/>
    </row>
    <row r="848" ht="15" customHeight="1">
      <c r="A848" t="inlineStr">
        <is>
          <t>A 43307-2024</t>
        </is>
      </c>
      <c r="B848" s="1" t="n">
        <v>45568</v>
      </c>
      <c r="C848" s="1" t="n">
        <v>45577</v>
      </c>
      <c r="D848" t="inlineStr">
        <is>
          <t>JÄMTLANDS LÄN</t>
        </is>
      </c>
      <c r="E848" t="inlineStr">
        <is>
          <t>ÅRE</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43342-2024</t>
        </is>
      </c>
      <c r="B849" s="1" t="n">
        <v>45568</v>
      </c>
      <c r="C849" s="1" t="n">
        <v>45577</v>
      </c>
      <c r="D849" t="inlineStr">
        <is>
          <t>JÄMTLANDS LÄN</t>
        </is>
      </c>
      <c r="E849" t="inlineStr">
        <is>
          <t>ÅRE</t>
        </is>
      </c>
      <c r="F849" t="inlineStr">
        <is>
          <t>Övriga Aktiebolag</t>
        </is>
      </c>
      <c r="G849" t="n">
        <v>4.8</v>
      </c>
      <c r="H849" t="n">
        <v>0</v>
      </c>
      <c r="I849" t="n">
        <v>0</v>
      </c>
      <c r="J849" t="n">
        <v>0</v>
      </c>
      <c r="K849" t="n">
        <v>0</v>
      </c>
      <c r="L849" t="n">
        <v>0</v>
      </c>
      <c r="M849" t="n">
        <v>0</v>
      </c>
      <c r="N849" t="n">
        <v>0</v>
      </c>
      <c r="O849" t="n">
        <v>0</v>
      </c>
      <c r="P849" t="n">
        <v>0</v>
      </c>
      <c r="Q849" t="n">
        <v>0</v>
      </c>
      <c r="R849" s="2" t="inlineStr"/>
    </row>
    <row r="850" ht="15" customHeight="1">
      <c r="A850" t="inlineStr">
        <is>
          <t>A 44722-2024</t>
        </is>
      </c>
      <c r="B850" s="1" t="n">
        <v>45574</v>
      </c>
      <c r="C850" s="1" t="n">
        <v>45577</v>
      </c>
      <c r="D850" t="inlineStr">
        <is>
          <t>JÄMTLANDS LÄN</t>
        </is>
      </c>
      <c r="E850" t="inlineStr">
        <is>
          <t>ÅRE</t>
        </is>
      </c>
      <c r="G850" t="n">
        <v>4.1</v>
      </c>
      <c r="H850" t="n">
        <v>0</v>
      </c>
      <c r="I850" t="n">
        <v>0</v>
      </c>
      <c r="J850" t="n">
        <v>0</v>
      </c>
      <c r="K850" t="n">
        <v>0</v>
      </c>
      <c r="L850" t="n">
        <v>0</v>
      </c>
      <c r="M850" t="n">
        <v>0</v>
      </c>
      <c r="N850" t="n">
        <v>0</v>
      </c>
      <c r="O850" t="n">
        <v>0</v>
      </c>
      <c r="P850" t="n">
        <v>0</v>
      </c>
      <c r="Q850" t="n">
        <v>0</v>
      </c>
      <c r="R850" s="2" t="inlineStr"/>
    </row>
    <row r="851" ht="15" customHeight="1">
      <c r="A851" t="inlineStr">
        <is>
          <t>A 44797-2024</t>
        </is>
      </c>
      <c r="B851" s="1" t="n">
        <v>45574</v>
      </c>
      <c r="C851" s="1" t="n">
        <v>45577</v>
      </c>
      <c r="D851" t="inlineStr">
        <is>
          <t>JÄMTLANDS LÄN</t>
        </is>
      </c>
      <c r="E851" t="inlineStr">
        <is>
          <t>ÅRE</t>
        </is>
      </c>
      <c r="G851" t="n">
        <v>21.4</v>
      </c>
      <c r="H851" t="n">
        <v>0</v>
      </c>
      <c r="I851" t="n">
        <v>0</v>
      </c>
      <c r="J851" t="n">
        <v>0</v>
      </c>
      <c r="K851" t="n">
        <v>0</v>
      </c>
      <c r="L851" t="n">
        <v>0</v>
      </c>
      <c r="M851" t="n">
        <v>0</v>
      </c>
      <c r="N851" t="n">
        <v>0</v>
      </c>
      <c r="O851" t="n">
        <v>0</v>
      </c>
      <c r="P851" t="n">
        <v>0</v>
      </c>
      <c r="Q851" t="n">
        <v>0</v>
      </c>
      <c r="R851" s="2" t="inlineStr"/>
    </row>
    <row r="852" ht="15" customHeight="1">
      <c r="A852" t="inlineStr">
        <is>
          <t>A 44609-2024</t>
        </is>
      </c>
      <c r="B852" s="1" t="n">
        <v>45574</v>
      </c>
      <c r="C852" s="1" t="n">
        <v>45577</v>
      </c>
      <c r="D852" t="inlineStr">
        <is>
          <t>JÄMTLANDS LÄN</t>
        </is>
      </c>
      <c r="E852" t="inlineStr">
        <is>
          <t>ÅRE</t>
        </is>
      </c>
      <c r="G852" t="n">
        <v>1.9</v>
      </c>
      <c r="H852" t="n">
        <v>0</v>
      </c>
      <c r="I852" t="n">
        <v>0</v>
      </c>
      <c r="J852" t="n">
        <v>0</v>
      </c>
      <c r="K852" t="n">
        <v>0</v>
      </c>
      <c r="L852" t="n">
        <v>0</v>
      </c>
      <c r="M852" t="n">
        <v>0</v>
      </c>
      <c r="N852" t="n">
        <v>0</v>
      </c>
      <c r="O852" t="n">
        <v>0</v>
      </c>
      <c r="P852" t="n">
        <v>0</v>
      </c>
      <c r="Q852" t="n">
        <v>0</v>
      </c>
      <c r="R852" s="2" t="inlineStr"/>
    </row>
    <row r="853" ht="15" customHeight="1">
      <c r="A853" t="inlineStr">
        <is>
          <t>A 44925-2024</t>
        </is>
      </c>
      <c r="B853" s="1" t="n">
        <v>45575</v>
      </c>
      <c r="C853" s="1" t="n">
        <v>45577</v>
      </c>
      <c r="D853" t="inlineStr">
        <is>
          <t>JÄMTLANDS LÄN</t>
        </is>
      </c>
      <c r="E853" t="inlineStr">
        <is>
          <t>ÅRE</t>
        </is>
      </c>
      <c r="F853" t="inlineStr">
        <is>
          <t>Övriga Aktiebolag</t>
        </is>
      </c>
      <c r="G853" t="n">
        <v>22.3</v>
      </c>
      <c r="H853" t="n">
        <v>0</v>
      </c>
      <c r="I853" t="n">
        <v>0</v>
      </c>
      <c r="J853" t="n">
        <v>0</v>
      </c>
      <c r="K853" t="n">
        <v>0</v>
      </c>
      <c r="L853" t="n">
        <v>0</v>
      </c>
      <c r="M853" t="n">
        <v>0</v>
      </c>
      <c r="N853" t="n">
        <v>0</v>
      </c>
      <c r="O853" t="n">
        <v>0</v>
      </c>
      <c r="P853" t="n">
        <v>0</v>
      </c>
      <c r="Q853" t="n">
        <v>0</v>
      </c>
      <c r="R853" s="2" t="inlineStr"/>
    </row>
    <row r="854" ht="15" customHeight="1">
      <c r="A854" t="inlineStr">
        <is>
          <t>A 45105-2024</t>
        </is>
      </c>
      <c r="B854" s="1" t="n">
        <v>45575</v>
      </c>
      <c r="C854" s="1" t="n">
        <v>45577</v>
      </c>
      <c r="D854" t="inlineStr">
        <is>
          <t>JÄMTLANDS LÄN</t>
        </is>
      </c>
      <c r="E854" t="inlineStr">
        <is>
          <t>ÅRE</t>
        </is>
      </c>
      <c r="F854" t="inlineStr">
        <is>
          <t>Övriga Aktiebolag</t>
        </is>
      </c>
      <c r="G854" t="n">
        <v>5</v>
      </c>
      <c r="H854" t="n">
        <v>0</v>
      </c>
      <c r="I854" t="n">
        <v>0</v>
      </c>
      <c r="J854" t="n">
        <v>0</v>
      </c>
      <c r="K854" t="n">
        <v>0</v>
      </c>
      <c r="L854" t="n">
        <v>0</v>
      </c>
      <c r="M854" t="n">
        <v>0</v>
      </c>
      <c r="N854" t="n">
        <v>0</v>
      </c>
      <c r="O854" t="n">
        <v>0</v>
      </c>
      <c r="P854" t="n">
        <v>0</v>
      </c>
      <c r="Q854" t="n">
        <v>0</v>
      </c>
      <c r="R854" s="2" t="inlineStr"/>
    </row>
    <row r="855" ht="15" customHeight="1">
      <c r="A855" t="inlineStr">
        <is>
          <t>A 45161-2024</t>
        </is>
      </c>
      <c r="B855" s="1" t="n">
        <v>45575</v>
      </c>
      <c r="C855" s="1" t="n">
        <v>45577</v>
      </c>
      <c r="D855" t="inlineStr">
        <is>
          <t>JÄMTLANDS LÄN</t>
        </is>
      </c>
      <c r="E855" t="inlineStr">
        <is>
          <t>ÅRE</t>
        </is>
      </c>
      <c r="G855" t="n">
        <v>6.9</v>
      </c>
      <c r="H855" t="n">
        <v>0</v>
      </c>
      <c r="I855" t="n">
        <v>0</v>
      </c>
      <c r="J855" t="n">
        <v>0</v>
      </c>
      <c r="K855" t="n">
        <v>0</v>
      </c>
      <c r="L855" t="n">
        <v>0</v>
      </c>
      <c r="M855" t="n">
        <v>0</v>
      </c>
      <c r="N855" t="n">
        <v>0</v>
      </c>
      <c r="O855" t="n">
        <v>0</v>
      </c>
      <c r="P855" t="n">
        <v>0</v>
      </c>
      <c r="Q855" t="n">
        <v>0</v>
      </c>
      <c r="R855" s="2" t="inlineStr"/>
    </row>
    <row r="856" ht="15" customHeight="1">
      <c r="A856" t="inlineStr">
        <is>
          <t>A 45130-2024</t>
        </is>
      </c>
      <c r="B856" s="1" t="n">
        <v>45575</v>
      </c>
      <c r="C856" s="1" t="n">
        <v>45577</v>
      </c>
      <c r="D856" t="inlineStr">
        <is>
          <t>JÄMTLANDS LÄN</t>
        </is>
      </c>
      <c r="E856" t="inlineStr">
        <is>
          <t>ÅRE</t>
        </is>
      </c>
      <c r="G856" t="n">
        <v>5.2</v>
      </c>
      <c r="H856" t="n">
        <v>0</v>
      </c>
      <c r="I856" t="n">
        <v>0</v>
      </c>
      <c r="J856" t="n">
        <v>0</v>
      </c>
      <c r="K856" t="n">
        <v>0</v>
      </c>
      <c r="L856" t="n">
        <v>0</v>
      </c>
      <c r="M856" t="n">
        <v>0</v>
      </c>
      <c r="N856" t="n">
        <v>0</v>
      </c>
      <c r="O856" t="n">
        <v>0</v>
      </c>
      <c r="P856" t="n">
        <v>0</v>
      </c>
      <c r="Q856" t="n">
        <v>0</v>
      </c>
      <c r="R856" s="2" t="inlineStr"/>
    </row>
    <row r="857" ht="15" customHeight="1">
      <c r="A857" t="inlineStr">
        <is>
          <t>A 45113-2024</t>
        </is>
      </c>
      <c r="B857" s="1" t="n">
        <v>45575</v>
      </c>
      <c r="C857" s="1" t="n">
        <v>45577</v>
      </c>
      <c r="D857" t="inlineStr">
        <is>
          <t>JÄMTLANDS LÄN</t>
        </is>
      </c>
      <c r="E857" t="inlineStr">
        <is>
          <t>ÅRE</t>
        </is>
      </c>
      <c r="G857" t="n">
        <v>3.7</v>
      </c>
      <c r="H857" t="n">
        <v>0</v>
      </c>
      <c r="I857" t="n">
        <v>0</v>
      </c>
      <c r="J857" t="n">
        <v>0</v>
      </c>
      <c r="K857" t="n">
        <v>0</v>
      </c>
      <c r="L857" t="n">
        <v>0</v>
      </c>
      <c r="M857" t="n">
        <v>0</v>
      </c>
      <c r="N857" t="n">
        <v>0</v>
      </c>
      <c r="O857" t="n">
        <v>0</v>
      </c>
      <c r="P857" t="n">
        <v>0</v>
      </c>
      <c r="Q857" t="n">
        <v>0</v>
      </c>
      <c r="R857" s="2" t="inlineStr"/>
    </row>
    <row r="858" ht="15" customHeight="1">
      <c r="A858" t="inlineStr">
        <is>
          <t>A 45279-2024</t>
        </is>
      </c>
      <c r="B858" s="1" t="n">
        <v>45576</v>
      </c>
      <c r="C858" s="1" t="n">
        <v>45577</v>
      </c>
      <c r="D858" t="inlineStr">
        <is>
          <t>JÄMTLANDS LÄN</t>
        </is>
      </c>
      <c r="E858" t="inlineStr">
        <is>
          <t>ÅRE</t>
        </is>
      </c>
      <c r="G858" t="n">
        <v>17.2</v>
      </c>
      <c r="H858" t="n">
        <v>0</v>
      </c>
      <c r="I858" t="n">
        <v>0</v>
      </c>
      <c r="J858" t="n">
        <v>0</v>
      </c>
      <c r="K858" t="n">
        <v>0</v>
      </c>
      <c r="L858" t="n">
        <v>0</v>
      </c>
      <c r="M858" t="n">
        <v>0</v>
      </c>
      <c r="N858" t="n">
        <v>0</v>
      </c>
      <c r="O858" t="n">
        <v>0</v>
      </c>
      <c r="P858" t="n">
        <v>0</v>
      </c>
      <c r="Q858" t="n">
        <v>0</v>
      </c>
      <c r="R858" s="2" t="inlineStr"/>
    </row>
    <row r="859" ht="15" customHeight="1">
      <c r="A859" t="inlineStr">
        <is>
          <t>A 45286-2024</t>
        </is>
      </c>
      <c r="B859" s="1" t="n">
        <v>45576</v>
      </c>
      <c r="C859" s="1" t="n">
        <v>45577</v>
      </c>
      <c r="D859" t="inlineStr">
        <is>
          <t>JÄMTLANDS LÄN</t>
        </is>
      </c>
      <c r="E859" t="inlineStr">
        <is>
          <t>ÅRE</t>
        </is>
      </c>
      <c r="G859" t="n">
        <v>0.7</v>
      </c>
      <c r="H859" t="n">
        <v>0</v>
      </c>
      <c r="I859" t="n">
        <v>0</v>
      </c>
      <c r="J859" t="n">
        <v>0</v>
      </c>
      <c r="K859" t="n">
        <v>0</v>
      </c>
      <c r="L859" t="n">
        <v>0</v>
      </c>
      <c r="M859" t="n">
        <v>0</v>
      </c>
      <c r="N859" t="n">
        <v>0</v>
      </c>
      <c r="O859" t="n">
        <v>0</v>
      </c>
      <c r="P859" t="n">
        <v>0</v>
      </c>
      <c r="Q859" t="n">
        <v>0</v>
      </c>
      <c r="R859" s="2" t="inlineStr"/>
    </row>
    <row r="860" ht="15" customHeight="1">
      <c r="A860" t="inlineStr">
        <is>
          <t>A 45324-2024</t>
        </is>
      </c>
      <c r="B860" s="1" t="n">
        <v>45576</v>
      </c>
      <c r="C860" s="1" t="n">
        <v>45577</v>
      </c>
      <c r="D860" t="inlineStr">
        <is>
          <t>JÄMTLANDS LÄN</t>
        </is>
      </c>
      <c r="E860" t="inlineStr">
        <is>
          <t>ÅRE</t>
        </is>
      </c>
      <c r="G860" t="n">
        <v>9.4</v>
      </c>
      <c r="H860" t="n">
        <v>0</v>
      </c>
      <c r="I860" t="n">
        <v>0</v>
      </c>
      <c r="J860" t="n">
        <v>0</v>
      </c>
      <c r="K860" t="n">
        <v>0</v>
      </c>
      <c r="L860" t="n">
        <v>0</v>
      </c>
      <c r="M860" t="n">
        <v>0</v>
      </c>
      <c r="N860" t="n">
        <v>0</v>
      </c>
      <c r="O860" t="n">
        <v>0</v>
      </c>
      <c r="P860" t="n">
        <v>0</v>
      </c>
      <c r="Q860" t="n">
        <v>0</v>
      </c>
      <c r="R860" s="2" t="inlineStr"/>
    </row>
    <row r="861">
      <c r="A861" t="inlineStr">
        <is>
          <t>A 45453-2024</t>
        </is>
      </c>
      <c r="B861" s="1" t="n">
        <v>45576</v>
      </c>
      <c r="C861" s="1" t="n">
        <v>45577</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2024-10-12T13:04:15Z</dcterms:created>
  <dcterms:modified xmlns:dcterms="http://purl.org/dc/terms/" xmlns:xsi="http://www.w3.org/2001/XMLSchema-instance" xsi:type="dcterms:W3CDTF">2024-10-12T13:04:15Z</dcterms:modified>
</cp:coreProperties>
</file>