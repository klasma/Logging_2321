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45937</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10635-2023</t>
        </is>
      </c>
      <c r="B5" s="1" t="n">
        <v>44984</v>
      </c>
      <c r="C5" s="1" t="n">
        <v>45937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45937</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45937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45937</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45937</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26003-2025</t>
        </is>
      </c>
      <c r="B16" s="1" t="n">
        <v>45804.6678587963</v>
      </c>
      <c r="C16" s="1" t="n">
        <v>45937</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45937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45937</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45937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45937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45937</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43927-2024</t>
        </is>
      </c>
      <c r="B22" s="1" t="n">
        <v>45572</v>
      </c>
      <c r="C22" s="1" t="n">
        <v>45937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13097-2024</t>
        </is>
      </c>
      <c r="B23" s="1" t="n">
        <v>45385</v>
      </c>
      <c r="C23" s="1" t="n">
        <v>45937</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56368-2022</t>
        </is>
      </c>
      <c r="B24" s="1" t="n">
        <v>44887</v>
      </c>
      <c r="C24" s="1" t="n">
        <v>45937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6089-2025</t>
        </is>
      </c>
      <c r="B25" s="1" t="n">
        <v>45697.72040509259</v>
      </c>
      <c r="C25" s="1" t="n">
        <v>45937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45937</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45937</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45937</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50311-2024</t>
        </is>
      </c>
      <c r="B29" s="1" t="n">
        <v>45600</v>
      </c>
      <c r="C29" s="1" t="n">
        <v>45937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45937</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45937</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45937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45937</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45937</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45937</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45937</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45937</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45937</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20658-2021</t>
        </is>
      </c>
      <c r="B39" s="1" t="n">
        <v>44316</v>
      </c>
      <c r="C39" s="1" t="n">
        <v>45937</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45937</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45937</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45937</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3521-2025</t>
        </is>
      </c>
      <c r="B43" s="1" t="n">
        <v>45680</v>
      </c>
      <c r="C43" s="1" t="n">
        <v>45937</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1529-2025</t>
        </is>
      </c>
      <c r="B44" s="1" t="n">
        <v>45670</v>
      </c>
      <c r="C44" s="1" t="n">
        <v>45937</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27634-2025</t>
        </is>
      </c>
      <c r="B45" s="1" t="n">
        <v>45813</v>
      </c>
      <c r="C45" s="1" t="n">
        <v>45937</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45937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10619-2023</t>
        </is>
      </c>
      <c r="B47" s="1" t="n">
        <v>44984</v>
      </c>
      <c r="C47" s="1" t="n">
        <v>45937</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64239-2021</t>
        </is>
      </c>
      <c r="B48" s="1" t="n">
        <v>44510</v>
      </c>
      <c r="C48" s="1" t="n">
        <v>45937</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43910-2024</t>
        </is>
      </c>
      <c r="B49" s="1" t="n">
        <v>45572</v>
      </c>
      <c r="C49" s="1" t="n">
        <v>45937</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45937</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45937</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20644-2021</t>
        </is>
      </c>
      <c r="B52" s="1" t="n">
        <v>44316</v>
      </c>
      <c r="C52" s="1" t="n">
        <v>45937</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23822-2024</t>
        </is>
      </c>
      <c r="B53" s="1" t="n">
        <v>45455.46412037037</v>
      </c>
      <c r="C53" s="1" t="n">
        <v>45937</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31953-2021</t>
        </is>
      </c>
      <c r="B54" s="1" t="n">
        <v>44370</v>
      </c>
      <c r="C54" s="1" t="n">
        <v>45937</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45937</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16667-2025</t>
        </is>
      </c>
      <c r="B56" s="1" t="n">
        <v>45754</v>
      </c>
      <c r="C56" s="1" t="n">
        <v>45937</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45937</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45937</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45937</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30035-2024</t>
        </is>
      </c>
      <c r="B60" s="1" t="n">
        <v>45485</v>
      </c>
      <c r="C60" s="1" t="n">
        <v>45937</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6236-2021</t>
        </is>
      </c>
      <c r="B61" s="1" t="n">
        <v>44231</v>
      </c>
      <c r="C61" s="1" t="n">
        <v>45937</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24201-2021</t>
        </is>
      </c>
      <c r="B62" s="1" t="n">
        <v>44336</v>
      </c>
      <c r="C62" s="1" t="n">
        <v>45937</v>
      </c>
      <c r="D62" t="inlineStr">
        <is>
          <t>JÄMTLANDS LÄN</t>
        </is>
      </c>
      <c r="E62" t="inlineStr">
        <is>
          <t>ÅRE</t>
        </is>
      </c>
      <c r="G62" t="n">
        <v>23.1</v>
      </c>
      <c r="H62" t="n">
        <v>1</v>
      </c>
      <c r="I62" t="n">
        <v>0</v>
      </c>
      <c r="J62" t="n">
        <v>6</v>
      </c>
      <c r="K62" t="n">
        <v>0</v>
      </c>
      <c r="L62" t="n">
        <v>0</v>
      </c>
      <c r="M62" t="n">
        <v>0</v>
      </c>
      <c r="N62" t="n">
        <v>0</v>
      </c>
      <c r="O62" t="n">
        <v>6</v>
      </c>
      <c r="P62" t="n">
        <v>0</v>
      </c>
      <c r="Q62" t="n">
        <v>6</v>
      </c>
      <c r="R62" s="2" t="inlineStr">
        <is>
          <t>Doftskinn
Granticka
Harticka
Lunglav
Tretåig hackspett
Ullticka</t>
        </is>
      </c>
      <c r="S62">
        <f>HYPERLINK("https://klasma.github.io/Logging_2321/artfynd/A 24201-2021 artfynd.xlsx", "A 24201-2021")</f>
        <v/>
      </c>
      <c r="T62">
        <f>HYPERLINK("https://klasma.github.io/Logging_2321/kartor/A 24201-2021 karta.png", "A 24201-2021")</f>
        <v/>
      </c>
      <c r="V62">
        <f>HYPERLINK("https://klasma.github.io/Logging_2321/klagomål/A 24201-2021 FSC-klagomål.docx", "A 24201-2021")</f>
        <v/>
      </c>
      <c r="W62">
        <f>HYPERLINK("https://klasma.github.io/Logging_2321/klagomålsmail/A 24201-2021 FSC-klagomål mail.docx", "A 24201-2021")</f>
        <v/>
      </c>
      <c r="X62">
        <f>HYPERLINK("https://klasma.github.io/Logging_2321/tillsyn/A 24201-2021 tillsynsbegäran.docx", "A 24201-2021")</f>
        <v/>
      </c>
      <c r="Y62">
        <f>HYPERLINK("https://klasma.github.io/Logging_2321/tillsynsmail/A 24201-2021 tillsynsbegäran mail.docx", "A 24201-2021")</f>
        <v/>
      </c>
      <c r="Z62">
        <f>HYPERLINK("https://klasma.github.io/Logging_2321/fåglar/A 24201-2021 prioriterade fågelarter.docx", "A 24201-2021")</f>
        <v/>
      </c>
    </row>
    <row r="63" ht="15" customHeight="1">
      <c r="A63" t="inlineStr">
        <is>
          <t>A 43942-2024</t>
        </is>
      </c>
      <c r="B63" s="1" t="n">
        <v>45572</v>
      </c>
      <c r="C63" s="1" t="n">
        <v>45937</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4938-2025</t>
        </is>
      </c>
      <c r="B64" s="1" t="n">
        <v>45688</v>
      </c>
      <c r="C64" s="1" t="n">
        <v>45937</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14205-2021</t>
        </is>
      </c>
      <c r="B65" s="1" t="n">
        <v>44278</v>
      </c>
      <c r="C65" s="1" t="n">
        <v>45937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46259-2024</t>
        </is>
      </c>
      <c r="B66" s="1" t="n">
        <v>45581</v>
      </c>
      <c r="C66" s="1" t="n">
        <v>45937</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37891-2025</t>
        </is>
      </c>
      <c r="B67" s="1" t="n">
        <v>45881.54024305556</v>
      </c>
      <c r="C67" s="1" t="n">
        <v>45937</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45937</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45937</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45937</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45937</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45937</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10491-2024</t>
        </is>
      </c>
      <c r="B73" s="1" t="n">
        <v>45366</v>
      </c>
      <c r="C73" s="1" t="n">
        <v>45937</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30034-2024</t>
        </is>
      </c>
      <c r="B74" s="1" t="n">
        <v>45485</v>
      </c>
      <c r="C74" s="1" t="n">
        <v>45937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20039-2024</t>
        </is>
      </c>
      <c r="B75" s="1" t="n">
        <v>45434</v>
      </c>
      <c r="C75" s="1" t="n">
        <v>45937</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4775-2025</t>
        </is>
      </c>
      <c r="B76" s="1" t="n">
        <v>45688</v>
      </c>
      <c r="C76" s="1" t="n">
        <v>45937</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12988-2021</t>
        </is>
      </c>
      <c r="B77" s="1" t="n">
        <v>44271</v>
      </c>
      <c r="C77" s="1" t="n">
        <v>45937</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32097-2025</t>
        </is>
      </c>
      <c r="B78" s="1" t="n">
        <v>45835.4641087963</v>
      </c>
      <c r="C78" s="1" t="n">
        <v>45937</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42565-2024</t>
        </is>
      </c>
      <c r="B79" s="1" t="n">
        <v>45565</v>
      </c>
      <c r="C79" s="1" t="n">
        <v>45937</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19925-2025</t>
        </is>
      </c>
      <c r="B80" s="1" t="n">
        <v>45771.634375</v>
      </c>
      <c r="C80" s="1" t="n">
        <v>45937</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17855-2024</t>
        </is>
      </c>
      <c r="B81" s="1" t="n">
        <v>45419</v>
      </c>
      <c r="C81" s="1" t="n">
        <v>45937</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12271-2022</t>
        </is>
      </c>
      <c r="B82" s="1" t="n">
        <v>44637</v>
      </c>
      <c r="C82" s="1" t="n">
        <v>45937</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56183-2022</t>
        </is>
      </c>
      <c r="B83" s="1" t="n">
        <v>44889</v>
      </c>
      <c r="C83" s="1" t="n">
        <v>45937</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45937</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45937</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57537-2024</t>
        </is>
      </c>
      <c r="B86" s="1" t="n">
        <v>45630</v>
      </c>
      <c r="C86" s="1" t="n">
        <v>45937</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12269-2022</t>
        </is>
      </c>
      <c r="B87" s="1" t="n">
        <v>44637</v>
      </c>
      <c r="C87" s="1" t="n">
        <v>45937</v>
      </c>
      <c r="D87" t="inlineStr">
        <is>
          <t>JÄMTLANDS LÄN</t>
        </is>
      </c>
      <c r="E87" t="inlineStr">
        <is>
          <t>ÅRE</t>
        </is>
      </c>
      <c r="G87" t="n">
        <v>16.6</v>
      </c>
      <c r="H87" t="n">
        <v>0</v>
      </c>
      <c r="I87" t="n">
        <v>0</v>
      </c>
      <c r="J87" t="n">
        <v>3</v>
      </c>
      <c r="K87" t="n">
        <v>0</v>
      </c>
      <c r="L87" t="n">
        <v>0</v>
      </c>
      <c r="M87" t="n">
        <v>0</v>
      </c>
      <c r="N87" t="n">
        <v>0</v>
      </c>
      <c r="O87" t="n">
        <v>3</v>
      </c>
      <c r="P87" t="n">
        <v>0</v>
      </c>
      <c r="Q87" t="n">
        <v>3</v>
      </c>
      <c r="R87" s="2" t="inlineStr">
        <is>
          <t>Gammelgransskål
Granticka
Knottrig blåslav</t>
        </is>
      </c>
      <c r="S87">
        <f>HYPERLINK("https://klasma.github.io/Logging_2321/artfynd/A 12269-2022 artfynd.xlsx", "A 12269-2022")</f>
        <v/>
      </c>
      <c r="T87">
        <f>HYPERLINK("https://klasma.github.io/Logging_2321/kartor/A 12269-2022 karta.png", "A 12269-2022")</f>
        <v/>
      </c>
      <c r="V87">
        <f>HYPERLINK("https://klasma.github.io/Logging_2321/klagomål/A 12269-2022 FSC-klagomål.docx", "A 12269-2022")</f>
        <v/>
      </c>
      <c r="W87">
        <f>HYPERLINK("https://klasma.github.io/Logging_2321/klagomålsmail/A 12269-2022 FSC-klagomål mail.docx", "A 12269-2022")</f>
        <v/>
      </c>
      <c r="X87">
        <f>HYPERLINK("https://klasma.github.io/Logging_2321/tillsyn/A 12269-2022 tillsynsbegäran.docx", "A 12269-2022")</f>
        <v/>
      </c>
      <c r="Y87">
        <f>HYPERLINK("https://klasma.github.io/Logging_2321/tillsynsmail/A 12269-2022 tillsynsbegäran mail.docx", "A 12269-2022")</f>
        <v/>
      </c>
    </row>
    <row r="88" ht="15" customHeight="1">
      <c r="A88" t="inlineStr">
        <is>
          <t>A 72934-2021</t>
        </is>
      </c>
      <c r="B88" s="1" t="n">
        <v>44547</v>
      </c>
      <c r="C88" s="1" t="n">
        <v>45937</v>
      </c>
      <c r="D88" t="inlineStr">
        <is>
          <t>JÄMTLANDS LÄN</t>
        </is>
      </c>
      <c r="E88" t="inlineStr">
        <is>
          <t>ÅRE</t>
        </is>
      </c>
      <c r="G88" t="n">
        <v>31.9</v>
      </c>
      <c r="H88" t="n">
        <v>0</v>
      </c>
      <c r="I88" t="n">
        <v>0</v>
      </c>
      <c r="J88" t="n">
        <v>3</v>
      </c>
      <c r="K88" t="n">
        <v>0</v>
      </c>
      <c r="L88" t="n">
        <v>0</v>
      </c>
      <c r="M88" t="n">
        <v>0</v>
      </c>
      <c r="N88" t="n">
        <v>0</v>
      </c>
      <c r="O88" t="n">
        <v>3</v>
      </c>
      <c r="P88" t="n">
        <v>0</v>
      </c>
      <c r="Q88" t="n">
        <v>3</v>
      </c>
      <c r="R88" s="2" t="inlineStr">
        <is>
          <t>Gränsticka
Skrovellav
Stjärntagging</t>
        </is>
      </c>
      <c r="S88">
        <f>HYPERLINK("https://klasma.github.io/Logging_2321/artfynd/A 72934-2021 artfynd.xlsx", "A 72934-2021")</f>
        <v/>
      </c>
      <c r="T88">
        <f>HYPERLINK("https://klasma.github.io/Logging_2321/kartor/A 72934-2021 karta.png", "A 72934-2021")</f>
        <v/>
      </c>
      <c r="V88">
        <f>HYPERLINK("https://klasma.github.io/Logging_2321/klagomål/A 72934-2021 FSC-klagomål.docx", "A 72934-2021")</f>
        <v/>
      </c>
      <c r="W88">
        <f>HYPERLINK("https://klasma.github.io/Logging_2321/klagomålsmail/A 72934-2021 FSC-klagomål mail.docx", "A 72934-2021")</f>
        <v/>
      </c>
      <c r="X88">
        <f>HYPERLINK("https://klasma.github.io/Logging_2321/tillsyn/A 72934-2021 tillsynsbegäran.docx", "A 72934-2021")</f>
        <v/>
      </c>
      <c r="Y88">
        <f>HYPERLINK("https://klasma.github.io/Logging_2321/tillsynsmail/A 72934-2021 tillsynsbegäran mail.docx", "A 72934-2021")</f>
        <v/>
      </c>
    </row>
    <row r="89" ht="15" customHeight="1">
      <c r="A89" t="inlineStr">
        <is>
          <t>A 10773-2021</t>
        </is>
      </c>
      <c r="B89" s="1" t="n">
        <v>44259</v>
      </c>
      <c r="C89" s="1" t="n">
        <v>45937</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22692-2025</t>
        </is>
      </c>
      <c r="B90" s="1" t="n">
        <v>45789.53834490741</v>
      </c>
      <c r="C90" s="1" t="n">
        <v>45937</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52588-2024</t>
        </is>
      </c>
      <c r="B91" s="1" t="n">
        <v>45609.69825231482</v>
      </c>
      <c r="C91" s="1" t="n">
        <v>45937</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54988-2020</t>
        </is>
      </c>
      <c r="B92" s="1" t="n">
        <v>44130</v>
      </c>
      <c r="C92" s="1" t="n">
        <v>45937</v>
      </c>
      <c r="D92" t="inlineStr">
        <is>
          <t>JÄMTLANDS LÄN</t>
        </is>
      </c>
      <c r="E92" t="inlineStr">
        <is>
          <t>ÅRE</t>
        </is>
      </c>
      <c r="G92" t="n">
        <v>13.2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54988-2020 artfynd.xlsx", "A 54988-2020")</f>
        <v/>
      </c>
      <c r="T92">
        <f>HYPERLINK("https://klasma.github.io/Logging_2321/kartor/A 54988-2020 karta.png", "A 54988-2020")</f>
        <v/>
      </c>
      <c r="V92">
        <f>HYPERLINK("https://klasma.github.io/Logging_2321/klagomål/A 54988-2020 FSC-klagomål.docx", "A 54988-2020")</f>
        <v/>
      </c>
      <c r="W92">
        <f>HYPERLINK("https://klasma.github.io/Logging_2321/klagomålsmail/A 54988-2020 FSC-klagomål mail.docx", "A 54988-2020")</f>
        <v/>
      </c>
      <c r="X92">
        <f>HYPERLINK("https://klasma.github.io/Logging_2321/tillsyn/A 54988-2020 tillsynsbegäran.docx", "A 54988-2020")</f>
        <v/>
      </c>
      <c r="Y92">
        <f>HYPERLINK("https://klasma.github.io/Logging_2321/tillsynsmail/A 54988-2020 tillsynsbegäran mail.docx", "A 54988-2020")</f>
        <v/>
      </c>
      <c r="Z92">
        <f>HYPERLINK("https://klasma.github.io/Logging_2321/fåglar/A 54988-2020 prioriterade fågelarter.docx", "A 54988-2020")</f>
        <v/>
      </c>
    </row>
    <row r="93" ht="15" customHeight="1">
      <c r="A93" t="inlineStr">
        <is>
          <t>A 10627-2023</t>
        </is>
      </c>
      <c r="B93" s="1" t="n">
        <v>44984</v>
      </c>
      <c r="C93" s="1" t="n">
        <v>45937</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23729-2023</t>
        </is>
      </c>
      <c r="B94" s="1" t="n">
        <v>45072</v>
      </c>
      <c r="C94" s="1" t="n">
        <v>45937</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61875-2024</t>
        </is>
      </c>
      <c r="B95" s="1" t="n">
        <v>45651</v>
      </c>
      <c r="C95" s="1" t="n">
        <v>45937</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21006-2022</t>
        </is>
      </c>
      <c r="B96" s="1" t="n">
        <v>44701</v>
      </c>
      <c r="C96" s="1" t="n">
        <v>45937</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58387-2023</t>
        </is>
      </c>
      <c r="B97" s="1" t="n">
        <v>45250</v>
      </c>
      <c r="C97" s="1" t="n">
        <v>45937</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40245-2023</t>
        </is>
      </c>
      <c r="B98" s="1" t="n">
        <v>45167</v>
      </c>
      <c r="C98" s="1" t="n">
        <v>45937</v>
      </c>
      <c r="D98" t="inlineStr">
        <is>
          <t>JÄMTLANDS LÄN</t>
        </is>
      </c>
      <c r="E98" t="inlineStr">
        <is>
          <t>ÅRE</t>
        </is>
      </c>
      <c r="G98" t="n">
        <v>18.8</v>
      </c>
      <c r="H98" t="n">
        <v>1</v>
      </c>
      <c r="I98" t="n">
        <v>0</v>
      </c>
      <c r="J98" t="n">
        <v>3</v>
      </c>
      <c r="K98" t="n">
        <v>0</v>
      </c>
      <c r="L98" t="n">
        <v>0</v>
      </c>
      <c r="M98" t="n">
        <v>0</v>
      </c>
      <c r="N98" t="n">
        <v>0</v>
      </c>
      <c r="O98" t="n">
        <v>3</v>
      </c>
      <c r="P98" t="n">
        <v>0</v>
      </c>
      <c r="Q98" t="n">
        <v>3</v>
      </c>
      <c r="R98" s="2" t="inlineStr">
        <is>
          <t>Lunglav
Skrovellav
Tretåig hackspett</t>
        </is>
      </c>
      <c r="S98">
        <f>HYPERLINK("https://klasma.github.io/Logging_2321/artfynd/A 40245-2023 artfynd.xlsx", "A 40245-2023")</f>
        <v/>
      </c>
      <c r="T98">
        <f>HYPERLINK("https://klasma.github.io/Logging_2321/kartor/A 40245-2023 karta.png", "A 40245-2023")</f>
        <v/>
      </c>
      <c r="V98">
        <f>HYPERLINK("https://klasma.github.io/Logging_2321/klagomål/A 40245-2023 FSC-klagomål.docx", "A 40245-2023")</f>
        <v/>
      </c>
      <c r="W98">
        <f>HYPERLINK("https://klasma.github.io/Logging_2321/klagomålsmail/A 40245-2023 FSC-klagomål mail.docx", "A 40245-2023")</f>
        <v/>
      </c>
      <c r="X98">
        <f>HYPERLINK("https://klasma.github.io/Logging_2321/tillsyn/A 40245-2023 tillsynsbegäran.docx", "A 40245-2023")</f>
        <v/>
      </c>
      <c r="Y98">
        <f>HYPERLINK("https://klasma.github.io/Logging_2321/tillsynsmail/A 40245-2023 tillsynsbegäran mail.docx", "A 40245-2023")</f>
        <v/>
      </c>
      <c r="Z98">
        <f>HYPERLINK("https://klasma.github.io/Logging_2321/fåglar/A 40245-2023 prioriterade fågelarter.docx", "A 40245-2023")</f>
        <v/>
      </c>
    </row>
    <row r="99" ht="15" customHeight="1">
      <c r="A99" t="inlineStr">
        <is>
          <t>A 23572-2021</t>
        </is>
      </c>
      <c r="B99" s="1" t="n">
        <v>44334</v>
      </c>
      <c r="C99" s="1" t="n">
        <v>45937</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47988-2025</t>
        </is>
      </c>
      <c r="B100" s="1" t="n">
        <v>45931</v>
      </c>
      <c r="C100" s="1" t="n">
        <v>45937</v>
      </c>
      <c r="D100" t="inlineStr">
        <is>
          <t>JÄMTLANDS LÄN</t>
        </is>
      </c>
      <c r="E100" t="inlineStr">
        <is>
          <t>ÅRE</t>
        </is>
      </c>
      <c r="G100" t="n">
        <v>1</v>
      </c>
      <c r="H100" t="n">
        <v>0</v>
      </c>
      <c r="I100" t="n">
        <v>2</v>
      </c>
      <c r="J100" t="n">
        <v>1</v>
      </c>
      <c r="K100" t="n">
        <v>0</v>
      </c>
      <c r="L100" t="n">
        <v>0</v>
      </c>
      <c r="M100" t="n">
        <v>0</v>
      </c>
      <c r="N100" t="n">
        <v>0</v>
      </c>
      <c r="O100" t="n">
        <v>1</v>
      </c>
      <c r="P100" t="n">
        <v>0</v>
      </c>
      <c r="Q100" t="n">
        <v>3</v>
      </c>
      <c r="R100" s="2" t="inlineStr">
        <is>
          <t>Vitgrynig nållav
Diskvaxskivling
Västlig hakmossa</t>
        </is>
      </c>
      <c r="S100">
        <f>HYPERLINK("https://klasma.github.io/Logging_2321/artfynd/A 47988-2025 artfynd.xlsx", "A 47988-2025")</f>
        <v/>
      </c>
      <c r="T100">
        <f>HYPERLINK("https://klasma.github.io/Logging_2321/kartor/A 47988-2025 karta.png", "A 47988-2025")</f>
        <v/>
      </c>
      <c r="V100">
        <f>HYPERLINK("https://klasma.github.io/Logging_2321/klagomål/A 47988-2025 FSC-klagomål.docx", "A 47988-2025")</f>
        <v/>
      </c>
      <c r="W100">
        <f>HYPERLINK("https://klasma.github.io/Logging_2321/klagomålsmail/A 47988-2025 FSC-klagomål mail.docx", "A 47988-2025")</f>
        <v/>
      </c>
      <c r="X100">
        <f>HYPERLINK("https://klasma.github.io/Logging_2321/tillsyn/A 47988-2025 tillsynsbegäran.docx", "A 47988-2025")</f>
        <v/>
      </c>
      <c r="Y100">
        <f>HYPERLINK("https://klasma.github.io/Logging_2321/tillsynsmail/A 47988-2025 tillsynsbegäran mail.docx", "A 47988-2025")</f>
        <v/>
      </c>
    </row>
    <row r="101" ht="15" customHeight="1">
      <c r="A101" t="inlineStr">
        <is>
          <t>A 10501-2024</t>
        </is>
      </c>
      <c r="B101" s="1" t="n">
        <v>45366</v>
      </c>
      <c r="C101" s="1" t="n">
        <v>45937</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22601-2024</t>
        </is>
      </c>
      <c r="B102" s="1" t="n">
        <v>45447</v>
      </c>
      <c r="C102" s="1" t="n">
        <v>45937</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59237-2022</t>
        </is>
      </c>
      <c r="B103" s="1" t="n">
        <v>44904</v>
      </c>
      <c r="C103" s="1" t="n">
        <v>45937</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14198-2021</t>
        </is>
      </c>
      <c r="B104" s="1" t="n">
        <v>44278</v>
      </c>
      <c r="C104" s="1" t="n">
        <v>45937</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57918-2024</t>
        </is>
      </c>
      <c r="B105" s="1" t="n">
        <v>45631</v>
      </c>
      <c r="C105" s="1" t="n">
        <v>45937</v>
      </c>
      <c r="D105" t="inlineStr">
        <is>
          <t>JÄMTLANDS LÄN</t>
        </is>
      </c>
      <c r="E105" t="inlineStr">
        <is>
          <t>ÅRE</t>
        </is>
      </c>
      <c r="F105" t="inlineStr">
        <is>
          <t>Övriga Aktiebolag</t>
        </is>
      </c>
      <c r="G105" t="n">
        <v>18.8</v>
      </c>
      <c r="H105" t="n">
        <v>1</v>
      </c>
      <c r="I105" t="n">
        <v>0</v>
      </c>
      <c r="J105" t="n">
        <v>3</v>
      </c>
      <c r="K105" t="n">
        <v>0</v>
      </c>
      <c r="L105" t="n">
        <v>0</v>
      </c>
      <c r="M105" t="n">
        <v>0</v>
      </c>
      <c r="N105" t="n">
        <v>0</v>
      </c>
      <c r="O105" t="n">
        <v>3</v>
      </c>
      <c r="P105" t="n">
        <v>0</v>
      </c>
      <c r="Q105" t="n">
        <v>3</v>
      </c>
      <c r="R105" s="2" t="inlineStr">
        <is>
          <t>Gammelgransskål
Garnlav
Tretåig hackspett</t>
        </is>
      </c>
      <c r="S105">
        <f>HYPERLINK("https://klasma.github.io/Logging_2321/artfynd/A 57918-2024 artfynd.xlsx", "A 57918-2024")</f>
        <v/>
      </c>
      <c r="T105">
        <f>HYPERLINK("https://klasma.github.io/Logging_2321/kartor/A 57918-2024 karta.png", "A 57918-2024")</f>
        <v/>
      </c>
      <c r="V105">
        <f>HYPERLINK("https://klasma.github.io/Logging_2321/klagomål/A 57918-2024 FSC-klagomål.docx", "A 57918-2024")</f>
        <v/>
      </c>
      <c r="W105">
        <f>HYPERLINK("https://klasma.github.io/Logging_2321/klagomålsmail/A 57918-2024 FSC-klagomål mail.docx", "A 57918-2024")</f>
        <v/>
      </c>
      <c r="X105">
        <f>HYPERLINK("https://klasma.github.io/Logging_2321/tillsyn/A 57918-2024 tillsynsbegäran.docx", "A 57918-2024")</f>
        <v/>
      </c>
      <c r="Y105">
        <f>HYPERLINK("https://klasma.github.io/Logging_2321/tillsynsmail/A 57918-2024 tillsynsbegäran mail.docx", "A 57918-2024")</f>
        <v/>
      </c>
      <c r="Z105">
        <f>HYPERLINK("https://klasma.github.io/Logging_2321/fåglar/A 57918-2024 prioriterade fågelarter.docx", "A 57918-2024")</f>
        <v/>
      </c>
    </row>
    <row r="106" ht="15" customHeight="1">
      <c r="A106" t="inlineStr">
        <is>
          <t>A 23638-2023</t>
        </is>
      </c>
      <c r="B106" s="1" t="n">
        <v>45072</v>
      </c>
      <c r="C106" s="1" t="n">
        <v>45937</v>
      </c>
      <c r="D106" t="inlineStr">
        <is>
          <t>JÄMTLANDS LÄN</t>
        </is>
      </c>
      <c r="E106" t="inlineStr">
        <is>
          <t>ÅRE</t>
        </is>
      </c>
      <c r="G106" t="n">
        <v>11.2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23638-2023 artfynd.xlsx", "A 23638-2023")</f>
        <v/>
      </c>
      <c r="T106">
        <f>HYPERLINK("https://klasma.github.io/Logging_2321/kartor/A 23638-2023 karta.png", "A 23638-2023")</f>
        <v/>
      </c>
      <c r="V106">
        <f>HYPERLINK("https://klasma.github.io/Logging_2321/klagomål/A 23638-2023 FSC-klagomål.docx", "A 23638-2023")</f>
        <v/>
      </c>
      <c r="W106">
        <f>HYPERLINK("https://klasma.github.io/Logging_2321/klagomålsmail/A 23638-2023 FSC-klagomål mail.docx", "A 23638-2023")</f>
        <v/>
      </c>
      <c r="X106">
        <f>HYPERLINK("https://klasma.github.io/Logging_2321/tillsyn/A 23638-2023 tillsynsbegäran.docx", "A 23638-2023")</f>
        <v/>
      </c>
      <c r="Y106">
        <f>HYPERLINK("https://klasma.github.io/Logging_2321/tillsynsmail/A 23638-2023 tillsynsbegäran mail.docx", "A 23638-2023")</f>
        <v/>
      </c>
      <c r="Z106">
        <f>HYPERLINK("https://klasma.github.io/Logging_2321/fåglar/A 23638-2023 prioriterade fågelarter.docx", "A 23638-2023")</f>
        <v/>
      </c>
    </row>
    <row r="107" ht="15" customHeight="1">
      <c r="A107" t="inlineStr">
        <is>
          <t>A 58082-2022</t>
        </is>
      </c>
      <c r="B107" s="1" t="n">
        <v>44900</v>
      </c>
      <c r="C107" s="1" t="n">
        <v>45937</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36260-2023</t>
        </is>
      </c>
      <c r="B108" s="1" t="n">
        <v>45151</v>
      </c>
      <c r="C108" s="1" t="n">
        <v>45937</v>
      </c>
      <c r="D108" t="inlineStr">
        <is>
          <t>JÄMTLANDS LÄN</t>
        </is>
      </c>
      <c r="E108" t="inlineStr">
        <is>
          <t>ÅRE</t>
        </is>
      </c>
      <c r="G108" t="n">
        <v>2.6</v>
      </c>
      <c r="H108" t="n">
        <v>0</v>
      </c>
      <c r="I108" t="n">
        <v>3</v>
      </c>
      <c r="J108" t="n">
        <v>0</v>
      </c>
      <c r="K108" t="n">
        <v>0</v>
      </c>
      <c r="L108" t="n">
        <v>0</v>
      </c>
      <c r="M108" t="n">
        <v>0</v>
      </c>
      <c r="N108" t="n">
        <v>0</v>
      </c>
      <c r="O108" t="n">
        <v>0</v>
      </c>
      <c r="P108" t="n">
        <v>0</v>
      </c>
      <c r="Q108" t="n">
        <v>3</v>
      </c>
      <c r="R108" s="2" t="inlineStr">
        <is>
          <t>Svavelriska
Underviol
Vedticka</t>
        </is>
      </c>
      <c r="S108">
        <f>HYPERLINK("https://klasma.github.io/Logging_2321/artfynd/A 36260-2023 artfynd.xlsx", "A 36260-2023")</f>
        <v/>
      </c>
      <c r="T108">
        <f>HYPERLINK("https://klasma.github.io/Logging_2321/kartor/A 36260-2023 karta.png", "A 36260-2023")</f>
        <v/>
      </c>
      <c r="V108">
        <f>HYPERLINK("https://klasma.github.io/Logging_2321/klagomål/A 36260-2023 FSC-klagomål.docx", "A 36260-2023")</f>
        <v/>
      </c>
      <c r="W108">
        <f>HYPERLINK("https://klasma.github.io/Logging_2321/klagomålsmail/A 36260-2023 FSC-klagomål mail.docx", "A 36260-2023")</f>
        <v/>
      </c>
      <c r="X108">
        <f>HYPERLINK("https://klasma.github.io/Logging_2321/tillsyn/A 36260-2023 tillsynsbegäran.docx", "A 36260-2023")</f>
        <v/>
      </c>
      <c r="Y108">
        <f>HYPERLINK("https://klasma.github.io/Logging_2321/tillsynsmail/A 36260-2023 tillsynsbegäran mail.docx", "A 36260-2023")</f>
        <v/>
      </c>
    </row>
    <row r="109" ht="15" customHeight="1">
      <c r="A109" t="inlineStr">
        <is>
          <t>A 13625-2023</t>
        </is>
      </c>
      <c r="B109" s="1" t="n">
        <v>45006</v>
      </c>
      <c r="C109" s="1" t="n">
        <v>45937</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20124-2023</t>
        </is>
      </c>
      <c r="B110" s="1" t="n">
        <v>45055</v>
      </c>
      <c r="C110" s="1" t="n">
        <v>45937</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52778-2020</t>
        </is>
      </c>
      <c r="B111" s="1" t="n">
        <v>44119</v>
      </c>
      <c r="C111" s="1" t="n">
        <v>45937</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23625-2024</t>
        </is>
      </c>
      <c r="B112" s="1" t="n">
        <v>45454</v>
      </c>
      <c r="C112" s="1" t="n">
        <v>45937</v>
      </c>
      <c r="D112" t="inlineStr">
        <is>
          <t>JÄMTLANDS LÄN</t>
        </is>
      </c>
      <c r="E112" t="inlineStr">
        <is>
          <t>ÅRE</t>
        </is>
      </c>
      <c r="G112" t="n">
        <v>15.2</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HYPERLINK("https://klasma.github.io/Logging_2321/artfynd/A 23625-2024 artfynd.xlsx", "A 23625-2024")</f>
        <v/>
      </c>
      <c r="T112">
        <f>HYPERLINK("https://klasma.github.io/Logging_2321/kartor/A 23625-2024 karta.png", "A 23625-2024")</f>
        <v/>
      </c>
      <c r="V112">
        <f>HYPERLINK("https://klasma.github.io/Logging_2321/klagomål/A 23625-2024 FSC-klagomål.docx", "A 23625-2024")</f>
        <v/>
      </c>
      <c r="W112">
        <f>HYPERLINK("https://klasma.github.io/Logging_2321/klagomålsmail/A 23625-2024 FSC-klagomål mail.docx", "A 23625-2024")</f>
        <v/>
      </c>
      <c r="X112">
        <f>HYPERLINK("https://klasma.github.io/Logging_2321/tillsyn/A 23625-2024 tillsynsbegäran.docx", "A 23625-2024")</f>
        <v/>
      </c>
      <c r="Y112">
        <f>HYPERLINK("https://klasma.github.io/Logging_2321/tillsynsmail/A 23625-2024 tillsynsbegäran mail.docx", "A 23625-2024")</f>
        <v/>
      </c>
      <c r="Z112">
        <f>HYPERLINK("https://klasma.github.io/Logging_2321/fåglar/A 23625-2024 prioriterade fågelarter.docx", "A 23625-2024")</f>
        <v/>
      </c>
    </row>
    <row r="113" ht="15" customHeight="1">
      <c r="A113" t="inlineStr">
        <is>
          <t>A 17489-2024</t>
        </is>
      </c>
      <c r="B113" s="1" t="n">
        <v>45415</v>
      </c>
      <c r="C113" s="1" t="n">
        <v>45937</v>
      </c>
      <c r="D113" t="inlineStr">
        <is>
          <t>JÄMTLANDS LÄN</t>
        </is>
      </c>
      <c r="E113" t="inlineStr">
        <is>
          <t>ÅRE</t>
        </is>
      </c>
      <c r="G113" t="n">
        <v>12.9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17489-2024 artfynd.xlsx", "A 17489-2024")</f>
        <v/>
      </c>
      <c r="T113">
        <f>HYPERLINK("https://klasma.github.io/Logging_2321/kartor/A 17489-2024 karta.png", "A 17489-2024")</f>
        <v/>
      </c>
      <c r="V113">
        <f>HYPERLINK("https://klasma.github.io/Logging_2321/klagomål/A 17489-2024 FSC-klagomål.docx", "A 17489-2024")</f>
        <v/>
      </c>
      <c r="W113">
        <f>HYPERLINK("https://klasma.github.io/Logging_2321/klagomålsmail/A 17489-2024 FSC-klagomål mail.docx", "A 17489-2024")</f>
        <v/>
      </c>
      <c r="X113">
        <f>HYPERLINK("https://klasma.github.io/Logging_2321/tillsyn/A 17489-2024 tillsynsbegäran.docx", "A 17489-2024")</f>
        <v/>
      </c>
      <c r="Y113">
        <f>HYPERLINK("https://klasma.github.io/Logging_2321/tillsynsmail/A 17489-2024 tillsynsbegäran mail.docx", "A 17489-2024")</f>
        <v/>
      </c>
      <c r="Z113">
        <f>HYPERLINK("https://klasma.github.io/Logging_2321/fåglar/A 17489-2024 prioriterade fågelarter.docx", "A 17489-2024")</f>
        <v/>
      </c>
    </row>
    <row r="114" ht="15" customHeight="1">
      <c r="A114" t="inlineStr">
        <is>
          <t>A 3152-2023</t>
        </is>
      </c>
      <c r="B114" s="1" t="n">
        <v>44946</v>
      </c>
      <c r="C114" s="1" t="n">
        <v>45937</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HYPERLINK("https://klasma.github.io/Logging_2321/artfynd/A 3152-2023 artfynd.xlsx", "A 3152-2023")</f>
        <v/>
      </c>
      <c r="T114">
        <f>HYPERLINK("https://klasma.github.io/Logging_2321/kartor/A 3152-2023 karta.png", "A 3152-2023")</f>
        <v/>
      </c>
      <c r="V114">
        <f>HYPERLINK("https://klasma.github.io/Logging_2321/klagomål/A 3152-2023 FSC-klagomål.docx", "A 3152-2023")</f>
        <v/>
      </c>
      <c r="W114">
        <f>HYPERLINK("https://klasma.github.io/Logging_2321/klagomålsmail/A 3152-2023 FSC-klagomål mail.docx", "A 3152-2023")</f>
        <v/>
      </c>
      <c r="X114">
        <f>HYPERLINK("https://klasma.github.io/Logging_2321/tillsyn/A 3152-2023 tillsynsbegäran.docx", "A 3152-2023")</f>
        <v/>
      </c>
      <c r="Y114">
        <f>HYPERLINK("https://klasma.github.io/Logging_2321/tillsynsmail/A 3152-2023 tillsynsbegäran mail.docx", "A 3152-2023")</f>
        <v/>
      </c>
      <c r="Z114">
        <f>HYPERLINK("https://klasma.github.io/Logging_2321/fåglar/A 3152-2023 prioriterade fågelarter.docx", "A 3152-2023")</f>
        <v/>
      </c>
    </row>
    <row r="115" ht="15" customHeight="1">
      <c r="A115" t="inlineStr">
        <is>
          <t>A 54128-2023</t>
        </is>
      </c>
      <c r="B115" s="1" t="n">
        <v>45232</v>
      </c>
      <c r="C115" s="1" t="n">
        <v>45937</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54055-2023</t>
        </is>
      </c>
      <c r="B116" s="1" t="n">
        <v>45231</v>
      </c>
      <c r="C116" s="1" t="n">
        <v>45937</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46984-2021</t>
        </is>
      </c>
      <c r="B117" s="1" t="n">
        <v>44446</v>
      </c>
      <c r="C117" s="1" t="n">
        <v>45937</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32207-2022</t>
        </is>
      </c>
      <c r="B118" s="1" t="n">
        <v>44781</v>
      </c>
      <c r="C118" s="1" t="n">
        <v>45937</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23706-2023</t>
        </is>
      </c>
      <c r="B119" s="1" t="n">
        <v>45072</v>
      </c>
      <c r="C119" s="1" t="n">
        <v>45937</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18719-2024</t>
        </is>
      </c>
      <c r="B120" s="1" t="n">
        <v>45426</v>
      </c>
      <c r="C120" s="1" t="n">
        <v>45937</v>
      </c>
      <c r="D120" t="inlineStr">
        <is>
          <t>JÄMTLANDS LÄN</t>
        </is>
      </c>
      <c r="E120" t="inlineStr">
        <is>
          <t>ÅRE</t>
        </is>
      </c>
      <c r="F120" t="inlineStr">
        <is>
          <t>Övriga Aktiebolag</t>
        </is>
      </c>
      <c r="G120" t="n">
        <v>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18719-2024 artfynd.xlsx", "A 18719-2024")</f>
        <v/>
      </c>
      <c r="T120">
        <f>HYPERLINK("https://klasma.github.io/Logging_2321/kartor/A 18719-2024 karta.png", "A 18719-2024")</f>
        <v/>
      </c>
      <c r="V120">
        <f>HYPERLINK("https://klasma.github.io/Logging_2321/klagomål/A 18719-2024 FSC-klagomål.docx", "A 18719-2024")</f>
        <v/>
      </c>
      <c r="W120">
        <f>HYPERLINK("https://klasma.github.io/Logging_2321/klagomålsmail/A 18719-2024 FSC-klagomål mail.docx", "A 18719-2024")</f>
        <v/>
      </c>
      <c r="X120">
        <f>HYPERLINK("https://klasma.github.io/Logging_2321/tillsyn/A 18719-2024 tillsynsbegäran.docx", "A 18719-2024")</f>
        <v/>
      </c>
      <c r="Y120">
        <f>HYPERLINK("https://klasma.github.io/Logging_2321/tillsynsmail/A 18719-2024 tillsynsbegäran mail.docx", "A 18719-2024")</f>
        <v/>
      </c>
      <c r="Z120">
        <f>HYPERLINK("https://klasma.github.io/Logging_2321/fåglar/A 18719-2024 prioriterade fågelarter.docx", "A 18719-2024")</f>
        <v/>
      </c>
    </row>
    <row r="121" ht="15" customHeight="1">
      <c r="A121" t="inlineStr">
        <is>
          <t>A 18851-2022</t>
        </is>
      </c>
      <c r="B121" s="1" t="n">
        <v>44690</v>
      </c>
      <c r="C121" s="1" t="n">
        <v>45937</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45937</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47993-2025</t>
        </is>
      </c>
      <c r="B123" s="1" t="n">
        <v>45931</v>
      </c>
      <c r="C123" s="1" t="n">
        <v>45937</v>
      </c>
      <c r="D123" t="inlineStr">
        <is>
          <t>JÄMTLANDS LÄN</t>
        </is>
      </c>
      <c r="E123" t="inlineStr">
        <is>
          <t>ÅRE</t>
        </is>
      </c>
      <c r="G123" t="n">
        <v>2.1</v>
      </c>
      <c r="H123" t="n">
        <v>0</v>
      </c>
      <c r="I123" t="n">
        <v>1</v>
      </c>
      <c r="J123" t="n">
        <v>1</v>
      </c>
      <c r="K123" t="n">
        <v>0</v>
      </c>
      <c r="L123" t="n">
        <v>0</v>
      </c>
      <c r="M123" t="n">
        <v>0</v>
      </c>
      <c r="N123" t="n">
        <v>0</v>
      </c>
      <c r="O123" t="n">
        <v>1</v>
      </c>
      <c r="P123" t="n">
        <v>0</v>
      </c>
      <c r="Q123" t="n">
        <v>2</v>
      </c>
      <c r="R123" s="2" t="inlineStr">
        <is>
          <t>Ullticka
Svart trolldruva</t>
        </is>
      </c>
      <c r="S123">
        <f>HYPERLINK("https://klasma.github.io/Logging_2321/artfynd/A 47993-2025 artfynd.xlsx", "A 47993-2025")</f>
        <v/>
      </c>
      <c r="T123">
        <f>HYPERLINK("https://klasma.github.io/Logging_2321/kartor/A 47993-2025 karta.png", "A 47993-2025")</f>
        <v/>
      </c>
      <c r="V123">
        <f>HYPERLINK("https://klasma.github.io/Logging_2321/klagomål/A 47993-2025 FSC-klagomål.docx", "A 47993-2025")</f>
        <v/>
      </c>
      <c r="W123">
        <f>HYPERLINK("https://klasma.github.io/Logging_2321/klagomålsmail/A 47993-2025 FSC-klagomål mail.docx", "A 47993-2025")</f>
        <v/>
      </c>
      <c r="X123">
        <f>HYPERLINK("https://klasma.github.io/Logging_2321/tillsyn/A 47993-2025 tillsynsbegäran.docx", "A 47993-2025")</f>
        <v/>
      </c>
      <c r="Y123">
        <f>HYPERLINK("https://klasma.github.io/Logging_2321/tillsynsmail/A 47993-2025 tillsynsbegäran mail.docx", "A 47993-2025")</f>
        <v/>
      </c>
    </row>
    <row r="124" ht="15" customHeight="1">
      <c r="A124" t="inlineStr">
        <is>
          <t>A 32114-2025</t>
        </is>
      </c>
      <c r="B124" s="1" t="n">
        <v>45835.48488425926</v>
      </c>
      <c r="C124" s="1" t="n">
        <v>45937</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22231-2022</t>
        </is>
      </c>
      <c r="B125" s="1" t="n">
        <v>44712</v>
      </c>
      <c r="C125" s="1" t="n">
        <v>45937</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36395-2025</t>
        </is>
      </c>
      <c r="B126" s="1" t="n">
        <v>45868.6211574074</v>
      </c>
      <c r="C126" s="1" t="n">
        <v>45937</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5388-2021</t>
        </is>
      </c>
      <c r="B127" s="1" t="n">
        <v>44229</v>
      </c>
      <c r="C127" s="1" t="n">
        <v>45937</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37204-2025</t>
        </is>
      </c>
      <c r="B128" s="1" t="n">
        <v>45875.69826388889</v>
      </c>
      <c r="C128" s="1" t="n">
        <v>45937</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64668-2021</t>
        </is>
      </c>
      <c r="B129" s="1" t="n">
        <v>44512</v>
      </c>
      <c r="C129" s="1" t="n">
        <v>45937</v>
      </c>
      <c r="D129" t="inlineStr">
        <is>
          <t>JÄMTLANDS LÄN</t>
        </is>
      </c>
      <c r="E129" t="inlineStr">
        <is>
          <t>ÅRE</t>
        </is>
      </c>
      <c r="G129" t="n">
        <v>1.9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64668-2021 artfynd.xlsx", "A 64668-2021")</f>
        <v/>
      </c>
      <c r="T129">
        <f>HYPERLINK("https://klasma.github.io/Logging_2321/kartor/A 64668-2021 karta.png", "A 64668-2021")</f>
        <v/>
      </c>
      <c r="V129">
        <f>HYPERLINK("https://klasma.github.io/Logging_2321/klagomål/A 64668-2021 FSC-klagomål.docx", "A 64668-2021")</f>
        <v/>
      </c>
      <c r="W129">
        <f>HYPERLINK("https://klasma.github.io/Logging_2321/klagomålsmail/A 64668-2021 FSC-klagomål mail.docx", "A 64668-2021")</f>
        <v/>
      </c>
      <c r="X129">
        <f>HYPERLINK("https://klasma.github.io/Logging_2321/tillsyn/A 64668-2021 tillsynsbegäran.docx", "A 64668-2021")</f>
        <v/>
      </c>
      <c r="Y129">
        <f>HYPERLINK("https://klasma.github.io/Logging_2321/tillsynsmail/A 64668-2021 tillsynsbegäran mail.docx", "A 64668-2021")</f>
        <v/>
      </c>
      <c r="Z129">
        <f>HYPERLINK("https://klasma.github.io/Logging_2321/fåglar/A 64668-2021 prioriterade fågelarter.docx", "A 64668-2021")</f>
        <v/>
      </c>
    </row>
    <row r="130" ht="15" customHeight="1">
      <c r="A130" t="inlineStr">
        <is>
          <t>A 5418-2023</t>
        </is>
      </c>
      <c r="B130" s="1" t="n">
        <v>44957</v>
      </c>
      <c r="C130" s="1" t="n">
        <v>45937</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6108-2023</t>
        </is>
      </c>
      <c r="B131" s="1" t="n">
        <v>44964</v>
      </c>
      <c r="C131" s="1" t="n">
        <v>45937</v>
      </c>
      <c r="D131" t="inlineStr">
        <is>
          <t>JÄMTLANDS LÄN</t>
        </is>
      </c>
      <c r="E131" t="inlineStr">
        <is>
          <t>ÅRE</t>
        </is>
      </c>
      <c r="G131" t="n">
        <v>15.4</v>
      </c>
      <c r="H131" t="n">
        <v>1</v>
      </c>
      <c r="I131" t="n">
        <v>0</v>
      </c>
      <c r="J131" t="n">
        <v>2</v>
      </c>
      <c r="K131" t="n">
        <v>0</v>
      </c>
      <c r="L131" t="n">
        <v>0</v>
      </c>
      <c r="M131" t="n">
        <v>0</v>
      </c>
      <c r="N131" t="n">
        <v>0</v>
      </c>
      <c r="O131" t="n">
        <v>2</v>
      </c>
      <c r="P131" t="n">
        <v>0</v>
      </c>
      <c r="Q131" t="n">
        <v>2</v>
      </c>
      <c r="R131" s="2" t="inlineStr">
        <is>
          <t>Skrovellav
Tretåig hackspett</t>
        </is>
      </c>
      <c r="S131">
        <f>HYPERLINK("https://klasma.github.io/Logging_2321/artfynd/A 6108-2023 artfynd.xlsx", "A 6108-2023")</f>
        <v/>
      </c>
      <c r="T131">
        <f>HYPERLINK("https://klasma.github.io/Logging_2321/kartor/A 6108-2023 karta.png", "A 6108-2023")</f>
        <v/>
      </c>
      <c r="V131">
        <f>HYPERLINK("https://klasma.github.io/Logging_2321/klagomål/A 6108-2023 FSC-klagomål.docx", "A 6108-2023")</f>
        <v/>
      </c>
      <c r="W131">
        <f>HYPERLINK("https://klasma.github.io/Logging_2321/klagomålsmail/A 6108-2023 FSC-klagomål mail.docx", "A 6108-2023")</f>
        <v/>
      </c>
      <c r="X131">
        <f>HYPERLINK("https://klasma.github.io/Logging_2321/tillsyn/A 6108-2023 tillsynsbegäran.docx", "A 6108-2023")</f>
        <v/>
      </c>
      <c r="Y131">
        <f>HYPERLINK("https://klasma.github.io/Logging_2321/tillsynsmail/A 6108-2023 tillsynsbegäran mail.docx", "A 6108-2023")</f>
        <v/>
      </c>
      <c r="Z131">
        <f>HYPERLINK("https://klasma.github.io/Logging_2321/fåglar/A 6108-2023 prioriterade fågelarter.docx", "A 6108-2023")</f>
        <v/>
      </c>
    </row>
    <row r="132" ht="15" customHeight="1">
      <c r="A132" t="inlineStr">
        <is>
          <t>A 60533-2022</t>
        </is>
      </c>
      <c r="B132" s="1" t="n">
        <v>44904</v>
      </c>
      <c r="C132" s="1" t="n">
        <v>45937</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22974-2022</t>
        </is>
      </c>
      <c r="B133" s="1" t="n">
        <v>44716</v>
      </c>
      <c r="C133" s="1" t="n">
        <v>45937</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5531-2023</t>
        </is>
      </c>
      <c r="B134" s="1" t="n">
        <v>44957</v>
      </c>
      <c r="C134" s="1" t="n">
        <v>45937</v>
      </c>
      <c r="D134" t="inlineStr">
        <is>
          <t>JÄMTLANDS LÄN</t>
        </is>
      </c>
      <c r="E134" t="inlineStr">
        <is>
          <t>ÅRE</t>
        </is>
      </c>
      <c r="G134" t="n">
        <v>3.8</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5531-2023 artfynd.xlsx", "A 5531-2023")</f>
        <v/>
      </c>
      <c r="T134">
        <f>HYPERLINK("https://klasma.github.io/Logging_2321/kartor/A 5531-2023 karta.png", "A 5531-2023")</f>
        <v/>
      </c>
      <c r="V134">
        <f>HYPERLINK("https://klasma.github.io/Logging_2321/klagomål/A 5531-2023 FSC-klagomål.docx", "A 5531-2023")</f>
        <v/>
      </c>
      <c r="W134">
        <f>HYPERLINK("https://klasma.github.io/Logging_2321/klagomålsmail/A 5531-2023 FSC-klagomål mail.docx", "A 5531-2023")</f>
        <v/>
      </c>
      <c r="X134">
        <f>HYPERLINK("https://klasma.github.io/Logging_2321/tillsyn/A 5531-2023 tillsynsbegäran.docx", "A 5531-2023")</f>
        <v/>
      </c>
      <c r="Y134">
        <f>HYPERLINK("https://klasma.github.io/Logging_2321/tillsynsmail/A 5531-2023 tillsynsbegäran mail.docx", "A 5531-2023")</f>
        <v/>
      </c>
      <c r="Z134">
        <f>HYPERLINK("https://klasma.github.io/Logging_2321/fåglar/A 5531-2023 prioriterade fågelarter.docx", "A 5531-2023")</f>
        <v/>
      </c>
    </row>
    <row r="135" ht="15" customHeight="1">
      <c r="A135" t="inlineStr">
        <is>
          <t>A 20501-2021</t>
        </is>
      </c>
      <c r="B135" s="1" t="n">
        <v>44315.68802083333</v>
      </c>
      <c r="C135" s="1" t="n">
        <v>45937</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45937</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45937</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45937</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45937</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45937</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45937</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45937</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45937</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45937</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55194-2022</t>
        </is>
      </c>
      <c r="B145" s="1" t="n">
        <v>44886</v>
      </c>
      <c r="C145" s="1" t="n">
        <v>45937</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50321-2024</t>
        </is>
      </c>
      <c r="B146" s="1" t="n">
        <v>45600</v>
      </c>
      <c r="C146" s="1" t="n">
        <v>45937</v>
      </c>
      <c r="D146" t="inlineStr">
        <is>
          <t>JÄMTLANDS LÄN</t>
        </is>
      </c>
      <c r="E146" t="inlineStr">
        <is>
          <t>ÅRE</t>
        </is>
      </c>
      <c r="F146" t="inlineStr">
        <is>
          <t>Övriga Aktiebolag</t>
        </is>
      </c>
      <c r="G146" t="n">
        <v>2.6</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50321-2024 artfynd.xlsx", "A 50321-2024")</f>
        <v/>
      </c>
      <c r="T146">
        <f>HYPERLINK("https://klasma.github.io/Logging_2321/kartor/A 50321-2024 karta.png", "A 50321-2024")</f>
        <v/>
      </c>
      <c r="V146">
        <f>HYPERLINK("https://klasma.github.io/Logging_2321/klagomål/A 50321-2024 FSC-klagomål.docx", "A 50321-2024")</f>
        <v/>
      </c>
      <c r="W146">
        <f>HYPERLINK("https://klasma.github.io/Logging_2321/klagomålsmail/A 50321-2024 FSC-klagomål mail.docx", "A 50321-2024")</f>
        <v/>
      </c>
      <c r="X146">
        <f>HYPERLINK("https://klasma.github.io/Logging_2321/tillsyn/A 50321-2024 tillsynsbegäran.docx", "A 50321-2024")</f>
        <v/>
      </c>
      <c r="Y146">
        <f>HYPERLINK("https://klasma.github.io/Logging_2321/tillsynsmail/A 50321-2024 tillsynsbegäran mail.docx", "A 50321-2024")</f>
        <v/>
      </c>
      <c r="Z146">
        <f>HYPERLINK("https://klasma.github.io/Logging_2321/fåglar/A 50321-2024 prioriterade fågelarter.docx", "A 50321-2024")</f>
        <v/>
      </c>
    </row>
    <row r="147" ht="15" customHeight="1">
      <c r="A147" t="inlineStr">
        <is>
          <t>A 10632-2023</t>
        </is>
      </c>
      <c r="B147" s="1" t="n">
        <v>44984</v>
      </c>
      <c r="C147" s="1" t="n">
        <v>45937</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58226-2021</t>
        </is>
      </c>
      <c r="B148" s="1" t="n">
        <v>44487</v>
      </c>
      <c r="C148" s="1" t="n">
        <v>45937</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45937</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74392-2021</t>
        </is>
      </c>
      <c r="B150" s="1" t="n">
        <v>44559</v>
      </c>
      <c r="C150" s="1" t="n">
        <v>45937</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5611-2023</t>
        </is>
      </c>
      <c r="B151" s="1" t="n">
        <v>44958</v>
      </c>
      <c r="C151" s="1" t="n">
        <v>45937</v>
      </c>
      <c r="D151" t="inlineStr">
        <is>
          <t>JÄMTLANDS LÄN</t>
        </is>
      </c>
      <c r="E151" t="inlineStr">
        <is>
          <t>ÅRE</t>
        </is>
      </c>
      <c r="G151" t="n">
        <v>10.5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5611-2023 artfynd.xlsx", "A 5611-2023")</f>
        <v/>
      </c>
      <c r="T151">
        <f>HYPERLINK("https://klasma.github.io/Logging_2321/kartor/A 5611-2023 karta.png", "A 5611-2023")</f>
        <v/>
      </c>
      <c r="V151">
        <f>HYPERLINK("https://klasma.github.io/Logging_2321/klagomål/A 5611-2023 FSC-klagomål.docx", "A 5611-2023")</f>
        <v/>
      </c>
      <c r="W151">
        <f>HYPERLINK("https://klasma.github.io/Logging_2321/klagomålsmail/A 5611-2023 FSC-klagomål mail.docx", "A 5611-2023")</f>
        <v/>
      </c>
      <c r="X151">
        <f>HYPERLINK("https://klasma.github.io/Logging_2321/tillsyn/A 5611-2023 tillsynsbegäran.docx", "A 5611-2023")</f>
        <v/>
      </c>
      <c r="Y151">
        <f>HYPERLINK("https://klasma.github.io/Logging_2321/tillsynsmail/A 5611-2023 tillsynsbegäran mail.docx", "A 5611-2023")</f>
        <v/>
      </c>
      <c r="Z151">
        <f>HYPERLINK("https://klasma.github.io/Logging_2321/fåglar/A 5611-2023 prioriterade fågelarter.docx", "A 5611-2023")</f>
        <v/>
      </c>
    </row>
    <row r="152" ht="15" customHeight="1">
      <c r="A152" t="inlineStr">
        <is>
          <t>A 2422-2021</t>
        </is>
      </c>
      <c r="B152" s="1" t="n">
        <v>44214</v>
      </c>
      <c r="C152" s="1" t="n">
        <v>45937</v>
      </c>
      <c r="D152" t="inlineStr">
        <is>
          <t>JÄMTLANDS LÄN</t>
        </is>
      </c>
      <c r="E152" t="inlineStr">
        <is>
          <t>ÅRE</t>
        </is>
      </c>
      <c r="G152" t="n">
        <v>3.3</v>
      </c>
      <c r="H152" t="n">
        <v>1</v>
      </c>
      <c r="I152" t="n">
        <v>0</v>
      </c>
      <c r="J152" t="n">
        <v>0</v>
      </c>
      <c r="K152" t="n">
        <v>0</v>
      </c>
      <c r="L152" t="n">
        <v>0</v>
      </c>
      <c r="M152" t="n">
        <v>0</v>
      </c>
      <c r="N152" t="n">
        <v>0</v>
      </c>
      <c r="O152" t="n">
        <v>0</v>
      </c>
      <c r="P152" t="n">
        <v>0</v>
      </c>
      <c r="Q152" t="n">
        <v>1</v>
      </c>
      <c r="R152" s="2" t="inlineStr">
        <is>
          <t>Fläcknycklar</t>
        </is>
      </c>
      <c r="S152">
        <f>HYPERLINK("https://klasma.github.io/Logging_2321/artfynd/A 2422-2021 artfynd.xlsx", "A 2422-2021")</f>
        <v/>
      </c>
      <c r="T152">
        <f>HYPERLINK("https://klasma.github.io/Logging_2321/kartor/A 2422-2021 karta.png", "A 2422-2021")</f>
        <v/>
      </c>
      <c r="V152">
        <f>HYPERLINK("https://klasma.github.io/Logging_2321/klagomål/A 2422-2021 FSC-klagomål.docx", "A 2422-2021")</f>
        <v/>
      </c>
      <c r="W152">
        <f>HYPERLINK("https://klasma.github.io/Logging_2321/klagomålsmail/A 2422-2021 FSC-klagomål mail.docx", "A 2422-2021")</f>
        <v/>
      </c>
      <c r="X152">
        <f>HYPERLINK("https://klasma.github.io/Logging_2321/tillsyn/A 2422-2021 tillsynsbegäran.docx", "A 2422-2021")</f>
        <v/>
      </c>
      <c r="Y152">
        <f>HYPERLINK("https://klasma.github.io/Logging_2321/tillsynsmail/A 2422-2021 tillsynsbegäran mail.docx", "A 2422-2021")</f>
        <v/>
      </c>
    </row>
    <row r="153" ht="15" customHeight="1">
      <c r="A153" t="inlineStr">
        <is>
          <t>A 12970-2021</t>
        </is>
      </c>
      <c r="B153" s="1" t="n">
        <v>44271</v>
      </c>
      <c r="C153" s="1" t="n">
        <v>45937</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30032-2024</t>
        </is>
      </c>
      <c r="B154" s="1" t="n">
        <v>45485</v>
      </c>
      <c r="C154" s="1" t="n">
        <v>45937</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23818-2025</t>
        </is>
      </c>
      <c r="B155" s="1" t="n">
        <v>45793.58469907408</v>
      </c>
      <c r="C155" s="1" t="n">
        <v>45937</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17636-2024</t>
        </is>
      </c>
      <c r="B156" s="1" t="n">
        <v>45418</v>
      </c>
      <c r="C156" s="1" t="n">
        <v>45937</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17636-2024 artfynd.xlsx", "A 17636-2024")</f>
        <v/>
      </c>
      <c r="T156">
        <f>HYPERLINK("https://klasma.github.io/Logging_2321/kartor/A 17636-2024 karta.png", "A 17636-2024")</f>
        <v/>
      </c>
      <c r="V156">
        <f>HYPERLINK("https://klasma.github.io/Logging_2321/klagomål/A 17636-2024 FSC-klagomål.docx", "A 17636-2024")</f>
        <v/>
      </c>
      <c r="W156">
        <f>HYPERLINK("https://klasma.github.io/Logging_2321/klagomålsmail/A 17636-2024 FSC-klagomål mail.docx", "A 17636-2024")</f>
        <v/>
      </c>
      <c r="X156">
        <f>HYPERLINK("https://klasma.github.io/Logging_2321/tillsyn/A 17636-2024 tillsynsbegäran.docx", "A 17636-2024")</f>
        <v/>
      </c>
      <c r="Y156">
        <f>HYPERLINK("https://klasma.github.io/Logging_2321/tillsynsmail/A 17636-2024 tillsynsbegäran mail.docx", "A 17636-2024")</f>
        <v/>
      </c>
      <c r="Z156">
        <f>HYPERLINK("https://klasma.github.io/Logging_2321/fåglar/A 17636-2024 prioriterade fågelarter.docx", "A 17636-2024")</f>
        <v/>
      </c>
    </row>
    <row r="157" ht="15" customHeight="1">
      <c r="A157" t="inlineStr">
        <is>
          <t>A 8131-2024</t>
        </is>
      </c>
      <c r="B157" s="1" t="n">
        <v>45351</v>
      </c>
      <c r="C157" s="1" t="n">
        <v>45937</v>
      </c>
      <c r="D157" t="inlineStr">
        <is>
          <t>JÄMTLANDS LÄN</t>
        </is>
      </c>
      <c r="E157" t="inlineStr">
        <is>
          <t>ÅRE</t>
        </is>
      </c>
      <c r="F157" t="inlineStr">
        <is>
          <t>Övriga Aktiebolag</t>
        </is>
      </c>
      <c r="G157" t="n">
        <v>3.1</v>
      </c>
      <c r="H157" t="n">
        <v>0</v>
      </c>
      <c r="I157" t="n">
        <v>0</v>
      </c>
      <c r="J157" t="n">
        <v>0</v>
      </c>
      <c r="K157" t="n">
        <v>1</v>
      </c>
      <c r="L157" t="n">
        <v>0</v>
      </c>
      <c r="M157" t="n">
        <v>0</v>
      </c>
      <c r="N157" t="n">
        <v>0</v>
      </c>
      <c r="O157" t="n">
        <v>1</v>
      </c>
      <c r="P157" t="n">
        <v>1</v>
      </c>
      <c r="Q157" t="n">
        <v>1</v>
      </c>
      <c r="R157" s="2" t="inlineStr">
        <is>
          <t>Gräddporing</t>
        </is>
      </c>
      <c r="S157">
        <f>HYPERLINK("https://klasma.github.io/Logging_2321/artfynd/A 8131-2024 artfynd.xlsx", "A 8131-2024")</f>
        <v/>
      </c>
      <c r="T157">
        <f>HYPERLINK("https://klasma.github.io/Logging_2321/kartor/A 8131-2024 karta.png", "A 8131-2024")</f>
        <v/>
      </c>
      <c r="V157">
        <f>HYPERLINK("https://klasma.github.io/Logging_2321/klagomål/A 8131-2024 FSC-klagomål.docx", "A 8131-2024")</f>
        <v/>
      </c>
      <c r="W157">
        <f>HYPERLINK("https://klasma.github.io/Logging_2321/klagomålsmail/A 8131-2024 FSC-klagomål mail.docx", "A 8131-2024")</f>
        <v/>
      </c>
      <c r="X157">
        <f>HYPERLINK("https://klasma.github.io/Logging_2321/tillsyn/A 8131-2024 tillsynsbegäran.docx", "A 8131-2024")</f>
        <v/>
      </c>
      <c r="Y157">
        <f>HYPERLINK("https://klasma.github.io/Logging_2321/tillsynsmail/A 8131-2024 tillsynsbegäran mail.docx", "A 8131-2024")</f>
        <v/>
      </c>
    </row>
    <row r="158" ht="15" customHeight="1">
      <c r="A158" t="inlineStr">
        <is>
          <t>A 17692-2022</t>
        </is>
      </c>
      <c r="B158" s="1" t="n">
        <v>44680</v>
      </c>
      <c r="C158" s="1" t="n">
        <v>45937</v>
      </c>
      <c r="D158" t="inlineStr">
        <is>
          <t>JÄMTLANDS LÄN</t>
        </is>
      </c>
      <c r="E158" t="inlineStr">
        <is>
          <t>ÅRE</t>
        </is>
      </c>
      <c r="G158" t="n">
        <v>3.1</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17692-2022 artfynd.xlsx", "A 17692-2022")</f>
        <v/>
      </c>
      <c r="T158">
        <f>HYPERLINK("https://klasma.github.io/Logging_2321/kartor/A 17692-2022 karta.png", "A 17692-2022")</f>
        <v/>
      </c>
      <c r="V158">
        <f>HYPERLINK("https://klasma.github.io/Logging_2321/klagomål/A 17692-2022 FSC-klagomål.docx", "A 17692-2022")</f>
        <v/>
      </c>
      <c r="W158">
        <f>HYPERLINK("https://klasma.github.io/Logging_2321/klagomålsmail/A 17692-2022 FSC-klagomål mail.docx", "A 17692-2022")</f>
        <v/>
      </c>
      <c r="X158">
        <f>HYPERLINK("https://klasma.github.io/Logging_2321/tillsyn/A 17692-2022 tillsynsbegäran.docx", "A 17692-2022")</f>
        <v/>
      </c>
      <c r="Y158">
        <f>HYPERLINK("https://klasma.github.io/Logging_2321/tillsynsmail/A 17692-2022 tillsynsbegäran mail.docx", "A 17692-2022")</f>
        <v/>
      </c>
      <c r="Z158">
        <f>HYPERLINK("https://klasma.github.io/Logging_2321/fåglar/A 17692-2022 prioriterade fågelarter.docx", "A 17692-2022")</f>
        <v/>
      </c>
    </row>
    <row r="159" ht="15" customHeight="1">
      <c r="A159" t="inlineStr">
        <is>
          <t>A 45144-2024</t>
        </is>
      </c>
      <c r="B159" s="1" t="n">
        <v>45575.63767361111</v>
      </c>
      <c r="C159" s="1" t="n">
        <v>45937</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11781-2021</t>
        </is>
      </c>
      <c r="B160" s="1" t="n">
        <v>44265</v>
      </c>
      <c r="C160" s="1" t="n">
        <v>45937</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23556-2021</t>
        </is>
      </c>
      <c r="B161" s="1" t="n">
        <v>44334</v>
      </c>
      <c r="C161" s="1" t="n">
        <v>45937</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4937-2025</t>
        </is>
      </c>
      <c r="B162" s="1" t="n">
        <v>45688</v>
      </c>
      <c r="C162" s="1" t="n">
        <v>45937</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32216-2022</t>
        </is>
      </c>
      <c r="B163" s="1" t="n">
        <v>44781</v>
      </c>
      <c r="C163" s="1" t="n">
        <v>45937</v>
      </c>
      <c r="D163" t="inlineStr">
        <is>
          <t>JÄMTLANDS LÄN</t>
        </is>
      </c>
      <c r="E163" t="inlineStr">
        <is>
          <t>ÅRE</t>
        </is>
      </c>
      <c r="G163" t="n">
        <v>27.3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32216-2022 artfynd.xlsx", "A 32216-2022")</f>
        <v/>
      </c>
      <c r="T163">
        <f>HYPERLINK("https://klasma.github.io/Logging_2321/kartor/A 32216-2022 karta.png", "A 32216-2022")</f>
        <v/>
      </c>
      <c r="V163">
        <f>HYPERLINK("https://klasma.github.io/Logging_2321/klagomål/A 32216-2022 FSC-klagomål.docx", "A 32216-2022")</f>
        <v/>
      </c>
      <c r="W163">
        <f>HYPERLINK("https://klasma.github.io/Logging_2321/klagomålsmail/A 32216-2022 FSC-klagomål mail.docx", "A 32216-2022")</f>
        <v/>
      </c>
      <c r="X163">
        <f>HYPERLINK("https://klasma.github.io/Logging_2321/tillsyn/A 32216-2022 tillsynsbegäran.docx", "A 32216-2022")</f>
        <v/>
      </c>
      <c r="Y163">
        <f>HYPERLINK("https://klasma.github.io/Logging_2321/tillsynsmail/A 32216-2022 tillsynsbegäran mail.docx", "A 32216-2022")</f>
        <v/>
      </c>
      <c r="Z163">
        <f>HYPERLINK("https://klasma.github.io/Logging_2321/fåglar/A 32216-2022 prioriterade fågelarter.docx", "A 32216-2022")</f>
        <v/>
      </c>
    </row>
    <row r="164" ht="15" customHeight="1">
      <c r="A164" t="inlineStr">
        <is>
          <t>A 21939-2025</t>
        </is>
      </c>
      <c r="B164" s="1" t="n">
        <v>45784.58445601852</v>
      </c>
      <c r="C164" s="1" t="n">
        <v>45937</v>
      </c>
      <c r="D164" t="inlineStr">
        <is>
          <t>JÄMTLANDS LÄN</t>
        </is>
      </c>
      <c r="E164" t="inlineStr">
        <is>
          <t>ÅRE</t>
        </is>
      </c>
      <c r="G164" t="n">
        <v>6.5</v>
      </c>
      <c r="H164" t="n">
        <v>0</v>
      </c>
      <c r="I164" t="n">
        <v>1</v>
      </c>
      <c r="J164" t="n">
        <v>0</v>
      </c>
      <c r="K164" t="n">
        <v>0</v>
      </c>
      <c r="L164" t="n">
        <v>0</v>
      </c>
      <c r="M164" t="n">
        <v>0</v>
      </c>
      <c r="N164" t="n">
        <v>0</v>
      </c>
      <c r="O164" t="n">
        <v>0</v>
      </c>
      <c r="P164" t="n">
        <v>0</v>
      </c>
      <c r="Q164" t="n">
        <v>1</v>
      </c>
      <c r="R164" s="2" t="inlineStr">
        <is>
          <t>Finbräken</t>
        </is>
      </c>
      <c r="S164">
        <f>HYPERLINK("https://klasma.github.io/Logging_2321/artfynd/A 21939-2025 artfynd.xlsx", "A 21939-2025")</f>
        <v/>
      </c>
      <c r="T164">
        <f>HYPERLINK("https://klasma.github.io/Logging_2321/kartor/A 21939-2025 karta.png", "A 21939-2025")</f>
        <v/>
      </c>
      <c r="V164">
        <f>HYPERLINK("https://klasma.github.io/Logging_2321/klagomål/A 21939-2025 FSC-klagomål.docx", "A 21939-2025")</f>
        <v/>
      </c>
      <c r="W164">
        <f>HYPERLINK("https://klasma.github.io/Logging_2321/klagomålsmail/A 21939-2025 FSC-klagomål mail.docx", "A 21939-2025")</f>
        <v/>
      </c>
      <c r="X164">
        <f>HYPERLINK("https://klasma.github.io/Logging_2321/tillsyn/A 21939-2025 tillsynsbegäran.docx", "A 21939-2025")</f>
        <v/>
      </c>
      <c r="Y164">
        <f>HYPERLINK("https://klasma.github.io/Logging_2321/tillsynsmail/A 21939-2025 tillsynsbegäran mail.docx", "A 21939-2025")</f>
        <v/>
      </c>
    </row>
    <row r="165" ht="15" customHeight="1">
      <c r="A165" t="inlineStr">
        <is>
          <t>A 37082-2021</t>
        </is>
      </c>
      <c r="B165" s="1" t="n">
        <v>44395</v>
      </c>
      <c r="C165" s="1" t="n">
        <v>45937</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15909-2025</t>
        </is>
      </c>
      <c r="B166" s="1" t="n">
        <v>45749</v>
      </c>
      <c r="C166" s="1" t="n">
        <v>45937</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14245-2025</t>
        </is>
      </c>
      <c r="B167" s="1" t="n">
        <v>45740</v>
      </c>
      <c r="C167" s="1" t="n">
        <v>45937</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5480-2023</t>
        </is>
      </c>
      <c r="B168" s="1" t="n">
        <v>44957</v>
      </c>
      <c r="C168" s="1" t="n">
        <v>45937</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18543-2021</t>
        </is>
      </c>
      <c r="B169" s="1" t="n">
        <v>44306</v>
      </c>
      <c r="C169" s="1" t="n">
        <v>45937</v>
      </c>
      <c r="D169" t="inlineStr">
        <is>
          <t>JÄMTLANDS LÄN</t>
        </is>
      </c>
      <c r="E169" t="inlineStr">
        <is>
          <t>ÅRE</t>
        </is>
      </c>
      <c r="G169" t="n">
        <v>1.7</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18543-2021 artfynd.xlsx", "A 18543-2021")</f>
        <v/>
      </c>
      <c r="T169">
        <f>HYPERLINK("https://klasma.github.io/Logging_2321/kartor/A 18543-2021 karta.png", "A 18543-2021")</f>
        <v/>
      </c>
      <c r="V169">
        <f>HYPERLINK("https://klasma.github.io/Logging_2321/klagomål/A 18543-2021 FSC-klagomål.docx", "A 18543-2021")</f>
        <v/>
      </c>
      <c r="W169">
        <f>HYPERLINK("https://klasma.github.io/Logging_2321/klagomålsmail/A 18543-2021 FSC-klagomål mail.docx", "A 18543-2021")</f>
        <v/>
      </c>
      <c r="X169">
        <f>HYPERLINK("https://klasma.github.io/Logging_2321/tillsyn/A 18543-2021 tillsynsbegäran.docx", "A 18543-2021")</f>
        <v/>
      </c>
      <c r="Y169">
        <f>HYPERLINK("https://klasma.github.io/Logging_2321/tillsynsmail/A 18543-2021 tillsynsbegäran mail.docx", "A 18543-2021")</f>
        <v/>
      </c>
      <c r="Z169">
        <f>HYPERLINK("https://klasma.github.io/Logging_2321/fåglar/A 18543-2021 prioriterade fågelarter.docx", "A 18543-2021")</f>
        <v/>
      </c>
    </row>
    <row r="170" ht="15" customHeight="1">
      <c r="A170" t="inlineStr">
        <is>
          <t>A 53462-2024</t>
        </is>
      </c>
      <c r="B170" s="1" t="n">
        <v>45614.55241898148</v>
      </c>
      <c r="C170" s="1" t="n">
        <v>45937</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61471-2023</t>
        </is>
      </c>
      <c r="B171" s="1" t="n">
        <v>45264</v>
      </c>
      <c r="C171" s="1" t="n">
        <v>45937</v>
      </c>
      <c r="D171" t="inlineStr">
        <is>
          <t>JÄMTLANDS LÄN</t>
        </is>
      </c>
      <c r="E171" t="inlineStr">
        <is>
          <t>ÅRE</t>
        </is>
      </c>
      <c r="G171" t="n">
        <v>1</v>
      </c>
      <c r="H171" t="n">
        <v>0</v>
      </c>
      <c r="I171" t="n">
        <v>0</v>
      </c>
      <c r="J171" t="n">
        <v>1</v>
      </c>
      <c r="K171" t="n">
        <v>0</v>
      </c>
      <c r="L171" t="n">
        <v>0</v>
      </c>
      <c r="M171" t="n">
        <v>0</v>
      </c>
      <c r="N171" t="n">
        <v>0</v>
      </c>
      <c r="O171" t="n">
        <v>1</v>
      </c>
      <c r="P171" t="n">
        <v>0</v>
      </c>
      <c r="Q171" t="n">
        <v>1</v>
      </c>
      <c r="R171" s="2" t="inlineStr">
        <is>
          <t>Skrovellav</t>
        </is>
      </c>
      <c r="S171">
        <f>HYPERLINK("https://klasma.github.io/Logging_2321/artfynd/A 61471-2023 artfynd.xlsx", "A 61471-2023")</f>
        <v/>
      </c>
      <c r="T171">
        <f>HYPERLINK("https://klasma.github.io/Logging_2321/kartor/A 61471-2023 karta.png", "A 61471-2023")</f>
        <v/>
      </c>
      <c r="V171">
        <f>HYPERLINK("https://klasma.github.io/Logging_2321/klagomål/A 61471-2023 FSC-klagomål.docx", "A 61471-2023")</f>
        <v/>
      </c>
      <c r="W171">
        <f>HYPERLINK("https://klasma.github.io/Logging_2321/klagomålsmail/A 61471-2023 FSC-klagomål mail.docx", "A 61471-2023")</f>
        <v/>
      </c>
      <c r="X171">
        <f>HYPERLINK("https://klasma.github.io/Logging_2321/tillsyn/A 61471-2023 tillsynsbegäran.docx", "A 61471-2023")</f>
        <v/>
      </c>
      <c r="Y171">
        <f>HYPERLINK("https://klasma.github.io/Logging_2321/tillsynsmail/A 61471-2023 tillsynsbegäran mail.docx", "A 61471-2023")</f>
        <v/>
      </c>
    </row>
    <row r="172" ht="15" customHeight="1">
      <c r="A172" t="inlineStr">
        <is>
          <t>A 52746-2024</t>
        </is>
      </c>
      <c r="B172" s="1" t="n">
        <v>45610.4809375</v>
      </c>
      <c r="C172" s="1" t="n">
        <v>45937</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14826-2021</t>
        </is>
      </c>
      <c r="B173" s="1" t="n">
        <v>44280</v>
      </c>
      <c r="C173" s="1" t="n">
        <v>45937</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45937</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45937</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45937</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45937</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45937</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45937</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45937</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45937</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45937</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45937</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45937</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45937</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45937</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45937</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45937</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45937</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45937</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45937</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45937</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45937</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45937</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45937</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45937</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45937</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45937</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45937</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45937</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45937</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45937</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45937</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72214-2021</t>
        </is>
      </c>
      <c r="B204" s="1" t="n">
        <v>44544.72591435185</v>
      </c>
      <c r="C204" s="1" t="n">
        <v>45937</v>
      </c>
      <c r="D204" t="inlineStr">
        <is>
          <t>JÄMTLANDS LÄN</t>
        </is>
      </c>
      <c r="E204" t="inlineStr">
        <is>
          <t>ÅRE</t>
        </is>
      </c>
      <c r="G204" t="n">
        <v>14.1</v>
      </c>
      <c r="H204" t="n">
        <v>0</v>
      </c>
      <c r="I204" t="n">
        <v>0</v>
      </c>
      <c r="J204" t="n">
        <v>0</v>
      </c>
      <c r="K204" t="n">
        <v>0</v>
      </c>
      <c r="L204" t="n">
        <v>0</v>
      </c>
      <c r="M204" t="n">
        <v>0</v>
      </c>
      <c r="N204" t="n">
        <v>0</v>
      </c>
      <c r="O204" t="n">
        <v>0</v>
      </c>
      <c r="P204" t="n">
        <v>0</v>
      </c>
      <c r="Q204" t="n">
        <v>0</v>
      </c>
      <c r="R204" s="2" t="inlineStr"/>
    </row>
    <row r="205" ht="15" customHeight="1">
      <c r="A205" t="inlineStr">
        <is>
          <t>A 72215-2021</t>
        </is>
      </c>
      <c r="B205" s="1" t="n">
        <v>44544</v>
      </c>
      <c r="C205" s="1" t="n">
        <v>45937</v>
      </c>
      <c r="D205" t="inlineStr">
        <is>
          <t>JÄMTLANDS LÄN</t>
        </is>
      </c>
      <c r="E205" t="inlineStr">
        <is>
          <t>ÅRE</t>
        </is>
      </c>
      <c r="G205" t="n">
        <v>3.9</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45937</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70522-2021</t>
        </is>
      </c>
      <c r="B207" s="1" t="n">
        <v>44536.94172453704</v>
      </c>
      <c r="C207" s="1" t="n">
        <v>45937</v>
      </c>
      <c r="D207" t="inlineStr">
        <is>
          <t>JÄMTLANDS LÄN</t>
        </is>
      </c>
      <c r="E207" t="inlineStr">
        <is>
          <t>ÅRE</t>
        </is>
      </c>
      <c r="G207" t="n">
        <v>0.8</v>
      </c>
      <c r="H207" t="n">
        <v>0</v>
      </c>
      <c r="I207" t="n">
        <v>0</v>
      </c>
      <c r="J207" t="n">
        <v>0</v>
      </c>
      <c r="K207" t="n">
        <v>0</v>
      </c>
      <c r="L207" t="n">
        <v>0</v>
      </c>
      <c r="M207" t="n">
        <v>0</v>
      </c>
      <c r="N207" t="n">
        <v>0</v>
      </c>
      <c r="O207" t="n">
        <v>0</v>
      </c>
      <c r="P207" t="n">
        <v>0</v>
      </c>
      <c r="Q207" t="n">
        <v>0</v>
      </c>
      <c r="R207" s="2" t="inlineStr"/>
    </row>
    <row r="208" ht="15" customHeight="1">
      <c r="A208" t="inlineStr">
        <is>
          <t>A 70523-2021</t>
        </is>
      </c>
      <c r="B208" s="1" t="n">
        <v>44536.94177083333</v>
      </c>
      <c r="C208" s="1" t="n">
        <v>45937</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45937</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28881-2021</t>
        </is>
      </c>
      <c r="B210" s="1" t="n">
        <v>44357</v>
      </c>
      <c r="C210" s="1" t="n">
        <v>45937</v>
      </c>
      <c r="D210" t="inlineStr">
        <is>
          <t>JÄMTLANDS LÄN</t>
        </is>
      </c>
      <c r="E210" t="inlineStr">
        <is>
          <t>ÅRE</t>
        </is>
      </c>
      <c r="G210" t="n">
        <v>1.1</v>
      </c>
      <c r="H210" t="n">
        <v>0</v>
      </c>
      <c r="I210" t="n">
        <v>0</v>
      </c>
      <c r="J210" t="n">
        <v>0</v>
      </c>
      <c r="K210" t="n">
        <v>0</v>
      </c>
      <c r="L210" t="n">
        <v>0</v>
      </c>
      <c r="M210" t="n">
        <v>0</v>
      </c>
      <c r="N210" t="n">
        <v>0</v>
      </c>
      <c r="O210" t="n">
        <v>0</v>
      </c>
      <c r="P210" t="n">
        <v>0</v>
      </c>
      <c r="Q210" t="n">
        <v>0</v>
      </c>
      <c r="R210" s="2" t="inlineStr"/>
    </row>
    <row r="211" ht="15" customHeight="1">
      <c r="A211" t="inlineStr">
        <is>
          <t>A 2571-2022</t>
        </is>
      </c>
      <c r="B211" s="1" t="n">
        <v>44580</v>
      </c>
      <c r="C211" s="1" t="n">
        <v>45937</v>
      </c>
      <c r="D211" t="inlineStr">
        <is>
          <t>JÄMTLANDS LÄN</t>
        </is>
      </c>
      <c r="E211" t="inlineStr">
        <is>
          <t>ÅRE</t>
        </is>
      </c>
      <c r="G211" t="n">
        <v>3.7</v>
      </c>
      <c r="H211" t="n">
        <v>0</v>
      </c>
      <c r="I211" t="n">
        <v>0</v>
      </c>
      <c r="J211" t="n">
        <v>0</v>
      </c>
      <c r="K211" t="n">
        <v>0</v>
      </c>
      <c r="L211" t="n">
        <v>0</v>
      </c>
      <c r="M211" t="n">
        <v>0</v>
      </c>
      <c r="N211" t="n">
        <v>0</v>
      </c>
      <c r="O211" t="n">
        <v>0</v>
      </c>
      <c r="P211" t="n">
        <v>0</v>
      </c>
      <c r="Q211" t="n">
        <v>0</v>
      </c>
      <c r="R211" s="2" t="inlineStr"/>
    </row>
    <row r="212" ht="15" customHeight="1">
      <c r="A212" t="inlineStr">
        <is>
          <t>A 4838-2021</t>
        </is>
      </c>
      <c r="B212" s="1" t="n">
        <v>44225</v>
      </c>
      <c r="C212" s="1" t="n">
        <v>45937</v>
      </c>
      <c r="D212" t="inlineStr">
        <is>
          <t>JÄMTLANDS LÄN</t>
        </is>
      </c>
      <c r="E212" t="inlineStr">
        <is>
          <t>ÅRE</t>
        </is>
      </c>
      <c r="G212" t="n">
        <v>12.4</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45937</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45937</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45937</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14210-2021</t>
        </is>
      </c>
      <c r="B216" s="1" t="n">
        <v>44278.51930555556</v>
      </c>
      <c r="C216" s="1" t="n">
        <v>45937</v>
      </c>
      <c r="D216" t="inlineStr">
        <is>
          <t>JÄMTLANDS LÄN</t>
        </is>
      </c>
      <c r="E216" t="inlineStr">
        <is>
          <t>ÅRE</t>
        </is>
      </c>
      <c r="G216" t="n">
        <v>5.3</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45937</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16625-2021</t>
        </is>
      </c>
      <c r="B218" s="1" t="n">
        <v>44294</v>
      </c>
      <c r="C218" s="1" t="n">
        <v>45937</v>
      </c>
      <c r="D218" t="inlineStr">
        <is>
          <t>JÄMTLANDS LÄN</t>
        </is>
      </c>
      <c r="E218" t="inlineStr">
        <is>
          <t>ÅRE</t>
        </is>
      </c>
      <c r="F218" t="inlineStr">
        <is>
          <t>Övriga Aktiebolag</t>
        </is>
      </c>
      <c r="G218" t="n">
        <v>0.1</v>
      </c>
      <c r="H218" t="n">
        <v>0</v>
      </c>
      <c r="I218" t="n">
        <v>0</v>
      </c>
      <c r="J218" t="n">
        <v>0</v>
      </c>
      <c r="K218" t="n">
        <v>0</v>
      </c>
      <c r="L218" t="n">
        <v>0</v>
      </c>
      <c r="M218" t="n">
        <v>0</v>
      </c>
      <c r="N218" t="n">
        <v>0</v>
      </c>
      <c r="O218" t="n">
        <v>0</v>
      </c>
      <c r="P218" t="n">
        <v>0</v>
      </c>
      <c r="Q218" t="n">
        <v>0</v>
      </c>
      <c r="R218" s="2" t="inlineStr"/>
    </row>
    <row r="219" ht="15" customHeight="1">
      <c r="A219" t="inlineStr">
        <is>
          <t>A 58228-2021</t>
        </is>
      </c>
      <c r="B219" s="1" t="n">
        <v>44487</v>
      </c>
      <c r="C219" s="1" t="n">
        <v>45937</v>
      </c>
      <c r="D219" t="inlineStr">
        <is>
          <t>JÄMTLANDS LÄN</t>
        </is>
      </c>
      <c r="E219" t="inlineStr">
        <is>
          <t>ÅRE</t>
        </is>
      </c>
      <c r="G219" t="n">
        <v>46.2</v>
      </c>
      <c r="H219" t="n">
        <v>0</v>
      </c>
      <c r="I219" t="n">
        <v>0</v>
      </c>
      <c r="J219" t="n">
        <v>0</v>
      </c>
      <c r="K219" t="n">
        <v>0</v>
      </c>
      <c r="L219" t="n">
        <v>0</v>
      </c>
      <c r="M219" t="n">
        <v>0</v>
      </c>
      <c r="N219" t="n">
        <v>0</v>
      </c>
      <c r="O219" t="n">
        <v>0</v>
      </c>
      <c r="P219" t="n">
        <v>0</v>
      </c>
      <c r="Q219" t="n">
        <v>0</v>
      </c>
      <c r="R219" s="2" t="inlineStr"/>
    </row>
    <row r="220" ht="15" customHeight="1">
      <c r="A220" t="inlineStr">
        <is>
          <t>A 24585-2021</t>
        </is>
      </c>
      <c r="B220" s="1" t="n">
        <v>44337</v>
      </c>
      <c r="C220" s="1" t="n">
        <v>45937</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20816-2022</t>
        </is>
      </c>
      <c r="B221" s="1" t="n">
        <v>44700</v>
      </c>
      <c r="C221" s="1" t="n">
        <v>45937</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45937</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65439-2020</t>
        </is>
      </c>
      <c r="B223" s="1" t="n">
        <v>44173</v>
      </c>
      <c r="C223" s="1" t="n">
        <v>45937</v>
      </c>
      <c r="D223" t="inlineStr">
        <is>
          <t>JÄMTLANDS LÄN</t>
        </is>
      </c>
      <c r="E223" t="inlineStr">
        <is>
          <t>ÅRE</t>
        </is>
      </c>
      <c r="G223" t="n">
        <v>6.2</v>
      </c>
      <c r="H223" t="n">
        <v>0</v>
      </c>
      <c r="I223" t="n">
        <v>0</v>
      </c>
      <c r="J223" t="n">
        <v>0</v>
      </c>
      <c r="K223" t="n">
        <v>0</v>
      </c>
      <c r="L223" t="n">
        <v>0</v>
      </c>
      <c r="M223" t="n">
        <v>0</v>
      </c>
      <c r="N223" t="n">
        <v>0</v>
      </c>
      <c r="O223" t="n">
        <v>0</v>
      </c>
      <c r="P223" t="n">
        <v>0</v>
      </c>
      <c r="Q223" t="n">
        <v>0</v>
      </c>
      <c r="R223" s="2" t="inlineStr"/>
    </row>
    <row r="224" ht="15" customHeight="1">
      <c r="A224" t="inlineStr">
        <is>
          <t>A 33565-2022</t>
        </is>
      </c>
      <c r="B224" s="1" t="n">
        <v>44789</v>
      </c>
      <c r="C224" s="1" t="n">
        <v>45937</v>
      </c>
      <c r="D224" t="inlineStr">
        <is>
          <t>JÄMTLANDS LÄN</t>
        </is>
      </c>
      <c r="E224" t="inlineStr">
        <is>
          <t>ÅRE</t>
        </is>
      </c>
      <c r="G224" t="n">
        <v>0.6</v>
      </c>
      <c r="H224" t="n">
        <v>0</v>
      </c>
      <c r="I224" t="n">
        <v>0</v>
      </c>
      <c r="J224" t="n">
        <v>0</v>
      </c>
      <c r="K224" t="n">
        <v>0</v>
      </c>
      <c r="L224" t="n">
        <v>0</v>
      </c>
      <c r="M224" t="n">
        <v>0</v>
      </c>
      <c r="N224" t="n">
        <v>0</v>
      </c>
      <c r="O224" t="n">
        <v>0</v>
      </c>
      <c r="P224" t="n">
        <v>0</v>
      </c>
      <c r="Q224" t="n">
        <v>0</v>
      </c>
      <c r="R224" s="2" t="inlineStr"/>
    </row>
    <row r="225" ht="15" customHeight="1">
      <c r="A225" t="inlineStr">
        <is>
          <t>A 58758-2022</t>
        </is>
      </c>
      <c r="B225" s="1" t="n">
        <v>44903</v>
      </c>
      <c r="C225" s="1" t="n">
        <v>45937</v>
      </c>
      <c r="D225" t="inlineStr">
        <is>
          <t>JÄMTLANDS LÄN</t>
        </is>
      </c>
      <c r="E225" t="inlineStr">
        <is>
          <t>ÅRE</t>
        </is>
      </c>
      <c r="F225" t="inlineStr">
        <is>
          <t>Övriga Aktiebolag</t>
        </is>
      </c>
      <c r="G225" t="n">
        <v>42.9</v>
      </c>
      <c r="H225" t="n">
        <v>0</v>
      </c>
      <c r="I225" t="n">
        <v>0</v>
      </c>
      <c r="J225" t="n">
        <v>0</v>
      </c>
      <c r="K225" t="n">
        <v>0</v>
      </c>
      <c r="L225" t="n">
        <v>0</v>
      </c>
      <c r="M225" t="n">
        <v>0</v>
      </c>
      <c r="N225" t="n">
        <v>0</v>
      </c>
      <c r="O225" t="n">
        <v>0</v>
      </c>
      <c r="P225" t="n">
        <v>0</v>
      </c>
      <c r="Q225" t="n">
        <v>0</v>
      </c>
      <c r="R225" s="2" t="inlineStr"/>
    </row>
    <row r="226" ht="15" customHeight="1">
      <c r="A226" t="inlineStr">
        <is>
          <t>A 8668-2021</t>
        </is>
      </c>
      <c r="B226" s="1" t="n">
        <v>44246</v>
      </c>
      <c r="C226" s="1" t="n">
        <v>45937</v>
      </c>
      <c r="D226" t="inlineStr">
        <is>
          <t>JÄMTLANDS LÄN</t>
        </is>
      </c>
      <c r="E226" t="inlineStr">
        <is>
          <t>ÅRE</t>
        </is>
      </c>
      <c r="G226" t="n">
        <v>19.5</v>
      </c>
      <c r="H226" t="n">
        <v>0</v>
      </c>
      <c r="I226" t="n">
        <v>0</v>
      </c>
      <c r="J226" t="n">
        <v>0</v>
      </c>
      <c r="K226" t="n">
        <v>0</v>
      </c>
      <c r="L226" t="n">
        <v>0</v>
      </c>
      <c r="M226" t="n">
        <v>0</v>
      </c>
      <c r="N226" t="n">
        <v>0</v>
      </c>
      <c r="O226" t="n">
        <v>0</v>
      </c>
      <c r="P226" t="n">
        <v>0</v>
      </c>
      <c r="Q226" t="n">
        <v>0</v>
      </c>
      <c r="R226" s="2" t="inlineStr"/>
    </row>
    <row r="227" ht="15" customHeight="1">
      <c r="A227" t="inlineStr">
        <is>
          <t>A 40336-2021</t>
        </is>
      </c>
      <c r="B227" s="1" t="n">
        <v>44419</v>
      </c>
      <c r="C227" s="1" t="n">
        <v>45937</v>
      </c>
      <c r="D227" t="inlineStr">
        <is>
          <t>JÄMTLANDS LÄN</t>
        </is>
      </c>
      <c r="E227" t="inlineStr">
        <is>
          <t>ÅRE</t>
        </is>
      </c>
      <c r="G227" t="n">
        <v>1.1</v>
      </c>
      <c r="H227" t="n">
        <v>0</v>
      </c>
      <c r="I227" t="n">
        <v>0</v>
      </c>
      <c r="J227" t="n">
        <v>0</v>
      </c>
      <c r="K227" t="n">
        <v>0</v>
      </c>
      <c r="L227" t="n">
        <v>0</v>
      </c>
      <c r="M227" t="n">
        <v>0</v>
      </c>
      <c r="N227" t="n">
        <v>0</v>
      </c>
      <c r="O227" t="n">
        <v>0</v>
      </c>
      <c r="P227" t="n">
        <v>0</v>
      </c>
      <c r="Q227" t="n">
        <v>0</v>
      </c>
      <c r="R227" s="2" t="inlineStr"/>
    </row>
    <row r="228" ht="15" customHeight="1">
      <c r="A228" t="inlineStr">
        <is>
          <t>A 61622-2023</t>
        </is>
      </c>
      <c r="B228" s="1" t="n">
        <v>45261</v>
      </c>
      <c r="C228" s="1" t="n">
        <v>45937</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2230-2022</t>
        </is>
      </c>
      <c r="B229" s="1" t="n">
        <v>44578</v>
      </c>
      <c r="C229" s="1" t="n">
        <v>45937</v>
      </c>
      <c r="D229" t="inlineStr">
        <is>
          <t>JÄMTLANDS LÄN</t>
        </is>
      </c>
      <c r="E229" t="inlineStr">
        <is>
          <t>ÅRE</t>
        </is>
      </c>
      <c r="G229" t="n">
        <v>1.6</v>
      </c>
      <c r="H229" t="n">
        <v>0</v>
      </c>
      <c r="I229" t="n">
        <v>0</v>
      </c>
      <c r="J229" t="n">
        <v>0</v>
      </c>
      <c r="K229" t="n">
        <v>0</v>
      </c>
      <c r="L229" t="n">
        <v>0</v>
      </c>
      <c r="M229" t="n">
        <v>0</v>
      </c>
      <c r="N229" t="n">
        <v>0</v>
      </c>
      <c r="O229" t="n">
        <v>0</v>
      </c>
      <c r="P229" t="n">
        <v>0</v>
      </c>
      <c r="Q229" t="n">
        <v>0</v>
      </c>
      <c r="R229" s="2" t="inlineStr"/>
    </row>
    <row r="230" ht="15" customHeight="1">
      <c r="A230" t="inlineStr">
        <is>
          <t>A 25122-2022</t>
        </is>
      </c>
      <c r="B230" s="1" t="n">
        <v>44729</v>
      </c>
      <c r="C230" s="1" t="n">
        <v>45937</v>
      </c>
      <c r="D230" t="inlineStr">
        <is>
          <t>JÄMTLANDS LÄN</t>
        </is>
      </c>
      <c r="E230" t="inlineStr">
        <is>
          <t>ÅRE</t>
        </is>
      </c>
      <c r="G230" t="n">
        <v>0.3</v>
      </c>
      <c r="H230" t="n">
        <v>0</v>
      </c>
      <c r="I230" t="n">
        <v>0</v>
      </c>
      <c r="J230" t="n">
        <v>0</v>
      </c>
      <c r="K230" t="n">
        <v>0</v>
      </c>
      <c r="L230" t="n">
        <v>0</v>
      </c>
      <c r="M230" t="n">
        <v>0</v>
      </c>
      <c r="N230" t="n">
        <v>0</v>
      </c>
      <c r="O230" t="n">
        <v>0</v>
      </c>
      <c r="P230" t="n">
        <v>0</v>
      </c>
      <c r="Q230" t="n">
        <v>0</v>
      </c>
      <c r="R230" s="2" t="inlineStr"/>
    </row>
    <row r="231" ht="15" customHeight="1">
      <c r="A231" t="inlineStr">
        <is>
          <t>A 57594-2020</t>
        </is>
      </c>
      <c r="B231" s="1" t="n">
        <v>44140</v>
      </c>
      <c r="C231" s="1" t="n">
        <v>45937</v>
      </c>
      <c r="D231" t="inlineStr">
        <is>
          <t>JÄMTLANDS LÄN</t>
        </is>
      </c>
      <c r="E231" t="inlineStr">
        <is>
          <t>ÅRE</t>
        </is>
      </c>
      <c r="G231" t="n">
        <v>14.9</v>
      </c>
      <c r="H231" t="n">
        <v>0</v>
      </c>
      <c r="I231" t="n">
        <v>0</v>
      </c>
      <c r="J231" t="n">
        <v>0</v>
      </c>
      <c r="K231" t="n">
        <v>0</v>
      </c>
      <c r="L231" t="n">
        <v>0</v>
      </c>
      <c r="M231" t="n">
        <v>0</v>
      </c>
      <c r="N231" t="n">
        <v>0</v>
      </c>
      <c r="O231" t="n">
        <v>0</v>
      </c>
      <c r="P231" t="n">
        <v>0</v>
      </c>
      <c r="Q231" t="n">
        <v>0</v>
      </c>
      <c r="R231" s="2" t="inlineStr"/>
    </row>
    <row r="232" ht="15" customHeight="1">
      <c r="A232" t="inlineStr">
        <is>
          <t>A 56736-2023</t>
        </is>
      </c>
      <c r="B232" s="1" t="n">
        <v>45244</v>
      </c>
      <c r="C232" s="1" t="n">
        <v>45937</v>
      </c>
      <c r="D232" t="inlineStr">
        <is>
          <t>JÄMTLANDS LÄN</t>
        </is>
      </c>
      <c r="E232" t="inlineStr">
        <is>
          <t>ÅRE</t>
        </is>
      </c>
      <c r="F232" t="inlineStr">
        <is>
          <t>Övriga Aktiebolag</t>
        </is>
      </c>
      <c r="G232" t="n">
        <v>10.7</v>
      </c>
      <c r="H232" t="n">
        <v>0</v>
      </c>
      <c r="I232" t="n">
        <v>0</v>
      </c>
      <c r="J232" t="n">
        <v>0</v>
      </c>
      <c r="K232" t="n">
        <v>0</v>
      </c>
      <c r="L232" t="n">
        <v>0</v>
      </c>
      <c r="M232" t="n">
        <v>0</v>
      </c>
      <c r="N232" t="n">
        <v>0</v>
      </c>
      <c r="O232" t="n">
        <v>0</v>
      </c>
      <c r="P232" t="n">
        <v>0</v>
      </c>
      <c r="Q232" t="n">
        <v>0</v>
      </c>
      <c r="R232" s="2" t="inlineStr"/>
    </row>
    <row r="233" ht="15" customHeight="1">
      <c r="A233" t="inlineStr">
        <is>
          <t>A 59666-2023</t>
        </is>
      </c>
      <c r="B233" s="1" t="n">
        <v>45254.96476851852</v>
      </c>
      <c r="C233" s="1" t="n">
        <v>45937</v>
      </c>
      <c r="D233" t="inlineStr">
        <is>
          <t>JÄMTLANDS LÄN</t>
        </is>
      </c>
      <c r="E233" t="inlineStr">
        <is>
          <t>ÅRE</t>
        </is>
      </c>
      <c r="G233" t="n">
        <v>6.6</v>
      </c>
      <c r="H233" t="n">
        <v>0</v>
      </c>
      <c r="I233" t="n">
        <v>0</v>
      </c>
      <c r="J233" t="n">
        <v>0</v>
      </c>
      <c r="K233" t="n">
        <v>0</v>
      </c>
      <c r="L233" t="n">
        <v>0</v>
      </c>
      <c r="M233" t="n">
        <v>0</v>
      </c>
      <c r="N233" t="n">
        <v>0</v>
      </c>
      <c r="O233" t="n">
        <v>0</v>
      </c>
      <c r="P233" t="n">
        <v>0</v>
      </c>
      <c r="Q233" t="n">
        <v>0</v>
      </c>
      <c r="R233" s="2" t="inlineStr"/>
    </row>
    <row r="234" ht="15" customHeight="1">
      <c r="A234" t="inlineStr">
        <is>
          <t>A 36048-2023</t>
        </is>
      </c>
      <c r="B234" s="1" t="n">
        <v>45149.42868055555</v>
      </c>
      <c r="C234" s="1" t="n">
        <v>45937</v>
      </c>
      <c r="D234" t="inlineStr">
        <is>
          <t>JÄMTLANDS LÄN</t>
        </is>
      </c>
      <c r="E234" t="inlineStr">
        <is>
          <t>ÅRE</t>
        </is>
      </c>
      <c r="G234" t="n">
        <v>11.4</v>
      </c>
      <c r="H234" t="n">
        <v>0</v>
      </c>
      <c r="I234" t="n">
        <v>0</v>
      </c>
      <c r="J234" t="n">
        <v>0</v>
      </c>
      <c r="K234" t="n">
        <v>0</v>
      </c>
      <c r="L234" t="n">
        <v>0</v>
      </c>
      <c r="M234" t="n">
        <v>0</v>
      </c>
      <c r="N234" t="n">
        <v>0</v>
      </c>
      <c r="O234" t="n">
        <v>0</v>
      </c>
      <c r="P234" t="n">
        <v>0</v>
      </c>
      <c r="Q234" t="n">
        <v>0</v>
      </c>
      <c r="R234" s="2" t="inlineStr"/>
    </row>
    <row r="235" ht="15" customHeight="1">
      <c r="A235" t="inlineStr">
        <is>
          <t>A 12177-2025</t>
        </is>
      </c>
      <c r="B235" s="1" t="n">
        <v>45729.45119212963</v>
      </c>
      <c r="C235" s="1" t="n">
        <v>45937</v>
      </c>
      <c r="D235" t="inlineStr">
        <is>
          <t>JÄMTLANDS LÄN</t>
        </is>
      </c>
      <c r="E235" t="inlineStr">
        <is>
          <t>ÅRE</t>
        </is>
      </c>
      <c r="F235" t="inlineStr">
        <is>
          <t>Övriga Aktiebolag</t>
        </is>
      </c>
      <c r="G235" t="n">
        <v>13.2</v>
      </c>
      <c r="H235" t="n">
        <v>0</v>
      </c>
      <c r="I235" t="n">
        <v>0</v>
      </c>
      <c r="J235" t="n">
        <v>0</v>
      </c>
      <c r="K235" t="n">
        <v>0</v>
      </c>
      <c r="L235" t="n">
        <v>0</v>
      </c>
      <c r="M235" t="n">
        <v>0</v>
      </c>
      <c r="N235" t="n">
        <v>0</v>
      </c>
      <c r="O235" t="n">
        <v>0</v>
      </c>
      <c r="P235" t="n">
        <v>0</v>
      </c>
      <c r="Q235" t="n">
        <v>0</v>
      </c>
      <c r="R235" s="2" t="inlineStr"/>
    </row>
    <row r="236" ht="15" customHeight="1">
      <c r="A236" t="inlineStr">
        <is>
          <t>A 45279-2024</t>
        </is>
      </c>
      <c r="B236" s="1" t="n">
        <v>45576.37496527778</v>
      </c>
      <c r="C236" s="1" t="n">
        <v>45937</v>
      </c>
      <c r="D236" t="inlineStr">
        <is>
          <t>JÄMTLANDS LÄN</t>
        </is>
      </c>
      <c r="E236" t="inlineStr">
        <is>
          <t>ÅRE</t>
        </is>
      </c>
      <c r="G236" t="n">
        <v>17.2</v>
      </c>
      <c r="H236" t="n">
        <v>0</v>
      </c>
      <c r="I236" t="n">
        <v>0</v>
      </c>
      <c r="J236" t="n">
        <v>0</v>
      </c>
      <c r="K236" t="n">
        <v>0</v>
      </c>
      <c r="L236" t="n">
        <v>0</v>
      </c>
      <c r="M236" t="n">
        <v>0</v>
      </c>
      <c r="N236" t="n">
        <v>0</v>
      </c>
      <c r="O236" t="n">
        <v>0</v>
      </c>
      <c r="P236" t="n">
        <v>0</v>
      </c>
      <c r="Q236" t="n">
        <v>0</v>
      </c>
      <c r="R236" s="2" t="inlineStr"/>
    </row>
    <row r="237" ht="15" customHeight="1">
      <c r="A237" t="inlineStr">
        <is>
          <t>A 3154-2023</t>
        </is>
      </c>
      <c r="B237" s="1" t="n">
        <v>44946.56012731481</v>
      </c>
      <c r="C237" s="1" t="n">
        <v>45937</v>
      </c>
      <c r="D237" t="inlineStr">
        <is>
          <t>JÄMTLANDS LÄN</t>
        </is>
      </c>
      <c r="E237" t="inlineStr">
        <is>
          <t>ÅRE</t>
        </is>
      </c>
      <c r="G237" t="n">
        <v>5.1</v>
      </c>
      <c r="H237" t="n">
        <v>0</v>
      </c>
      <c r="I237" t="n">
        <v>0</v>
      </c>
      <c r="J237" t="n">
        <v>0</v>
      </c>
      <c r="K237" t="n">
        <v>0</v>
      </c>
      <c r="L237" t="n">
        <v>0</v>
      </c>
      <c r="M237" t="n">
        <v>0</v>
      </c>
      <c r="N237" t="n">
        <v>0</v>
      </c>
      <c r="O237" t="n">
        <v>0</v>
      </c>
      <c r="P237" t="n">
        <v>0</v>
      </c>
      <c r="Q237" t="n">
        <v>0</v>
      </c>
      <c r="R237" s="2" t="inlineStr"/>
    </row>
    <row r="238" ht="15" customHeight="1">
      <c r="A238" t="inlineStr">
        <is>
          <t>A 3204-2023</t>
        </is>
      </c>
      <c r="B238" s="1" t="n">
        <v>44946</v>
      </c>
      <c r="C238" s="1" t="n">
        <v>45937</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61295-2023</t>
        </is>
      </c>
      <c r="B239" s="1" t="n">
        <v>45264</v>
      </c>
      <c r="C239" s="1" t="n">
        <v>45937</v>
      </c>
      <c r="D239" t="inlineStr">
        <is>
          <t>JÄMTLANDS LÄN</t>
        </is>
      </c>
      <c r="E239" t="inlineStr">
        <is>
          <t>ÅRE</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52677-2024</t>
        </is>
      </c>
      <c r="B240" s="1" t="n">
        <v>45610.38560185185</v>
      </c>
      <c r="C240" s="1" t="n">
        <v>45937</v>
      </c>
      <c r="D240" t="inlineStr">
        <is>
          <t>JÄMTLANDS LÄN</t>
        </is>
      </c>
      <c r="E240" t="inlineStr">
        <is>
          <t>ÅRE</t>
        </is>
      </c>
      <c r="F240" t="inlineStr">
        <is>
          <t>Övriga Aktiebolag</t>
        </is>
      </c>
      <c r="G240" t="n">
        <v>3</v>
      </c>
      <c r="H240" t="n">
        <v>0</v>
      </c>
      <c r="I240" t="n">
        <v>0</v>
      </c>
      <c r="J240" t="n">
        <v>0</v>
      </c>
      <c r="K240" t="n">
        <v>0</v>
      </c>
      <c r="L240" t="n">
        <v>0</v>
      </c>
      <c r="M240" t="n">
        <v>0</v>
      </c>
      <c r="N240" t="n">
        <v>0</v>
      </c>
      <c r="O240" t="n">
        <v>0</v>
      </c>
      <c r="P240" t="n">
        <v>0</v>
      </c>
      <c r="Q240" t="n">
        <v>0</v>
      </c>
      <c r="R240" s="2" t="inlineStr"/>
    </row>
    <row r="241" ht="15" customHeight="1">
      <c r="A241" t="inlineStr">
        <is>
          <t>A 41266-2024</t>
        </is>
      </c>
      <c r="B241" s="1" t="n">
        <v>45559</v>
      </c>
      <c r="C241" s="1" t="n">
        <v>45937</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49313-2024</t>
        </is>
      </c>
      <c r="B242" s="1" t="n">
        <v>45595</v>
      </c>
      <c r="C242" s="1" t="n">
        <v>45937</v>
      </c>
      <c r="D242" t="inlineStr">
        <is>
          <t>JÄMTLANDS LÄN</t>
        </is>
      </c>
      <c r="E242" t="inlineStr">
        <is>
          <t>ÅRE</t>
        </is>
      </c>
      <c r="G242" t="n">
        <v>1.1</v>
      </c>
      <c r="H242" t="n">
        <v>0</v>
      </c>
      <c r="I242" t="n">
        <v>0</v>
      </c>
      <c r="J242" t="n">
        <v>0</v>
      </c>
      <c r="K242" t="n">
        <v>0</v>
      </c>
      <c r="L242" t="n">
        <v>0</v>
      </c>
      <c r="M242" t="n">
        <v>0</v>
      </c>
      <c r="N242" t="n">
        <v>0</v>
      </c>
      <c r="O242" t="n">
        <v>0</v>
      </c>
      <c r="P242" t="n">
        <v>0</v>
      </c>
      <c r="Q242" t="n">
        <v>0</v>
      </c>
      <c r="R242" s="2" t="inlineStr"/>
    </row>
    <row r="243" ht="15" customHeight="1">
      <c r="A243" t="inlineStr">
        <is>
          <t>A 29177-2024</t>
        </is>
      </c>
      <c r="B243" s="1" t="n">
        <v>45482.53859953704</v>
      </c>
      <c r="C243" s="1" t="n">
        <v>45937</v>
      </c>
      <c r="D243" t="inlineStr">
        <is>
          <t>JÄMTLANDS LÄN</t>
        </is>
      </c>
      <c r="E243" t="inlineStr">
        <is>
          <t>ÅRE</t>
        </is>
      </c>
      <c r="G243" t="n">
        <v>2.5</v>
      </c>
      <c r="H243" t="n">
        <v>0</v>
      </c>
      <c r="I243" t="n">
        <v>0</v>
      </c>
      <c r="J243" t="n">
        <v>0</v>
      </c>
      <c r="K243" t="n">
        <v>0</v>
      </c>
      <c r="L243" t="n">
        <v>0</v>
      </c>
      <c r="M243" t="n">
        <v>0</v>
      </c>
      <c r="N243" t="n">
        <v>0</v>
      </c>
      <c r="O243" t="n">
        <v>0</v>
      </c>
      <c r="P243" t="n">
        <v>0</v>
      </c>
      <c r="Q243" t="n">
        <v>0</v>
      </c>
      <c r="R243" s="2" t="inlineStr"/>
    </row>
    <row r="244" ht="15" customHeight="1">
      <c r="A244" t="inlineStr">
        <is>
          <t>A 54247-2024</t>
        </is>
      </c>
      <c r="B244" s="1" t="n">
        <v>45616</v>
      </c>
      <c r="C244" s="1" t="n">
        <v>45937</v>
      </c>
      <c r="D244" t="inlineStr">
        <is>
          <t>JÄMTLANDS LÄN</t>
        </is>
      </c>
      <c r="E244" t="inlineStr">
        <is>
          <t>ÅRE</t>
        </is>
      </c>
      <c r="G244" t="n">
        <v>0.5</v>
      </c>
      <c r="H244" t="n">
        <v>0</v>
      </c>
      <c r="I244" t="n">
        <v>0</v>
      </c>
      <c r="J244" t="n">
        <v>0</v>
      </c>
      <c r="K244" t="n">
        <v>0</v>
      </c>
      <c r="L244" t="n">
        <v>0</v>
      </c>
      <c r="M244" t="n">
        <v>0</v>
      </c>
      <c r="N244" t="n">
        <v>0</v>
      </c>
      <c r="O244" t="n">
        <v>0</v>
      </c>
      <c r="P244" t="n">
        <v>0</v>
      </c>
      <c r="Q244" t="n">
        <v>0</v>
      </c>
      <c r="R244" s="2" t="inlineStr"/>
    </row>
    <row r="245" ht="15" customHeight="1">
      <c r="A245" t="inlineStr">
        <is>
          <t>A 9775-2023</t>
        </is>
      </c>
      <c r="B245" s="1" t="n">
        <v>44984.60255787037</v>
      </c>
      <c r="C245" s="1" t="n">
        <v>45937</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22707-2021</t>
        </is>
      </c>
      <c r="B246" s="1" t="n">
        <v>44323</v>
      </c>
      <c r="C246" s="1" t="n">
        <v>45937</v>
      </c>
      <c r="D246" t="inlineStr">
        <is>
          <t>JÄMTLANDS LÄN</t>
        </is>
      </c>
      <c r="E246" t="inlineStr">
        <is>
          <t>ÅRE</t>
        </is>
      </c>
      <c r="G246" t="n">
        <v>6.3</v>
      </c>
      <c r="H246" t="n">
        <v>0</v>
      </c>
      <c r="I246" t="n">
        <v>0</v>
      </c>
      <c r="J246" t="n">
        <v>0</v>
      </c>
      <c r="K246" t="n">
        <v>0</v>
      </c>
      <c r="L246" t="n">
        <v>0</v>
      </c>
      <c r="M246" t="n">
        <v>0</v>
      </c>
      <c r="N246" t="n">
        <v>0</v>
      </c>
      <c r="O246" t="n">
        <v>0</v>
      </c>
      <c r="P246" t="n">
        <v>0</v>
      </c>
      <c r="Q246" t="n">
        <v>0</v>
      </c>
      <c r="R246" s="2" t="inlineStr"/>
    </row>
    <row r="247" ht="15" customHeight="1">
      <c r="A247" t="inlineStr">
        <is>
          <t>A 54904-2022</t>
        </is>
      </c>
      <c r="B247" s="1" t="n">
        <v>44886</v>
      </c>
      <c r="C247" s="1" t="n">
        <v>45937</v>
      </c>
      <c r="D247" t="inlineStr">
        <is>
          <t>JÄMTLANDS LÄN</t>
        </is>
      </c>
      <c r="E247" t="inlineStr">
        <is>
          <t>ÅRE</t>
        </is>
      </c>
      <c r="F247" t="inlineStr">
        <is>
          <t>Övriga Aktiebolag</t>
        </is>
      </c>
      <c r="G247" t="n">
        <v>12.2</v>
      </c>
      <c r="H247" t="n">
        <v>0</v>
      </c>
      <c r="I247" t="n">
        <v>0</v>
      </c>
      <c r="J247" t="n">
        <v>0</v>
      </c>
      <c r="K247" t="n">
        <v>0</v>
      </c>
      <c r="L247" t="n">
        <v>0</v>
      </c>
      <c r="M247" t="n">
        <v>0</v>
      </c>
      <c r="N247" t="n">
        <v>0</v>
      </c>
      <c r="O247" t="n">
        <v>0</v>
      </c>
      <c r="P247" t="n">
        <v>0</v>
      </c>
      <c r="Q247" t="n">
        <v>0</v>
      </c>
      <c r="R247" s="2" t="inlineStr"/>
    </row>
    <row r="248" ht="15" customHeight="1">
      <c r="A248" t="inlineStr">
        <is>
          <t>A 8983-2021</t>
        </is>
      </c>
      <c r="B248" s="1" t="n">
        <v>44231</v>
      </c>
      <c r="C248" s="1" t="n">
        <v>45937</v>
      </c>
      <c r="D248" t="inlineStr">
        <is>
          <t>JÄMTLANDS LÄN</t>
        </is>
      </c>
      <c r="E248" t="inlineStr">
        <is>
          <t>ÅRE</t>
        </is>
      </c>
      <c r="G248" t="n">
        <v>4.1</v>
      </c>
      <c r="H248" t="n">
        <v>0</v>
      </c>
      <c r="I248" t="n">
        <v>0</v>
      </c>
      <c r="J248" t="n">
        <v>0</v>
      </c>
      <c r="K248" t="n">
        <v>0</v>
      </c>
      <c r="L248" t="n">
        <v>0</v>
      </c>
      <c r="M248" t="n">
        <v>0</v>
      </c>
      <c r="N248" t="n">
        <v>0</v>
      </c>
      <c r="O248" t="n">
        <v>0</v>
      </c>
      <c r="P248" t="n">
        <v>0</v>
      </c>
      <c r="Q248" t="n">
        <v>0</v>
      </c>
      <c r="R248" s="2" t="inlineStr"/>
    </row>
    <row r="249" ht="15" customHeight="1">
      <c r="A249" t="inlineStr">
        <is>
          <t>A 21181-2025</t>
        </is>
      </c>
      <c r="B249" s="1" t="n">
        <v>45779.43696759259</v>
      </c>
      <c r="C249" s="1" t="n">
        <v>45937</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21167-2025</t>
        </is>
      </c>
      <c r="B250" s="1" t="n">
        <v>45779.41253472222</v>
      </c>
      <c r="C250" s="1" t="n">
        <v>45937</v>
      </c>
      <c r="D250" t="inlineStr">
        <is>
          <t>JÄMTLANDS LÄN</t>
        </is>
      </c>
      <c r="E250" t="inlineStr">
        <is>
          <t>ÅRE</t>
        </is>
      </c>
      <c r="G250" t="n">
        <v>0.4</v>
      </c>
      <c r="H250" t="n">
        <v>0</v>
      </c>
      <c r="I250" t="n">
        <v>0</v>
      </c>
      <c r="J250" t="n">
        <v>0</v>
      </c>
      <c r="K250" t="n">
        <v>0</v>
      </c>
      <c r="L250" t="n">
        <v>0</v>
      </c>
      <c r="M250" t="n">
        <v>0</v>
      </c>
      <c r="N250" t="n">
        <v>0</v>
      </c>
      <c r="O250" t="n">
        <v>0</v>
      </c>
      <c r="P250" t="n">
        <v>0</v>
      </c>
      <c r="Q250" t="n">
        <v>0</v>
      </c>
      <c r="R250" s="2" t="inlineStr"/>
    </row>
    <row r="251" ht="15" customHeight="1">
      <c r="A251" t="inlineStr">
        <is>
          <t>A 1460-2024</t>
        </is>
      </c>
      <c r="B251" s="1" t="n">
        <v>45303.93322916667</v>
      </c>
      <c r="C251" s="1" t="n">
        <v>45937</v>
      </c>
      <c r="D251" t="inlineStr">
        <is>
          <t>JÄMTLANDS LÄN</t>
        </is>
      </c>
      <c r="E251" t="inlineStr">
        <is>
          <t>ÅRE</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60426-2022</t>
        </is>
      </c>
      <c r="B252" s="1" t="n">
        <v>44911.32092592592</v>
      </c>
      <c r="C252" s="1" t="n">
        <v>45937</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45324-2024</t>
        </is>
      </c>
      <c r="B253" s="1" t="n">
        <v>45576</v>
      </c>
      <c r="C253" s="1" t="n">
        <v>45937</v>
      </c>
      <c r="D253" t="inlineStr">
        <is>
          <t>JÄMTLANDS LÄN</t>
        </is>
      </c>
      <c r="E253" t="inlineStr">
        <is>
          <t>ÅRE</t>
        </is>
      </c>
      <c r="G253" t="n">
        <v>9.4</v>
      </c>
      <c r="H253" t="n">
        <v>0</v>
      </c>
      <c r="I253" t="n">
        <v>0</v>
      </c>
      <c r="J253" t="n">
        <v>0</v>
      </c>
      <c r="K253" t="n">
        <v>0</v>
      </c>
      <c r="L253" t="n">
        <v>0</v>
      </c>
      <c r="M253" t="n">
        <v>0</v>
      </c>
      <c r="N253" t="n">
        <v>0</v>
      </c>
      <c r="O253" t="n">
        <v>0</v>
      </c>
      <c r="P253" t="n">
        <v>0</v>
      </c>
      <c r="Q253" t="n">
        <v>0</v>
      </c>
      <c r="R253" s="2" t="inlineStr"/>
    </row>
    <row r="254" ht="15" customHeight="1">
      <c r="A254" t="inlineStr">
        <is>
          <t>A 56556-2022</t>
        </is>
      </c>
      <c r="B254" s="1" t="n">
        <v>44893.48930555556</v>
      </c>
      <c r="C254" s="1" t="n">
        <v>45937</v>
      </c>
      <c r="D254" t="inlineStr">
        <is>
          <t>JÄMTLANDS LÄN</t>
        </is>
      </c>
      <c r="E254" t="inlineStr">
        <is>
          <t>ÅRE</t>
        </is>
      </c>
      <c r="F254" t="inlineStr">
        <is>
          <t>Övriga Aktiebolag</t>
        </is>
      </c>
      <c r="G254" t="n">
        <v>4.9</v>
      </c>
      <c r="H254" t="n">
        <v>0</v>
      </c>
      <c r="I254" t="n">
        <v>0</v>
      </c>
      <c r="J254" t="n">
        <v>0</v>
      </c>
      <c r="K254" t="n">
        <v>0</v>
      </c>
      <c r="L254" t="n">
        <v>0</v>
      </c>
      <c r="M254" t="n">
        <v>0</v>
      </c>
      <c r="N254" t="n">
        <v>0</v>
      </c>
      <c r="O254" t="n">
        <v>0</v>
      </c>
      <c r="P254" t="n">
        <v>0</v>
      </c>
      <c r="Q254" t="n">
        <v>0</v>
      </c>
      <c r="R254" s="2" t="inlineStr"/>
    </row>
    <row r="255" ht="15" customHeight="1">
      <c r="A255" t="inlineStr">
        <is>
          <t>A 38268-2024</t>
        </is>
      </c>
      <c r="B255" s="1" t="n">
        <v>45545.59842592593</v>
      </c>
      <c r="C255" s="1" t="n">
        <v>45937</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45937</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47076-2024</t>
        </is>
      </c>
      <c r="B257" s="1" t="n">
        <v>45586.50180555556</v>
      </c>
      <c r="C257" s="1" t="n">
        <v>45937</v>
      </c>
      <c r="D257" t="inlineStr">
        <is>
          <t>JÄMTLANDS LÄN</t>
        </is>
      </c>
      <c r="E257" t="inlineStr">
        <is>
          <t>ÅRE</t>
        </is>
      </c>
      <c r="G257" t="n">
        <v>6.5</v>
      </c>
      <c r="H257" t="n">
        <v>0</v>
      </c>
      <c r="I257" t="n">
        <v>0</v>
      </c>
      <c r="J257" t="n">
        <v>0</v>
      </c>
      <c r="K257" t="n">
        <v>0</v>
      </c>
      <c r="L257" t="n">
        <v>0</v>
      </c>
      <c r="M257" t="n">
        <v>0</v>
      </c>
      <c r="N257" t="n">
        <v>0</v>
      </c>
      <c r="O257" t="n">
        <v>0</v>
      </c>
      <c r="P257" t="n">
        <v>0</v>
      </c>
      <c r="Q257" t="n">
        <v>0</v>
      </c>
      <c r="R257" s="2" t="inlineStr"/>
    </row>
    <row r="258" ht="15" customHeight="1">
      <c r="A258" t="inlineStr">
        <is>
          <t>A 57102-2024</t>
        </is>
      </c>
      <c r="B258" s="1" t="n">
        <v>45629.35856481481</v>
      </c>
      <c r="C258" s="1" t="n">
        <v>45937</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32758-2022</t>
        </is>
      </c>
      <c r="B259" s="1" t="n">
        <v>44783</v>
      </c>
      <c r="C259" s="1" t="n">
        <v>45937</v>
      </c>
      <c r="D259" t="inlineStr">
        <is>
          <t>JÄMTLANDS LÄN</t>
        </is>
      </c>
      <c r="E259" t="inlineStr">
        <is>
          <t>ÅRE</t>
        </is>
      </c>
      <c r="G259" t="n">
        <v>8.4</v>
      </c>
      <c r="H259" t="n">
        <v>0</v>
      </c>
      <c r="I259" t="n">
        <v>0</v>
      </c>
      <c r="J259" t="n">
        <v>0</v>
      </c>
      <c r="K259" t="n">
        <v>0</v>
      </c>
      <c r="L259" t="n">
        <v>0</v>
      </c>
      <c r="M259" t="n">
        <v>0</v>
      </c>
      <c r="N259" t="n">
        <v>0</v>
      </c>
      <c r="O259" t="n">
        <v>0</v>
      </c>
      <c r="P259" t="n">
        <v>0</v>
      </c>
      <c r="Q259" t="n">
        <v>0</v>
      </c>
      <c r="R259" s="2" t="inlineStr"/>
    </row>
    <row r="260" ht="15" customHeight="1">
      <c r="A260" t="inlineStr">
        <is>
          <t>A 59352-2021</t>
        </is>
      </c>
      <c r="B260" s="1" t="n">
        <v>44490</v>
      </c>
      <c r="C260" s="1" t="n">
        <v>45937</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6358-2025</t>
        </is>
      </c>
      <c r="B261" s="1" t="n">
        <v>45699.36491898148</v>
      </c>
      <c r="C261" s="1" t="n">
        <v>45937</v>
      </c>
      <c r="D261" t="inlineStr">
        <is>
          <t>JÄMTLANDS LÄN</t>
        </is>
      </c>
      <c r="E261" t="inlineStr">
        <is>
          <t>ÅRE</t>
        </is>
      </c>
      <c r="G261" t="n">
        <v>5.6</v>
      </c>
      <c r="H261" t="n">
        <v>0</v>
      </c>
      <c r="I261" t="n">
        <v>0</v>
      </c>
      <c r="J261" t="n">
        <v>0</v>
      </c>
      <c r="K261" t="n">
        <v>0</v>
      </c>
      <c r="L261" t="n">
        <v>0</v>
      </c>
      <c r="M261" t="n">
        <v>0</v>
      </c>
      <c r="N261" t="n">
        <v>0</v>
      </c>
      <c r="O261" t="n">
        <v>0</v>
      </c>
      <c r="P261" t="n">
        <v>0</v>
      </c>
      <c r="Q261" t="n">
        <v>0</v>
      </c>
      <c r="R261" s="2" t="inlineStr"/>
    </row>
    <row r="262" ht="15" customHeight="1">
      <c r="A262" t="inlineStr">
        <is>
          <t>A 18253-2023</t>
        </is>
      </c>
      <c r="B262" s="1" t="n">
        <v>45041.48034722222</v>
      </c>
      <c r="C262" s="1" t="n">
        <v>45937</v>
      </c>
      <c r="D262" t="inlineStr">
        <is>
          <t>JÄMTLANDS LÄN</t>
        </is>
      </c>
      <c r="E262" t="inlineStr">
        <is>
          <t>ÅRE</t>
        </is>
      </c>
      <c r="G262" t="n">
        <v>1.3</v>
      </c>
      <c r="H262" t="n">
        <v>0</v>
      </c>
      <c r="I262" t="n">
        <v>0</v>
      </c>
      <c r="J262" t="n">
        <v>0</v>
      </c>
      <c r="K262" t="n">
        <v>0</v>
      </c>
      <c r="L262" t="n">
        <v>0</v>
      </c>
      <c r="M262" t="n">
        <v>0</v>
      </c>
      <c r="N262" t="n">
        <v>0</v>
      </c>
      <c r="O262" t="n">
        <v>0</v>
      </c>
      <c r="P262" t="n">
        <v>0</v>
      </c>
      <c r="Q262" t="n">
        <v>0</v>
      </c>
      <c r="R262" s="2" t="inlineStr"/>
    </row>
    <row r="263" ht="15" customHeight="1">
      <c r="A263" t="inlineStr">
        <is>
          <t>A 6113-2024</t>
        </is>
      </c>
      <c r="B263" s="1" t="n">
        <v>45337</v>
      </c>
      <c r="C263" s="1" t="n">
        <v>45937</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8798-2025</t>
        </is>
      </c>
      <c r="B264" s="1" t="n">
        <v>45712</v>
      </c>
      <c r="C264" s="1" t="n">
        <v>45937</v>
      </c>
      <c r="D264" t="inlineStr">
        <is>
          <t>JÄMTLANDS LÄN</t>
        </is>
      </c>
      <c r="E264" t="inlineStr">
        <is>
          <t>ÅRE</t>
        </is>
      </c>
      <c r="G264" t="n">
        <v>1.6</v>
      </c>
      <c r="H264" t="n">
        <v>0</v>
      </c>
      <c r="I264" t="n">
        <v>0</v>
      </c>
      <c r="J264" t="n">
        <v>0</v>
      </c>
      <c r="K264" t="n">
        <v>0</v>
      </c>
      <c r="L264" t="n">
        <v>0</v>
      </c>
      <c r="M264" t="n">
        <v>0</v>
      </c>
      <c r="N264" t="n">
        <v>0</v>
      </c>
      <c r="O264" t="n">
        <v>0</v>
      </c>
      <c r="P264" t="n">
        <v>0</v>
      </c>
      <c r="Q264" t="n">
        <v>0</v>
      </c>
      <c r="R264" s="2" t="inlineStr"/>
    </row>
    <row r="265" ht="15" customHeight="1">
      <c r="A265" t="inlineStr">
        <is>
          <t>A 61331-2021</t>
        </is>
      </c>
      <c r="B265" s="1" t="n">
        <v>44498</v>
      </c>
      <c r="C265" s="1" t="n">
        <v>45937</v>
      </c>
      <c r="D265" t="inlineStr">
        <is>
          <t>JÄMTLANDS LÄN</t>
        </is>
      </c>
      <c r="E265" t="inlineStr">
        <is>
          <t>ÅRE</t>
        </is>
      </c>
      <c r="G265" t="n">
        <v>8.4</v>
      </c>
      <c r="H265" t="n">
        <v>0</v>
      </c>
      <c r="I265" t="n">
        <v>0</v>
      </c>
      <c r="J265" t="n">
        <v>0</v>
      </c>
      <c r="K265" t="n">
        <v>0</v>
      </c>
      <c r="L265" t="n">
        <v>0</v>
      </c>
      <c r="M265" t="n">
        <v>0</v>
      </c>
      <c r="N265" t="n">
        <v>0</v>
      </c>
      <c r="O265" t="n">
        <v>0</v>
      </c>
      <c r="P265" t="n">
        <v>0</v>
      </c>
      <c r="Q265" t="n">
        <v>0</v>
      </c>
      <c r="R265" s="2" t="inlineStr"/>
    </row>
    <row r="266" ht="15" customHeight="1">
      <c r="A266" t="inlineStr">
        <is>
          <t>A 33625-2022</t>
        </is>
      </c>
      <c r="B266" s="1" t="n">
        <v>44789</v>
      </c>
      <c r="C266" s="1" t="n">
        <v>45937</v>
      </c>
      <c r="D266" t="inlineStr">
        <is>
          <t>JÄMTLANDS LÄN</t>
        </is>
      </c>
      <c r="E266" t="inlineStr">
        <is>
          <t>ÅRE</t>
        </is>
      </c>
      <c r="G266" t="n">
        <v>20.7</v>
      </c>
      <c r="H266" t="n">
        <v>0</v>
      </c>
      <c r="I266" t="n">
        <v>0</v>
      </c>
      <c r="J266" t="n">
        <v>0</v>
      </c>
      <c r="K266" t="n">
        <v>0</v>
      </c>
      <c r="L266" t="n">
        <v>0</v>
      </c>
      <c r="M266" t="n">
        <v>0</v>
      </c>
      <c r="N266" t="n">
        <v>0</v>
      </c>
      <c r="O266" t="n">
        <v>0</v>
      </c>
      <c r="P266" t="n">
        <v>0</v>
      </c>
      <c r="Q266" t="n">
        <v>0</v>
      </c>
      <c r="R266" s="2" t="inlineStr"/>
    </row>
    <row r="267" ht="15" customHeight="1">
      <c r="A267" t="inlineStr">
        <is>
          <t>A 59753-2023</t>
        </is>
      </c>
      <c r="B267" s="1" t="n">
        <v>45254</v>
      </c>
      <c r="C267" s="1" t="n">
        <v>45937</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12286-2023</t>
        </is>
      </c>
      <c r="B268" s="1" t="n">
        <v>44998.72263888889</v>
      </c>
      <c r="C268" s="1" t="n">
        <v>45937</v>
      </c>
      <c r="D268" t="inlineStr">
        <is>
          <t>JÄMTLANDS LÄN</t>
        </is>
      </c>
      <c r="E268" t="inlineStr">
        <is>
          <t>ÅRE</t>
        </is>
      </c>
      <c r="G268" t="n">
        <v>7.3</v>
      </c>
      <c r="H268" t="n">
        <v>0</v>
      </c>
      <c r="I268" t="n">
        <v>0</v>
      </c>
      <c r="J268" t="n">
        <v>0</v>
      </c>
      <c r="K268" t="n">
        <v>0</v>
      </c>
      <c r="L268" t="n">
        <v>0</v>
      </c>
      <c r="M268" t="n">
        <v>0</v>
      </c>
      <c r="N268" t="n">
        <v>0</v>
      </c>
      <c r="O268" t="n">
        <v>0</v>
      </c>
      <c r="P268" t="n">
        <v>0</v>
      </c>
      <c r="Q268" t="n">
        <v>0</v>
      </c>
      <c r="R268" s="2" t="inlineStr"/>
    </row>
    <row r="269" ht="15" customHeight="1">
      <c r="A269" t="inlineStr">
        <is>
          <t>A 40339-2021</t>
        </is>
      </c>
      <c r="B269" s="1" t="n">
        <v>44419</v>
      </c>
      <c r="C269" s="1" t="n">
        <v>45937</v>
      </c>
      <c r="D269" t="inlineStr">
        <is>
          <t>JÄMTLANDS LÄN</t>
        </is>
      </c>
      <c r="E269" t="inlineStr">
        <is>
          <t>ÅRE</t>
        </is>
      </c>
      <c r="G269" t="n">
        <v>6.4</v>
      </c>
      <c r="H269" t="n">
        <v>0</v>
      </c>
      <c r="I269" t="n">
        <v>0</v>
      </c>
      <c r="J269" t="n">
        <v>0</v>
      </c>
      <c r="K269" t="n">
        <v>0</v>
      </c>
      <c r="L269" t="n">
        <v>0</v>
      </c>
      <c r="M269" t="n">
        <v>0</v>
      </c>
      <c r="N269" t="n">
        <v>0</v>
      </c>
      <c r="O269" t="n">
        <v>0</v>
      </c>
      <c r="P269" t="n">
        <v>0</v>
      </c>
      <c r="Q269" t="n">
        <v>0</v>
      </c>
      <c r="R269" s="2" t="inlineStr"/>
    </row>
    <row r="270" ht="15" customHeight="1">
      <c r="A270" t="inlineStr">
        <is>
          <t>A 45105-2024</t>
        </is>
      </c>
      <c r="B270" s="1" t="n">
        <v>45575.5909837963</v>
      </c>
      <c r="C270" s="1" t="n">
        <v>45937</v>
      </c>
      <c r="D270" t="inlineStr">
        <is>
          <t>JÄMTLANDS LÄN</t>
        </is>
      </c>
      <c r="E270" t="inlineStr">
        <is>
          <t>ÅRE</t>
        </is>
      </c>
      <c r="F270" t="inlineStr">
        <is>
          <t>Övriga Aktiebolag</t>
        </is>
      </c>
      <c r="G270" t="n">
        <v>5</v>
      </c>
      <c r="H270" t="n">
        <v>0</v>
      </c>
      <c r="I270" t="n">
        <v>0</v>
      </c>
      <c r="J270" t="n">
        <v>0</v>
      </c>
      <c r="K270" t="n">
        <v>0</v>
      </c>
      <c r="L270" t="n">
        <v>0</v>
      </c>
      <c r="M270" t="n">
        <v>0</v>
      </c>
      <c r="N270" t="n">
        <v>0</v>
      </c>
      <c r="O270" t="n">
        <v>0</v>
      </c>
      <c r="P270" t="n">
        <v>0</v>
      </c>
      <c r="Q270" t="n">
        <v>0</v>
      </c>
      <c r="R270" s="2" t="inlineStr"/>
    </row>
    <row r="271" ht="15" customHeight="1">
      <c r="A271" t="inlineStr">
        <is>
          <t>A 33230-2024</t>
        </is>
      </c>
      <c r="B271" s="1" t="n">
        <v>45518.57418981481</v>
      </c>
      <c r="C271" s="1" t="n">
        <v>45937</v>
      </c>
      <c r="D271" t="inlineStr">
        <is>
          <t>JÄMTLANDS LÄN</t>
        </is>
      </c>
      <c r="E271" t="inlineStr">
        <is>
          <t>ÅRE</t>
        </is>
      </c>
      <c r="G271" t="n">
        <v>2.4</v>
      </c>
      <c r="H271" t="n">
        <v>0</v>
      </c>
      <c r="I271" t="n">
        <v>0</v>
      </c>
      <c r="J271" t="n">
        <v>0</v>
      </c>
      <c r="K271" t="n">
        <v>0</v>
      </c>
      <c r="L271" t="n">
        <v>0</v>
      </c>
      <c r="M271" t="n">
        <v>0</v>
      </c>
      <c r="N271" t="n">
        <v>0</v>
      </c>
      <c r="O271" t="n">
        <v>0</v>
      </c>
      <c r="P271" t="n">
        <v>0</v>
      </c>
      <c r="Q271" t="n">
        <v>0</v>
      </c>
      <c r="R271" s="2" t="inlineStr"/>
    </row>
    <row r="272" ht="15" customHeight="1">
      <c r="A272" t="inlineStr">
        <is>
          <t>A 13301-2024</t>
        </is>
      </c>
      <c r="B272" s="1" t="n">
        <v>45386</v>
      </c>
      <c r="C272" s="1" t="n">
        <v>45937</v>
      </c>
      <c r="D272" t="inlineStr">
        <is>
          <t>JÄMTLANDS LÄN</t>
        </is>
      </c>
      <c r="E272" t="inlineStr">
        <is>
          <t>ÅRE</t>
        </is>
      </c>
      <c r="G272" t="n">
        <v>9</v>
      </c>
      <c r="H272" t="n">
        <v>0</v>
      </c>
      <c r="I272" t="n">
        <v>0</v>
      </c>
      <c r="J272" t="n">
        <v>0</v>
      </c>
      <c r="K272" t="n">
        <v>0</v>
      </c>
      <c r="L272" t="n">
        <v>0</v>
      </c>
      <c r="M272" t="n">
        <v>0</v>
      </c>
      <c r="N272" t="n">
        <v>0</v>
      </c>
      <c r="O272" t="n">
        <v>0</v>
      </c>
      <c r="P272" t="n">
        <v>0</v>
      </c>
      <c r="Q272" t="n">
        <v>0</v>
      </c>
      <c r="R272" s="2" t="inlineStr"/>
    </row>
    <row r="273" ht="15" customHeight="1">
      <c r="A273" t="inlineStr">
        <is>
          <t>A 43446-2023</t>
        </is>
      </c>
      <c r="B273" s="1" t="n">
        <v>45184.35760416667</v>
      </c>
      <c r="C273" s="1" t="n">
        <v>45937</v>
      </c>
      <c r="D273" t="inlineStr">
        <is>
          <t>JÄMTLANDS LÄN</t>
        </is>
      </c>
      <c r="E273" t="inlineStr">
        <is>
          <t>ÅRE</t>
        </is>
      </c>
      <c r="F273" t="inlineStr">
        <is>
          <t>Övriga Aktiebolag</t>
        </is>
      </c>
      <c r="G273" t="n">
        <v>6.4</v>
      </c>
      <c r="H273" t="n">
        <v>0</v>
      </c>
      <c r="I273" t="n">
        <v>0</v>
      </c>
      <c r="J273" t="n">
        <v>0</v>
      </c>
      <c r="K273" t="n">
        <v>0</v>
      </c>
      <c r="L273" t="n">
        <v>0</v>
      </c>
      <c r="M273" t="n">
        <v>0</v>
      </c>
      <c r="N273" t="n">
        <v>0</v>
      </c>
      <c r="O273" t="n">
        <v>0</v>
      </c>
      <c r="P273" t="n">
        <v>0</v>
      </c>
      <c r="Q273" t="n">
        <v>0</v>
      </c>
      <c r="R273" s="2" t="inlineStr"/>
    </row>
    <row r="274" ht="15" customHeight="1">
      <c r="A274" t="inlineStr">
        <is>
          <t>A 8576-2024</t>
        </is>
      </c>
      <c r="B274" s="1" t="n">
        <v>45355</v>
      </c>
      <c r="C274" s="1" t="n">
        <v>45937</v>
      </c>
      <c r="D274" t="inlineStr">
        <is>
          <t>JÄMTLANDS LÄN</t>
        </is>
      </c>
      <c r="E274" t="inlineStr">
        <is>
          <t>ÅRE</t>
        </is>
      </c>
      <c r="G274" t="n">
        <v>21.7</v>
      </c>
      <c r="H274" t="n">
        <v>0</v>
      </c>
      <c r="I274" t="n">
        <v>0</v>
      </c>
      <c r="J274" t="n">
        <v>0</v>
      </c>
      <c r="K274" t="n">
        <v>0</v>
      </c>
      <c r="L274" t="n">
        <v>0</v>
      </c>
      <c r="M274" t="n">
        <v>0</v>
      </c>
      <c r="N274" t="n">
        <v>0</v>
      </c>
      <c r="O274" t="n">
        <v>0</v>
      </c>
      <c r="P274" t="n">
        <v>0</v>
      </c>
      <c r="Q274" t="n">
        <v>0</v>
      </c>
      <c r="R274" s="2" t="inlineStr"/>
    </row>
    <row r="275" ht="15" customHeight="1">
      <c r="A275" t="inlineStr">
        <is>
          <t>A 57158-2021</t>
        </is>
      </c>
      <c r="B275" s="1" t="n">
        <v>44482</v>
      </c>
      <c r="C275" s="1" t="n">
        <v>45937</v>
      </c>
      <c r="D275" t="inlineStr">
        <is>
          <t>JÄMTLANDS LÄN</t>
        </is>
      </c>
      <c r="E275" t="inlineStr">
        <is>
          <t>ÅRE</t>
        </is>
      </c>
      <c r="G275" t="n">
        <v>0.4</v>
      </c>
      <c r="H275" t="n">
        <v>0</v>
      </c>
      <c r="I275" t="n">
        <v>0</v>
      </c>
      <c r="J275" t="n">
        <v>0</v>
      </c>
      <c r="K275" t="n">
        <v>0</v>
      </c>
      <c r="L275" t="n">
        <v>0</v>
      </c>
      <c r="M275" t="n">
        <v>0</v>
      </c>
      <c r="N275" t="n">
        <v>0</v>
      </c>
      <c r="O275" t="n">
        <v>0</v>
      </c>
      <c r="P275" t="n">
        <v>0</v>
      </c>
      <c r="Q275" t="n">
        <v>0</v>
      </c>
      <c r="R275" s="2" t="inlineStr"/>
    </row>
    <row r="276" ht="15" customHeight="1">
      <c r="A276" t="inlineStr">
        <is>
          <t>A 54615-2022</t>
        </is>
      </c>
      <c r="B276" s="1" t="n">
        <v>44883.36125</v>
      </c>
      <c r="C276" s="1" t="n">
        <v>45937</v>
      </c>
      <c r="D276" t="inlineStr">
        <is>
          <t>JÄMTLANDS LÄN</t>
        </is>
      </c>
      <c r="E276" t="inlineStr">
        <is>
          <t>ÅRE</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54175-2023</t>
        </is>
      </c>
      <c r="B277" s="1" t="n">
        <v>45232</v>
      </c>
      <c r="C277" s="1" t="n">
        <v>45937</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43449-2023</t>
        </is>
      </c>
      <c r="B278" s="1" t="n">
        <v>45184.36697916667</v>
      </c>
      <c r="C278" s="1" t="n">
        <v>45937</v>
      </c>
      <c r="D278" t="inlineStr">
        <is>
          <t>JÄMTLANDS LÄN</t>
        </is>
      </c>
      <c r="E278" t="inlineStr">
        <is>
          <t>ÅRE</t>
        </is>
      </c>
      <c r="F278" t="inlineStr">
        <is>
          <t>Övriga Aktiebolag</t>
        </is>
      </c>
      <c r="G278" t="n">
        <v>3.1</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45937</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49818-2022</t>
        </is>
      </c>
      <c r="B280" s="1" t="n">
        <v>44859</v>
      </c>
      <c r="C280" s="1" t="n">
        <v>45937</v>
      </c>
      <c r="D280" t="inlineStr">
        <is>
          <t>JÄMTLANDS LÄN</t>
        </is>
      </c>
      <c r="E280" t="inlineStr">
        <is>
          <t>ÅRE</t>
        </is>
      </c>
      <c r="G280" t="n">
        <v>63</v>
      </c>
      <c r="H280" t="n">
        <v>0</v>
      </c>
      <c r="I280" t="n">
        <v>0</v>
      </c>
      <c r="J280" t="n">
        <v>0</v>
      </c>
      <c r="K280" t="n">
        <v>0</v>
      </c>
      <c r="L280" t="n">
        <v>0</v>
      </c>
      <c r="M280" t="n">
        <v>0</v>
      </c>
      <c r="N280" t="n">
        <v>0</v>
      </c>
      <c r="O280" t="n">
        <v>0</v>
      </c>
      <c r="P280" t="n">
        <v>0</v>
      </c>
      <c r="Q280" t="n">
        <v>0</v>
      </c>
      <c r="R280" s="2" t="inlineStr"/>
    </row>
    <row r="281" ht="15" customHeight="1">
      <c r="A281" t="inlineStr">
        <is>
          <t>A 11112-2022</t>
        </is>
      </c>
      <c r="B281" s="1" t="n">
        <v>44628</v>
      </c>
      <c r="C281" s="1" t="n">
        <v>45937</v>
      </c>
      <c r="D281" t="inlineStr">
        <is>
          <t>JÄMTLANDS LÄN</t>
        </is>
      </c>
      <c r="E281" t="inlineStr">
        <is>
          <t>ÅRE</t>
        </is>
      </c>
      <c r="G281" t="n">
        <v>6.6</v>
      </c>
      <c r="H281" t="n">
        <v>0</v>
      </c>
      <c r="I281" t="n">
        <v>0</v>
      </c>
      <c r="J281" t="n">
        <v>0</v>
      </c>
      <c r="K281" t="n">
        <v>0</v>
      </c>
      <c r="L281" t="n">
        <v>0</v>
      </c>
      <c r="M281" t="n">
        <v>0</v>
      </c>
      <c r="N281" t="n">
        <v>0</v>
      </c>
      <c r="O281" t="n">
        <v>0</v>
      </c>
      <c r="P281" t="n">
        <v>0</v>
      </c>
      <c r="Q281" t="n">
        <v>0</v>
      </c>
      <c r="R281" s="2" t="inlineStr"/>
    </row>
    <row r="282" ht="15" customHeight="1">
      <c r="A282" t="inlineStr">
        <is>
          <t>A 34231-2023</t>
        </is>
      </c>
      <c r="B282" s="1" t="n">
        <v>45127</v>
      </c>
      <c r="C282" s="1" t="n">
        <v>45937</v>
      </c>
      <c r="D282" t="inlineStr">
        <is>
          <t>JÄMTLANDS LÄN</t>
        </is>
      </c>
      <c r="E282" t="inlineStr">
        <is>
          <t>ÅRE</t>
        </is>
      </c>
      <c r="G282" t="n">
        <v>18.3</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45937</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45937</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45937</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6232-2021</t>
        </is>
      </c>
      <c r="B286" s="1" t="n">
        <v>44231</v>
      </c>
      <c r="C286" s="1" t="n">
        <v>45937</v>
      </c>
      <c r="D286" t="inlineStr">
        <is>
          <t>JÄMTLANDS LÄN</t>
        </is>
      </c>
      <c r="E286" t="inlineStr">
        <is>
          <t>ÅRE</t>
        </is>
      </c>
      <c r="G286" t="n">
        <v>4.8</v>
      </c>
      <c r="H286" t="n">
        <v>0</v>
      </c>
      <c r="I286" t="n">
        <v>0</v>
      </c>
      <c r="J286" t="n">
        <v>0</v>
      </c>
      <c r="K286" t="n">
        <v>0</v>
      </c>
      <c r="L286" t="n">
        <v>0</v>
      </c>
      <c r="M286" t="n">
        <v>0</v>
      </c>
      <c r="N286" t="n">
        <v>0</v>
      </c>
      <c r="O286" t="n">
        <v>0</v>
      </c>
      <c r="P286" t="n">
        <v>0</v>
      </c>
      <c r="Q286" t="n">
        <v>0</v>
      </c>
      <c r="R286" s="2" t="inlineStr"/>
    </row>
    <row r="287" ht="15" customHeight="1">
      <c r="A287" t="inlineStr">
        <is>
          <t>A 56352-2020</t>
        </is>
      </c>
      <c r="B287" s="1" t="n">
        <v>44135</v>
      </c>
      <c r="C287" s="1" t="n">
        <v>45937</v>
      </c>
      <c r="D287" t="inlineStr">
        <is>
          <t>JÄMTLANDS LÄN</t>
        </is>
      </c>
      <c r="E287" t="inlineStr">
        <is>
          <t>ÅRE</t>
        </is>
      </c>
      <c r="G287" t="n">
        <v>95.09999999999999</v>
      </c>
      <c r="H287" t="n">
        <v>0</v>
      </c>
      <c r="I287" t="n">
        <v>0</v>
      </c>
      <c r="J287" t="n">
        <v>0</v>
      </c>
      <c r="K287" t="n">
        <v>0</v>
      </c>
      <c r="L287" t="n">
        <v>0</v>
      </c>
      <c r="M287" t="n">
        <v>0</v>
      </c>
      <c r="N287" t="n">
        <v>0</v>
      </c>
      <c r="O287" t="n">
        <v>0</v>
      </c>
      <c r="P287" t="n">
        <v>0</v>
      </c>
      <c r="Q287" t="n">
        <v>0</v>
      </c>
      <c r="R287" s="2" t="inlineStr"/>
    </row>
    <row r="288" ht="15" customHeight="1">
      <c r="A288" t="inlineStr">
        <is>
          <t>A 20804-2024</t>
        </is>
      </c>
      <c r="B288" s="1" t="n">
        <v>45439.30988425926</v>
      </c>
      <c r="C288" s="1" t="n">
        <v>45937</v>
      </c>
      <c r="D288" t="inlineStr">
        <is>
          <t>JÄMTLANDS LÄN</t>
        </is>
      </c>
      <c r="E288" t="inlineStr">
        <is>
          <t>ÅRE</t>
        </is>
      </c>
      <c r="G288" t="n">
        <v>6.4</v>
      </c>
      <c r="H288" t="n">
        <v>0</v>
      </c>
      <c r="I288" t="n">
        <v>0</v>
      </c>
      <c r="J288" t="n">
        <v>0</v>
      </c>
      <c r="K288" t="n">
        <v>0</v>
      </c>
      <c r="L288" t="n">
        <v>0</v>
      </c>
      <c r="M288" t="n">
        <v>0</v>
      </c>
      <c r="N288" t="n">
        <v>0</v>
      </c>
      <c r="O288" t="n">
        <v>0</v>
      </c>
      <c r="P288" t="n">
        <v>0</v>
      </c>
      <c r="Q288" t="n">
        <v>0</v>
      </c>
      <c r="R288" s="2" t="inlineStr"/>
    </row>
    <row r="289" ht="15" customHeight="1">
      <c r="A289" t="inlineStr">
        <is>
          <t>A 46559-2024</t>
        </is>
      </c>
      <c r="B289" s="1" t="n">
        <v>45582</v>
      </c>
      <c r="C289" s="1" t="n">
        <v>45937</v>
      </c>
      <c r="D289" t="inlineStr">
        <is>
          <t>JÄMTLANDS LÄN</t>
        </is>
      </c>
      <c r="E289" t="inlineStr">
        <is>
          <t>ÅRE</t>
        </is>
      </c>
      <c r="G289" t="n">
        <v>6.2</v>
      </c>
      <c r="H289" t="n">
        <v>0</v>
      </c>
      <c r="I289" t="n">
        <v>0</v>
      </c>
      <c r="J289" t="n">
        <v>0</v>
      </c>
      <c r="K289" t="n">
        <v>0</v>
      </c>
      <c r="L289" t="n">
        <v>0</v>
      </c>
      <c r="M289" t="n">
        <v>0</v>
      </c>
      <c r="N289" t="n">
        <v>0</v>
      </c>
      <c r="O289" t="n">
        <v>0</v>
      </c>
      <c r="P289" t="n">
        <v>0</v>
      </c>
      <c r="Q289" t="n">
        <v>0</v>
      </c>
      <c r="R289" s="2" t="inlineStr"/>
    </row>
    <row r="290" ht="15" customHeight="1">
      <c r="A290" t="inlineStr">
        <is>
          <t>A 6232-2021</t>
        </is>
      </c>
      <c r="B290" s="1" t="n">
        <v>44231</v>
      </c>
      <c r="C290" s="1" t="n">
        <v>45937</v>
      </c>
      <c r="D290" t="inlineStr">
        <is>
          <t>JÄMTLANDS LÄN</t>
        </is>
      </c>
      <c r="E290" t="inlineStr">
        <is>
          <t>ÅRE</t>
        </is>
      </c>
      <c r="G290" t="n">
        <v>7.1</v>
      </c>
      <c r="H290" t="n">
        <v>0</v>
      </c>
      <c r="I290" t="n">
        <v>0</v>
      </c>
      <c r="J290" t="n">
        <v>0</v>
      </c>
      <c r="K290" t="n">
        <v>0</v>
      </c>
      <c r="L290" t="n">
        <v>0</v>
      </c>
      <c r="M290" t="n">
        <v>0</v>
      </c>
      <c r="N290" t="n">
        <v>0</v>
      </c>
      <c r="O290" t="n">
        <v>0</v>
      </c>
      <c r="P290" t="n">
        <v>0</v>
      </c>
      <c r="Q290" t="n">
        <v>0</v>
      </c>
      <c r="R290" s="2" t="inlineStr"/>
    </row>
    <row r="291" ht="15" customHeight="1">
      <c r="A291" t="inlineStr">
        <is>
          <t>A 56576-2022</t>
        </is>
      </c>
      <c r="B291" s="1" t="n">
        <v>44893</v>
      </c>
      <c r="C291" s="1" t="n">
        <v>45937</v>
      </c>
      <c r="D291" t="inlineStr">
        <is>
          <t>JÄMTLANDS LÄN</t>
        </is>
      </c>
      <c r="E291" t="inlineStr">
        <is>
          <t>ÅRE</t>
        </is>
      </c>
      <c r="F291" t="inlineStr">
        <is>
          <t>Övriga Aktiebolag</t>
        </is>
      </c>
      <c r="G291" t="n">
        <v>1.1</v>
      </c>
      <c r="H291" t="n">
        <v>0</v>
      </c>
      <c r="I291" t="n">
        <v>0</v>
      </c>
      <c r="J291" t="n">
        <v>0</v>
      </c>
      <c r="K291" t="n">
        <v>0</v>
      </c>
      <c r="L291" t="n">
        <v>0</v>
      </c>
      <c r="M291" t="n">
        <v>0</v>
      </c>
      <c r="N291" t="n">
        <v>0</v>
      </c>
      <c r="O291" t="n">
        <v>0</v>
      </c>
      <c r="P291" t="n">
        <v>0</v>
      </c>
      <c r="Q291" t="n">
        <v>0</v>
      </c>
      <c r="R291" s="2" t="inlineStr"/>
    </row>
    <row r="292" ht="15" customHeight="1">
      <c r="A292" t="inlineStr">
        <is>
          <t>A 12944-2024</t>
        </is>
      </c>
      <c r="B292" s="1" t="n">
        <v>45385</v>
      </c>
      <c r="C292" s="1" t="n">
        <v>45937</v>
      </c>
      <c r="D292" t="inlineStr">
        <is>
          <t>JÄMTLANDS LÄN</t>
        </is>
      </c>
      <c r="E292" t="inlineStr">
        <is>
          <t>ÅRE</t>
        </is>
      </c>
      <c r="G292" t="n">
        <v>1.9</v>
      </c>
      <c r="H292" t="n">
        <v>0</v>
      </c>
      <c r="I292" t="n">
        <v>0</v>
      </c>
      <c r="J292" t="n">
        <v>0</v>
      </c>
      <c r="K292" t="n">
        <v>0</v>
      </c>
      <c r="L292" t="n">
        <v>0</v>
      </c>
      <c r="M292" t="n">
        <v>0</v>
      </c>
      <c r="N292" t="n">
        <v>0</v>
      </c>
      <c r="O292" t="n">
        <v>0</v>
      </c>
      <c r="P292" t="n">
        <v>0</v>
      </c>
      <c r="Q292" t="n">
        <v>0</v>
      </c>
      <c r="R292" s="2" t="inlineStr"/>
    </row>
    <row r="293" ht="15" customHeight="1">
      <c r="A293" t="inlineStr">
        <is>
          <t>A 14283-2025</t>
        </is>
      </c>
      <c r="B293" s="1" t="n">
        <v>45740.65851851852</v>
      </c>
      <c r="C293" s="1" t="n">
        <v>45937</v>
      </c>
      <c r="D293" t="inlineStr">
        <is>
          <t>JÄMTLANDS LÄN</t>
        </is>
      </c>
      <c r="E293" t="inlineStr">
        <is>
          <t>ÅRE</t>
        </is>
      </c>
      <c r="G293" t="n">
        <v>4.6</v>
      </c>
      <c r="H293" t="n">
        <v>0</v>
      </c>
      <c r="I293" t="n">
        <v>0</v>
      </c>
      <c r="J293" t="n">
        <v>0</v>
      </c>
      <c r="K293" t="n">
        <v>0</v>
      </c>
      <c r="L293" t="n">
        <v>0</v>
      </c>
      <c r="M293" t="n">
        <v>0</v>
      </c>
      <c r="N293" t="n">
        <v>0</v>
      </c>
      <c r="O293" t="n">
        <v>0</v>
      </c>
      <c r="P293" t="n">
        <v>0</v>
      </c>
      <c r="Q293" t="n">
        <v>0</v>
      </c>
      <c r="R293" s="2" t="inlineStr"/>
    </row>
    <row r="294" ht="15" customHeight="1">
      <c r="A294" t="inlineStr">
        <is>
          <t>A 53014-2023</t>
        </is>
      </c>
      <c r="B294" s="1" t="n">
        <v>45226</v>
      </c>
      <c r="C294" s="1" t="n">
        <v>45937</v>
      </c>
      <c r="D294" t="inlineStr">
        <is>
          <t>JÄMTLANDS LÄN</t>
        </is>
      </c>
      <c r="E294" t="inlineStr">
        <is>
          <t>ÅRE</t>
        </is>
      </c>
      <c r="F294" t="inlineStr">
        <is>
          <t>Övriga Aktiebolag</t>
        </is>
      </c>
      <c r="G294" t="n">
        <v>7.5</v>
      </c>
      <c r="H294" t="n">
        <v>0</v>
      </c>
      <c r="I294" t="n">
        <v>0</v>
      </c>
      <c r="J294" t="n">
        <v>0</v>
      </c>
      <c r="K294" t="n">
        <v>0</v>
      </c>
      <c r="L294" t="n">
        <v>0</v>
      </c>
      <c r="M294" t="n">
        <v>0</v>
      </c>
      <c r="N294" t="n">
        <v>0</v>
      </c>
      <c r="O294" t="n">
        <v>0</v>
      </c>
      <c r="P294" t="n">
        <v>0</v>
      </c>
      <c r="Q294" t="n">
        <v>0</v>
      </c>
      <c r="R294" s="2" t="inlineStr"/>
    </row>
    <row r="295" ht="15" customHeight="1">
      <c r="A295" t="inlineStr">
        <is>
          <t>A 39195-2024</t>
        </is>
      </c>
      <c r="B295" s="1" t="n">
        <v>45548.6934837963</v>
      </c>
      <c r="C295" s="1" t="n">
        <v>45937</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15482-2024</t>
        </is>
      </c>
      <c r="B296" s="1" t="n">
        <v>45401.49361111111</v>
      </c>
      <c r="C296" s="1" t="n">
        <v>45937</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17703-2023</t>
        </is>
      </c>
      <c r="B297" s="1" t="n">
        <v>45037.35443287037</v>
      </c>
      <c r="C297" s="1" t="n">
        <v>45937</v>
      </c>
      <c r="D297" t="inlineStr">
        <is>
          <t>JÄMTLANDS LÄN</t>
        </is>
      </c>
      <c r="E297" t="inlineStr">
        <is>
          <t>ÅRE</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49296-2024</t>
        </is>
      </c>
      <c r="B298" s="1" t="n">
        <v>45595</v>
      </c>
      <c r="C298" s="1" t="n">
        <v>45937</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20170-2025</t>
        </is>
      </c>
      <c r="B299" s="1" t="n">
        <v>45772.57789351852</v>
      </c>
      <c r="C299" s="1" t="n">
        <v>45937</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45453-2024</t>
        </is>
      </c>
      <c r="B300" s="1" t="n">
        <v>45576.66674768519</v>
      </c>
      <c r="C300" s="1" t="n">
        <v>45937</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54116-2023</t>
        </is>
      </c>
      <c r="B301" s="1" t="n">
        <v>45232</v>
      </c>
      <c r="C301" s="1" t="n">
        <v>45937</v>
      </c>
      <c r="D301" t="inlineStr">
        <is>
          <t>JÄMTLANDS LÄN</t>
        </is>
      </c>
      <c r="E301" t="inlineStr">
        <is>
          <t>ÅRE</t>
        </is>
      </c>
      <c r="G301" t="n">
        <v>3.8</v>
      </c>
      <c r="H301" t="n">
        <v>0</v>
      </c>
      <c r="I301" t="n">
        <v>0</v>
      </c>
      <c r="J301" t="n">
        <v>0</v>
      </c>
      <c r="K301" t="n">
        <v>0</v>
      </c>
      <c r="L301" t="n">
        <v>0</v>
      </c>
      <c r="M301" t="n">
        <v>0</v>
      </c>
      <c r="N301" t="n">
        <v>0</v>
      </c>
      <c r="O301" t="n">
        <v>0</v>
      </c>
      <c r="P301" t="n">
        <v>0</v>
      </c>
      <c r="Q301" t="n">
        <v>0</v>
      </c>
      <c r="R301" s="2" t="inlineStr"/>
    </row>
    <row r="302" ht="15" customHeight="1">
      <c r="A302" t="inlineStr">
        <is>
          <t>A 34357-2021</t>
        </is>
      </c>
      <c r="B302" s="1" t="n">
        <v>44379</v>
      </c>
      <c r="C302" s="1" t="n">
        <v>45937</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69170-2021</t>
        </is>
      </c>
      <c r="B303" s="1" t="n">
        <v>44529</v>
      </c>
      <c r="C303" s="1" t="n">
        <v>45937</v>
      </c>
      <c r="D303" t="inlineStr">
        <is>
          <t>JÄMTLANDS LÄN</t>
        </is>
      </c>
      <c r="E303" t="inlineStr">
        <is>
          <t>ÅRE</t>
        </is>
      </c>
      <c r="G303" t="n">
        <v>114.4</v>
      </c>
      <c r="H303" t="n">
        <v>0</v>
      </c>
      <c r="I303" t="n">
        <v>0</v>
      </c>
      <c r="J303" t="n">
        <v>0</v>
      </c>
      <c r="K303" t="n">
        <v>0</v>
      </c>
      <c r="L303" t="n">
        <v>0</v>
      </c>
      <c r="M303" t="n">
        <v>0</v>
      </c>
      <c r="N303" t="n">
        <v>0</v>
      </c>
      <c r="O303" t="n">
        <v>0</v>
      </c>
      <c r="P303" t="n">
        <v>0</v>
      </c>
      <c r="Q303" t="n">
        <v>0</v>
      </c>
      <c r="R303" s="2" t="inlineStr"/>
    </row>
    <row r="304" ht="15" customHeight="1">
      <c r="A304" t="inlineStr">
        <is>
          <t>A 38456-2021</t>
        </is>
      </c>
      <c r="B304" s="1" t="n">
        <v>44406</v>
      </c>
      <c r="C304" s="1" t="n">
        <v>45937</v>
      </c>
      <c r="D304" t="inlineStr">
        <is>
          <t>JÄMTLANDS LÄN</t>
        </is>
      </c>
      <c r="E304" t="inlineStr">
        <is>
          <t>ÅRE</t>
        </is>
      </c>
      <c r="G304" t="n">
        <v>19.8</v>
      </c>
      <c r="H304" t="n">
        <v>0</v>
      </c>
      <c r="I304" t="n">
        <v>0</v>
      </c>
      <c r="J304" t="n">
        <v>0</v>
      </c>
      <c r="K304" t="n">
        <v>0</v>
      </c>
      <c r="L304" t="n">
        <v>0</v>
      </c>
      <c r="M304" t="n">
        <v>0</v>
      </c>
      <c r="N304" t="n">
        <v>0</v>
      </c>
      <c r="O304" t="n">
        <v>0</v>
      </c>
      <c r="P304" t="n">
        <v>0</v>
      </c>
      <c r="Q304" t="n">
        <v>0</v>
      </c>
      <c r="R304" s="2" t="inlineStr"/>
    </row>
    <row r="305" ht="15" customHeight="1">
      <c r="A305" t="inlineStr">
        <is>
          <t>A 54186-2024</t>
        </is>
      </c>
      <c r="B305" s="1" t="n">
        <v>45616</v>
      </c>
      <c r="C305" s="1" t="n">
        <v>45937</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71043-2021</t>
        </is>
      </c>
      <c r="B306" s="1" t="n">
        <v>44538</v>
      </c>
      <c r="C306" s="1" t="n">
        <v>45937</v>
      </c>
      <c r="D306" t="inlineStr">
        <is>
          <t>JÄMTLANDS LÄN</t>
        </is>
      </c>
      <c r="E306" t="inlineStr">
        <is>
          <t>ÅRE</t>
        </is>
      </c>
      <c r="G306" t="n">
        <v>0.4</v>
      </c>
      <c r="H306" t="n">
        <v>0</v>
      </c>
      <c r="I306" t="n">
        <v>0</v>
      </c>
      <c r="J306" t="n">
        <v>0</v>
      </c>
      <c r="K306" t="n">
        <v>0</v>
      </c>
      <c r="L306" t="n">
        <v>0</v>
      </c>
      <c r="M306" t="n">
        <v>0</v>
      </c>
      <c r="N306" t="n">
        <v>0</v>
      </c>
      <c r="O306" t="n">
        <v>0</v>
      </c>
      <c r="P306" t="n">
        <v>0</v>
      </c>
      <c r="Q306" t="n">
        <v>0</v>
      </c>
      <c r="R306" s="2" t="inlineStr"/>
    </row>
    <row r="307" ht="15" customHeight="1">
      <c r="A307" t="inlineStr">
        <is>
          <t>A 60122-2021</t>
        </is>
      </c>
      <c r="B307" s="1" t="n">
        <v>44495</v>
      </c>
      <c r="C307" s="1" t="n">
        <v>45937</v>
      </c>
      <c r="D307" t="inlineStr">
        <is>
          <t>JÄMTLANDS LÄN</t>
        </is>
      </c>
      <c r="E307" t="inlineStr">
        <is>
          <t>ÅRE</t>
        </is>
      </c>
      <c r="G307" t="n">
        <v>46.7</v>
      </c>
      <c r="H307" t="n">
        <v>0</v>
      </c>
      <c r="I307" t="n">
        <v>0</v>
      </c>
      <c r="J307" t="n">
        <v>0</v>
      </c>
      <c r="K307" t="n">
        <v>0</v>
      </c>
      <c r="L307" t="n">
        <v>0</v>
      </c>
      <c r="M307" t="n">
        <v>0</v>
      </c>
      <c r="N307" t="n">
        <v>0</v>
      </c>
      <c r="O307" t="n">
        <v>0</v>
      </c>
      <c r="P307" t="n">
        <v>0</v>
      </c>
      <c r="Q307" t="n">
        <v>0</v>
      </c>
      <c r="R307" s="2" t="inlineStr"/>
    </row>
    <row r="308" ht="15" customHeight="1">
      <c r="A308" t="inlineStr">
        <is>
          <t>A 50951-2023</t>
        </is>
      </c>
      <c r="B308" s="1" t="n">
        <v>45218</v>
      </c>
      <c r="C308" s="1" t="n">
        <v>45937</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51500-2024</t>
        </is>
      </c>
      <c r="B309" s="1" t="n">
        <v>45604.54693287037</v>
      </c>
      <c r="C309" s="1" t="n">
        <v>45937</v>
      </c>
      <c r="D309" t="inlineStr">
        <is>
          <t>JÄMTLANDS LÄN</t>
        </is>
      </c>
      <c r="E309" t="inlineStr">
        <is>
          <t>ÅRE</t>
        </is>
      </c>
      <c r="G309" t="n">
        <v>1.7</v>
      </c>
      <c r="H309" t="n">
        <v>0</v>
      </c>
      <c r="I309" t="n">
        <v>0</v>
      </c>
      <c r="J309" t="n">
        <v>0</v>
      </c>
      <c r="K309" t="n">
        <v>0</v>
      </c>
      <c r="L309" t="n">
        <v>0</v>
      </c>
      <c r="M309" t="n">
        <v>0</v>
      </c>
      <c r="N309" t="n">
        <v>0</v>
      </c>
      <c r="O309" t="n">
        <v>0</v>
      </c>
      <c r="P309" t="n">
        <v>0</v>
      </c>
      <c r="Q309" t="n">
        <v>0</v>
      </c>
      <c r="R309" s="2" t="inlineStr"/>
    </row>
    <row r="310" ht="15" customHeight="1">
      <c r="A310" t="inlineStr">
        <is>
          <t>A 73798-2021</t>
        </is>
      </c>
      <c r="B310" s="1" t="n">
        <v>44552</v>
      </c>
      <c r="C310" s="1" t="n">
        <v>45937</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47075-2024</t>
        </is>
      </c>
      <c r="B311" s="1" t="n">
        <v>45586.5008912037</v>
      </c>
      <c r="C311" s="1" t="n">
        <v>45937</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58232-2021</t>
        </is>
      </c>
      <c r="B312" s="1" t="n">
        <v>44487</v>
      </c>
      <c r="C312" s="1" t="n">
        <v>45937</v>
      </c>
      <c r="D312" t="inlineStr">
        <is>
          <t>JÄMTLANDS LÄN</t>
        </is>
      </c>
      <c r="E312" t="inlineStr">
        <is>
          <t>ÅRE</t>
        </is>
      </c>
      <c r="G312" t="n">
        <v>43.7</v>
      </c>
      <c r="H312" t="n">
        <v>0</v>
      </c>
      <c r="I312" t="n">
        <v>0</v>
      </c>
      <c r="J312" t="n">
        <v>0</v>
      </c>
      <c r="K312" t="n">
        <v>0</v>
      </c>
      <c r="L312" t="n">
        <v>0</v>
      </c>
      <c r="M312" t="n">
        <v>0</v>
      </c>
      <c r="N312" t="n">
        <v>0</v>
      </c>
      <c r="O312" t="n">
        <v>0</v>
      </c>
      <c r="P312" t="n">
        <v>0</v>
      </c>
      <c r="Q312" t="n">
        <v>0</v>
      </c>
      <c r="R312" s="2" t="inlineStr"/>
    </row>
    <row r="313" ht="15" customHeight="1">
      <c r="A313" t="inlineStr">
        <is>
          <t>A 66083-2020</t>
        </is>
      </c>
      <c r="B313" s="1" t="n">
        <v>44172</v>
      </c>
      <c r="C313" s="1" t="n">
        <v>45937</v>
      </c>
      <c r="D313" t="inlineStr">
        <is>
          <t>JÄMTLANDS LÄN</t>
        </is>
      </c>
      <c r="E313" t="inlineStr">
        <is>
          <t>ÅRE</t>
        </is>
      </c>
      <c r="G313" t="n">
        <v>213.4</v>
      </c>
      <c r="H313" t="n">
        <v>0</v>
      </c>
      <c r="I313" t="n">
        <v>0</v>
      </c>
      <c r="J313" t="n">
        <v>0</v>
      </c>
      <c r="K313" t="n">
        <v>0</v>
      </c>
      <c r="L313" t="n">
        <v>0</v>
      </c>
      <c r="M313" t="n">
        <v>0</v>
      </c>
      <c r="N313" t="n">
        <v>0</v>
      </c>
      <c r="O313" t="n">
        <v>0</v>
      </c>
      <c r="P313" t="n">
        <v>0</v>
      </c>
      <c r="Q313" t="n">
        <v>0</v>
      </c>
      <c r="R313" s="2" t="inlineStr"/>
    </row>
    <row r="314" ht="15" customHeight="1">
      <c r="A314" t="inlineStr">
        <is>
          <t>A 45161-2024</t>
        </is>
      </c>
      <c r="B314" s="1" t="n">
        <v>45575.64982638889</v>
      </c>
      <c r="C314" s="1" t="n">
        <v>45937</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15480-2024</t>
        </is>
      </c>
      <c r="B315" s="1" t="n">
        <v>45401.49065972222</v>
      </c>
      <c r="C315" s="1" t="n">
        <v>45937</v>
      </c>
      <c r="D315" t="inlineStr">
        <is>
          <t>JÄMTLANDS LÄN</t>
        </is>
      </c>
      <c r="E315" t="inlineStr">
        <is>
          <t>ÅRE</t>
        </is>
      </c>
      <c r="G315" t="n">
        <v>11.8</v>
      </c>
      <c r="H315" t="n">
        <v>0</v>
      </c>
      <c r="I315" t="n">
        <v>0</v>
      </c>
      <c r="J315" t="n">
        <v>0</v>
      </c>
      <c r="K315" t="n">
        <v>0</v>
      </c>
      <c r="L315" t="n">
        <v>0</v>
      </c>
      <c r="M315" t="n">
        <v>0</v>
      </c>
      <c r="N315" t="n">
        <v>0</v>
      </c>
      <c r="O315" t="n">
        <v>0</v>
      </c>
      <c r="P315" t="n">
        <v>0</v>
      </c>
      <c r="Q315" t="n">
        <v>0</v>
      </c>
      <c r="R315" s="2" t="inlineStr"/>
    </row>
    <row r="316" ht="15" customHeight="1">
      <c r="A316" t="inlineStr">
        <is>
          <t>A 59968-2023</t>
        </is>
      </c>
      <c r="B316" s="1" t="n">
        <v>45254</v>
      </c>
      <c r="C316" s="1" t="n">
        <v>45937</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68537-2020</t>
        </is>
      </c>
      <c r="B317" s="1" t="n">
        <v>44186</v>
      </c>
      <c r="C317" s="1" t="n">
        <v>45937</v>
      </c>
      <c r="D317" t="inlineStr">
        <is>
          <t>JÄMTLANDS LÄN</t>
        </is>
      </c>
      <c r="E317" t="inlineStr">
        <is>
          <t>ÅRE</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68545-2020</t>
        </is>
      </c>
      <c r="B318" s="1" t="n">
        <v>44186</v>
      </c>
      <c r="C318" s="1" t="n">
        <v>45937</v>
      </c>
      <c r="D318" t="inlineStr">
        <is>
          <t>JÄMTLANDS LÄN</t>
        </is>
      </c>
      <c r="E318" t="inlineStr">
        <is>
          <t>ÅRE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43342-2024</t>
        </is>
      </c>
      <c r="B319" s="1" t="n">
        <v>45568.55114583333</v>
      </c>
      <c r="C319" s="1" t="n">
        <v>45937</v>
      </c>
      <c r="D319" t="inlineStr">
        <is>
          <t>JÄMTLANDS LÄN</t>
        </is>
      </c>
      <c r="E319" t="inlineStr">
        <is>
          <t>ÅRE</t>
        </is>
      </c>
      <c r="F319" t="inlineStr">
        <is>
          <t>Övriga Aktiebolag</t>
        </is>
      </c>
      <c r="G319" t="n">
        <v>4.8</v>
      </c>
      <c r="H319" t="n">
        <v>0</v>
      </c>
      <c r="I319" t="n">
        <v>0</v>
      </c>
      <c r="J319" t="n">
        <v>0</v>
      </c>
      <c r="K319" t="n">
        <v>0</v>
      </c>
      <c r="L319" t="n">
        <v>0</v>
      </c>
      <c r="M319" t="n">
        <v>0</v>
      </c>
      <c r="N319" t="n">
        <v>0</v>
      </c>
      <c r="O319" t="n">
        <v>0</v>
      </c>
      <c r="P319" t="n">
        <v>0</v>
      </c>
      <c r="Q319" t="n">
        <v>0</v>
      </c>
      <c r="R319" s="2" t="inlineStr"/>
    </row>
    <row r="320" ht="15" customHeight="1">
      <c r="A320" t="inlineStr">
        <is>
          <t>A 61183-2023</t>
        </is>
      </c>
      <c r="B320" s="1" t="n">
        <v>45263</v>
      </c>
      <c r="C320" s="1" t="n">
        <v>45937</v>
      </c>
      <c r="D320" t="inlineStr">
        <is>
          <t>JÄMTLANDS LÄN</t>
        </is>
      </c>
      <c r="E320" t="inlineStr">
        <is>
          <t>ÅRE</t>
        </is>
      </c>
      <c r="G320" t="n">
        <v>8.4</v>
      </c>
      <c r="H320" t="n">
        <v>0</v>
      </c>
      <c r="I320" t="n">
        <v>0</v>
      </c>
      <c r="J320" t="n">
        <v>0</v>
      </c>
      <c r="K320" t="n">
        <v>0</v>
      </c>
      <c r="L320" t="n">
        <v>0</v>
      </c>
      <c r="M320" t="n">
        <v>0</v>
      </c>
      <c r="N320" t="n">
        <v>0</v>
      </c>
      <c r="O320" t="n">
        <v>0</v>
      </c>
      <c r="P320" t="n">
        <v>0</v>
      </c>
      <c r="Q320" t="n">
        <v>0</v>
      </c>
      <c r="R320" s="2" t="inlineStr"/>
    </row>
    <row r="321" ht="15" customHeight="1">
      <c r="A321" t="inlineStr">
        <is>
          <t>A 25200-2025</t>
        </is>
      </c>
      <c r="B321" s="1" t="n">
        <v>45800.4615625</v>
      </c>
      <c r="C321" s="1" t="n">
        <v>45937</v>
      </c>
      <c r="D321" t="inlineStr">
        <is>
          <t>JÄMTLANDS LÄN</t>
        </is>
      </c>
      <c r="E321" t="inlineStr">
        <is>
          <t>ÅRE</t>
        </is>
      </c>
      <c r="G321" t="n">
        <v>3.3</v>
      </c>
      <c r="H321" t="n">
        <v>0</v>
      </c>
      <c r="I321" t="n">
        <v>0</v>
      </c>
      <c r="J321" t="n">
        <v>0</v>
      </c>
      <c r="K321" t="n">
        <v>0</v>
      </c>
      <c r="L321" t="n">
        <v>0</v>
      </c>
      <c r="M321" t="n">
        <v>0</v>
      </c>
      <c r="N321" t="n">
        <v>0</v>
      </c>
      <c r="O321" t="n">
        <v>0</v>
      </c>
      <c r="P321" t="n">
        <v>0</v>
      </c>
      <c r="Q321" t="n">
        <v>0</v>
      </c>
      <c r="R321" s="2" t="inlineStr"/>
    </row>
    <row r="322" ht="15" customHeight="1">
      <c r="A322" t="inlineStr">
        <is>
          <t>A 25208-2025</t>
        </is>
      </c>
      <c r="B322" s="1" t="n">
        <v>45800.46927083333</v>
      </c>
      <c r="C322" s="1" t="n">
        <v>45937</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61481-2022</t>
        </is>
      </c>
      <c r="B323" s="1" t="n">
        <v>44910</v>
      </c>
      <c r="C323" s="1" t="n">
        <v>45937</v>
      </c>
      <c r="D323" t="inlineStr">
        <is>
          <t>JÄMTLANDS LÄN</t>
        </is>
      </c>
      <c r="E323" t="inlineStr">
        <is>
          <t>ÅRE</t>
        </is>
      </c>
      <c r="G323" t="n">
        <v>0.4</v>
      </c>
      <c r="H323" t="n">
        <v>0</v>
      </c>
      <c r="I323" t="n">
        <v>0</v>
      </c>
      <c r="J323" t="n">
        <v>0</v>
      </c>
      <c r="K323" t="n">
        <v>0</v>
      </c>
      <c r="L323" t="n">
        <v>0</v>
      </c>
      <c r="M323" t="n">
        <v>0</v>
      </c>
      <c r="N323" t="n">
        <v>0</v>
      </c>
      <c r="O323" t="n">
        <v>0</v>
      </c>
      <c r="P323" t="n">
        <v>0</v>
      </c>
      <c r="Q323" t="n">
        <v>0</v>
      </c>
      <c r="R323" s="2" t="inlineStr"/>
    </row>
    <row r="324" ht="15" customHeight="1">
      <c r="A324" t="inlineStr">
        <is>
          <t>A 64237-2021</t>
        </is>
      </c>
      <c r="B324" s="1" t="n">
        <v>44510</v>
      </c>
      <c r="C324" s="1" t="n">
        <v>45937</v>
      </c>
      <c r="D324" t="inlineStr">
        <is>
          <t>JÄMTLANDS LÄN</t>
        </is>
      </c>
      <c r="E324" t="inlineStr">
        <is>
          <t>ÅRE</t>
        </is>
      </c>
      <c r="G324" t="n">
        <v>2.7</v>
      </c>
      <c r="H324" t="n">
        <v>0</v>
      </c>
      <c r="I324" t="n">
        <v>0</v>
      </c>
      <c r="J324" t="n">
        <v>0</v>
      </c>
      <c r="K324" t="n">
        <v>0</v>
      </c>
      <c r="L324" t="n">
        <v>0</v>
      </c>
      <c r="M324" t="n">
        <v>0</v>
      </c>
      <c r="N324" t="n">
        <v>0</v>
      </c>
      <c r="O324" t="n">
        <v>0</v>
      </c>
      <c r="P324" t="n">
        <v>0</v>
      </c>
      <c r="Q324" t="n">
        <v>0</v>
      </c>
      <c r="R324" s="2" t="inlineStr"/>
    </row>
    <row r="325" ht="15" customHeight="1">
      <c r="A325" t="inlineStr">
        <is>
          <t>A 43307-2024</t>
        </is>
      </c>
      <c r="B325" s="1" t="n">
        <v>45568.44303240741</v>
      </c>
      <c r="C325" s="1" t="n">
        <v>45937</v>
      </c>
      <c r="D325" t="inlineStr">
        <is>
          <t>JÄMTLANDS LÄN</t>
        </is>
      </c>
      <c r="E325" t="inlineStr">
        <is>
          <t>ÅRE</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64758-2023</t>
        </is>
      </c>
      <c r="B326" s="1" t="n">
        <v>45281</v>
      </c>
      <c r="C326" s="1" t="n">
        <v>45937</v>
      </c>
      <c r="D326" t="inlineStr">
        <is>
          <t>JÄMTLANDS LÄN</t>
        </is>
      </c>
      <c r="E326" t="inlineStr">
        <is>
          <t>ÅRE</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25224-2025</t>
        </is>
      </c>
      <c r="B327" s="1" t="n">
        <v>45800.48087962963</v>
      </c>
      <c r="C327" s="1" t="n">
        <v>45937</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25379-2024</t>
        </is>
      </c>
      <c r="B328" s="1" t="n">
        <v>45462</v>
      </c>
      <c r="C328" s="1" t="n">
        <v>45937</v>
      </c>
      <c r="D328" t="inlineStr">
        <is>
          <t>JÄMTLANDS LÄN</t>
        </is>
      </c>
      <c r="E328" t="inlineStr">
        <is>
          <t>ÅRE</t>
        </is>
      </c>
      <c r="G328" t="n">
        <v>4.5</v>
      </c>
      <c r="H328" t="n">
        <v>0</v>
      </c>
      <c r="I328" t="n">
        <v>0</v>
      </c>
      <c r="J328" t="n">
        <v>0</v>
      </c>
      <c r="K328" t="n">
        <v>0</v>
      </c>
      <c r="L328" t="n">
        <v>0</v>
      </c>
      <c r="M328" t="n">
        <v>0</v>
      </c>
      <c r="N328" t="n">
        <v>0</v>
      </c>
      <c r="O328" t="n">
        <v>0</v>
      </c>
      <c r="P328" t="n">
        <v>0</v>
      </c>
      <c r="Q328" t="n">
        <v>0</v>
      </c>
      <c r="R328" s="2" t="inlineStr"/>
    </row>
    <row r="329" ht="15" customHeight="1">
      <c r="A329" t="inlineStr">
        <is>
          <t>A 43324-2022</t>
        </is>
      </c>
      <c r="B329" s="1" t="n">
        <v>44834</v>
      </c>
      <c r="C329" s="1" t="n">
        <v>45937</v>
      </c>
      <c r="D329" t="inlineStr">
        <is>
          <t>JÄMTLANDS LÄN</t>
        </is>
      </c>
      <c r="E329" t="inlineStr">
        <is>
          <t>ÅRE</t>
        </is>
      </c>
      <c r="F329" t="inlineStr">
        <is>
          <t>Bergvik skog öst AB</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7970-2023</t>
        </is>
      </c>
      <c r="B330" s="1" t="n">
        <v>44970</v>
      </c>
      <c r="C330" s="1" t="n">
        <v>45937</v>
      </c>
      <c r="D330" t="inlineStr">
        <is>
          <t>JÄMTLANDS LÄN</t>
        </is>
      </c>
      <c r="E330" t="inlineStr">
        <is>
          <t>ÅRE</t>
        </is>
      </c>
      <c r="G330" t="n">
        <v>3.5</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45937</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32241-2021</t>
        </is>
      </c>
      <c r="B332" s="1" t="n">
        <v>44371</v>
      </c>
      <c r="C332" s="1" t="n">
        <v>45937</v>
      </c>
      <c r="D332" t="inlineStr">
        <is>
          <t>JÄMTLANDS LÄN</t>
        </is>
      </c>
      <c r="E332" t="inlineStr">
        <is>
          <t>ÅRE</t>
        </is>
      </c>
      <c r="G332" t="n">
        <v>2.3</v>
      </c>
      <c r="H332" t="n">
        <v>0</v>
      </c>
      <c r="I332" t="n">
        <v>0</v>
      </c>
      <c r="J332" t="n">
        <v>0</v>
      </c>
      <c r="K332" t="n">
        <v>0</v>
      </c>
      <c r="L332" t="n">
        <v>0</v>
      </c>
      <c r="M332" t="n">
        <v>0</v>
      </c>
      <c r="N332" t="n">
        <v>0</v>
      </c>
      <c r="O332" t="n">
        <v>0</v>
      </c>
      <c r="P332" t="n">
        <v>0</v>
      </c>
      <c r="Q332" t="n">
        <v>0</v>
      </c>
      <c r="R332" s="2" t="inlineStr"/>
    </row>
    <row r="333" ht="15" customHeight="1">
      <c r="A333" t="inlineStr">
        <is>
          <t>A 52676-2023</t>
        </is>
      </c>
      <c r="B333" s="1" t="n">
        <v>45225.6890625</v>
      </c>
      <c r="C333" s="1" t="n">
        <v>45937</v>
      </c>
      <c r="D333" t="inlineStr">
        <is>
          <t>JÄMTLANDS LÄN</t>
        </is>
      </c>
      <c r="E333" t="inlineStr">
        <is>
          <t>ÅRE</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12216-2023</t>
        </is>
      </c>
      <c r="B334" s="1" t="n">
        <v>44998</v>
      </c>
      <c r="C334" s="1" t="n">
        <v>45937</v>
      </c>
      <c r="D334" t="inlineStr">
        <is>
          <t>JÄMTLANDS LÄN</t>
        </is>
      </c>
      <c r="E334" t="inlineStr">
        <is>
          <t>ÅRE</t>
        </is>
      </c>
      <c r="G334" t="n">
        <v>11.8</v>
      </c>
      <c r="H334" t="n">
        <v>0</v>
      </c>
      <c r="I334" t="n">
        <v>0</v>
      </c>
      <c r="J334" t="n">
        <v>0</v>
      </c>
      <c r="K334" t="n">
        <v>0</v>
      </c>
      <c r="L334" t="n">
        <v>0</v>
      </c>
      <c r="M334" t="n">
        <v>0</v>
      </c>
      <c r="N334" t="n">
        <v>0</v>
      </c>
      <c r="O334" t="n">
        <v>0</v>
      </c>
      <c r="P334" t="n">
        <v>0</v>
      </c>
      <c r="Q334" t="n">
        <v>0</v>
      </c>
      <c r="R334" s="2" t="inlineStr"/>
    </row>
    <row r="335" ht="15" customHeight="1">
      <c r="A335" t="inlineStr">
        <is>
          <t>A 12224-2023</t>
        </is>
      </c>
      <c r="B335" s="1" t="n">
        <v>44998.59913194444</v>
      </c>
      <c r="C335" s="1" t="n">
        <v>45937</v>
      </c>
      <c r="D335" t="inlineStr">
        <is>
          <t>JÄMTLANDS LÄN</t>
        </is>
      </c>
      <c r="E335" t="inlineStr">
        <is>
          <t>ÅRE</t>
        </is>
      </c>
      <c r="G335" t="n">
        <v>3.2</v>
      </c>
      <c r="H335" t="n">
        <v>0</v>
      </c>
      <c r="I335" t="n">
        <v>0</v>
      </c>
      <c r="J335" t="n">
        <v>0</v>
      </c>
      <c r="K335" t="n">
        <v>0</v>
      </c>
      <c r="L335" t="n">
        <v>0</v>
      </c>
      <c r="M335" t="n">
        <v>0</v>
      </c>
      <c r="N335" t="n">
        <v>0</v>
      </c>
      <c r="O335" t="n">
        <v>0</v>
      </c>
      <c r="P335" t="n">
        <v>0</v>
      </c>
      <c r="Q335" t="n">
        <v>0</v>
      </c>
      <c r="R335" s="2" t="inlineStr"/>
    </row>
    <row r="336" ht="15" customHeight="1">
      <c r="A336" t="inlineStr">
        <is>
          <t>A 1112-2025</t>
        </is>
      </c>
      <c r="B336" s="1" t="n">
        <v>45666</v>
      </c>
      <c r="C336" s="1" t="n">
        <v>45937</v>
      </c>
      <c r="D336" t="inlineStr">
        <is>
          <t>JÄMTLANDS LÄN</t>
        </is>
      </c>
      <c r="E336" t="inlineStr">
        <is>
          <t>ÅRE</t>
        </is>
      </c>
      <c r="F336" t="inlineStr">
        <is>
          <t>Övriga Aktiebolag</t>
        </is>
      </c>
      <c r="G336" t="n">
        <v>17.7</v>
      </c>
      <c r="H336" t="n">
        <v>0</v>
      </c>
      <c r="I336" t="n">
        <v>0</v>
      </c>
      <c r="J336" t="n">
        <v>0</v>
      </c>
      <c r="K336" t="n">
        <v>0</v>
      </c>
      <c r="L336" t="n">
        <v>0</v>
      </c>
      <c r="M336" t="n">
        <v>0</v>
      </c>
      <c r="N336" t="n">
        <v>0</v>
      </c>
      <c r="O336" t="n">
        <v>0</v>
      </c>
      <c r="P336" t="n">
        <v>0</v>
      </c>
      <c r="Q336" t="n">
        <v>0</v>
      </c>
      <c r="R336" s="2" t="inlineStr"/>
    </row>
    <row r="337" ht="15" customHeight="1">
      <c r="A337" t="inlineStr">
        <is>
          <t>A 13383-2022</t>
        </is>
      </c>
      <c r="B337" s="1" t="n">
        <v>44637</v>
      </c>
      <c r="C337" s="1" t="n">
        <v>45937</v>
      </c>
      <c r="D337" t="inlineStr">
        <is>
          <t>JÄMTLANDS LÄN</t>
        </is>
      </c>
      <c r="E337" t="inlineStr">
        <is>
          <t>ÅRE</t>
        </is>
      </c>
      <c r="G337" t="n">
        <v>2.2</v>
      </c>
      <c r="H337" t="n">
        <v>0</v>
      </c>
      <c r="I337" t="n">
        <v>0</v>
      </c>
      <c r="J337" t="n">
        <v>0</v>
      </c>
      <c r="K337" t="n">
        <v>0</v>
      </c>
      <c r="L337" t="n">
        <v>0</v>
      </c>
      <c r="M337" t="n">
        <v>0</v>
      </c>
      <c r="N337" t="n">
        <v>0</v>
      </c>
      <c r="O337" t="n">
        <v>0</v>
      </c>
      <c r="P337" t="n">
        <v>0</v>
      </c>
      <c r="Q337" t="n">
        <v>0</v>
      </c>
      <c r="R337" s="2" t="inlineStr"/>
    </row>
    <row r="338" ht="15" customHeight="1">
      <c r="A338" t="inlineStr">
        <is>
          <t>A 55033-2024</t>
        </is>
      </c>
      <c r="B338" s="1" t="n">
        <v>45621.38193287037</v>
      </c>
      <c r="C338" s="1" t="n">
        <v>45937</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49702-2024</t>
        </is>
      </c>
      <c r="B339" s="1" t="n">
        <v>45596</v>
      </c>
      <c r="C339" s="1" t="n">
        <v>45937</v>
      </c>
      <c r="D339" t="inlineStr">
        <is>
          <t>JÄMTLANDS LÄN</t>
        </is>
      </c>
      <c r="E339" t="inlineStr">
        <is>
          <t>ÅRE</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69568-2021</t>
        </is>
      </c>
      <c r="B340" s="1" t="n">
        <v>44531</v>
      </c>
      <c r="C340" s="1" t="n">
        <v>45937</v>
      </c>
      <c r="D340" t="inlineStr">
        <is>
          <t>JÄMTLANDS LÄN</t>
        </is>
      </c>
      <c r="E340" t="inlineStr">
        <is>
          <t>ÅRE</t>
        </is>
      </c>
      <c r="G340" t="n">
        <v>2.9</v>
      </c>
      <c r="H340" t="n">
        <v>0</v>
      </c>
      <c r="I340" t="n">
        <v>0</v>
      </c>
      <c r="J340" t="n">
        <v>0</v>
      </c>
      <c r="K340" t="n">
        <v>0</v>
      </c>
      <c r="L340" t="n">
        <v>0</v>
      </c>
      <c r="M340" t="n">
        <v>0</v>
      </c>
      <c r="N340" t="n">
        <v>0</v>
      </c>
      <c r="O340" t="n">
        <v>0</v>
      </c>
      <c r="P340" t="n">
        <v>0</v>
      </c>
      <c r="Q340" t="n">
        <v>0</v>
      </c>
      <c r="R340" s="2" t="inlineStr"/>
    </row>
    <row r="341" ht="15" customHeight="1">
      <c r="A341" t="inlineStr">
        <is>
          <t>A 9777-2021</t>
        </is>
      </c>
      <c r="B341" s="1" t="n">
        <v>44252</v>
      </c>
      <c r="C341" s="1" t="n">
        <v>45937</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11914-2024</t>
        </is>
      </c>
      <c r="B342" s="1" t="n">
        <v>45376.58467592593</v>
      </c>
      <c r="C342" s="1" t="n">
        <v>45937</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45834-2024</t>
        </is>
      </c>
      <c r="B343" s="1" t="n">
        <v>45579.91509259259</v>
      </c>
      <c r="C343" s="1" t="n">
        <v>45937</v>
      </c>
      <c r="D343" t="inlineStr">
        <is>
          <t>JÄMTLANDS LÄN</t>
        </is>
      </c>
      <c r="E343" t="inlineStr">
        <is>
          <t>ÅRE</t>
        </is>
      </c>
      <c r="G343" t="n">
        <v>3.9</v>
      </c>
      <c r="H343" t="n">
        <v>0</v>
      </c>
      <c r="I343" t="n">
        <v>0</v>
      </c>
      <c r="J343" t="n">
        <v>0</v>
      </c>
      <c r="K343" t="n">
        <v>0</v>
      </c>
      <c r="L343" t="n">
        <v>0</v>
      </c>
      <c r="M343" t="n">
        <v>0</v>
      </c>
      <c r="N343" t="n">
        <v>0</v>
      </c>
      <c r="O343" t="n">
        <v>0</v>
      </c>
      <c r="P343" t="n">
        <v>0</v>
      </c>
      <c r="Q343" t="n">
        <v>0</v>
      </c>
      <c r="R343" s="2" t="inlineStr"/>
    </row>
    <row r="344" ht="15" customHeight="1">
      <c r="A344" t="inlineStr">
        <is>
          <t>A 25275-2025</t>
        </is>
      </c>
      <c r="B344" s="1" t="n">
        <v>45800.55372685185</v>
      </c>
      <c r="C344" s="1" t="n">
        <v>45937</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41653-2024</t>
        </is>
      </c>
      <c r="B345" s="1" t="n">
        <v>45560.64059027778</v>
      </c>
      <c r="C345" s="1" t="n">
        <v>45937</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41686-2024</t>
        </is>
      </c>
      <c r="B346" s="1" t="n">
        <v>45560.67016203704</v>
      </c>
      <c r="C346" s="1" t="n">
        <v>45937</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50344-2024</t>
        </is>
      </c>
      <c r="B347" s="1" t="n">
        <v>45600</v>
      </c>
      <c r="C347" s="1" t="n">
        <v>45937</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3196-2023</t>
        </is>
      </c>
      <c r="B348" s="1" t="n">
        <v>44946</v>
      </c>
      <c r="C348" s="1" t="n">
        <v>45937</v>
      </c>
      <c r="D348" t="inlineStr">
        <is>
          <t>JÄMTLANDS LÄN</t>
        </is>
      </c>
      <c r="E348" t="inlineStr">
        <is>
          <t>ÅRE</t>
        </is>
      </c>
      <c r="G348" t="n">
        <v>5.1</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45937</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2374-2023</t>
        </is>
      </c>
      <c r="B350" s="1" t="n">
        <v>44942.69005787037</v>
      </c>
      <c r="C350" s="1" t="n">
        <v>45937</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59325-2024</t>
        </is>
      </c>
      <c r="B351" s="1" t="n">
        <v>45636</v>
      </c>
      <c r="C351" s="1" t="n">
        <v>45937</v>
      </c>
      <c r="D351" t="inlineStr">
        <is>
          <t>JÄMTLANDS LÄN</t>
        </is>
      </c>
      <c r="E351" t="inlineStr">
        <is>
          <t>ÅRE</t>
        </is>
      </c>
      <c r="G351" t="n">
        <v>0.6</v>
      </c>
      <c r="H351" t="n">
        <v>0</v>
      </c>
      <c r="I351" t="n">
        <v>0</v>
      </c>
      <c r="J351" t="n">
        <v>0</v>
      </c>
      <c r="K351" t="n">
        <v>0</v>
      </c>
      <c r="L351" t="n">
        <v>0</v>
      </c>
      <c r="M351" t="n">
        <v>0</v>
      </c>
      <c r="N351" t="n">
        <v>0</v>
      </c>
      <c r="O351" t="n">
        <v>0</v>
      </c>
      <c r="P351" t="n">
        <v>0</v>
      </c>
      <c r="Q351" t="n">
        <v>0</v>
      </c>
      <c r="R351" s="2" t="inlineStr"/>
    </row>
    <row r="352" ht="15" customHeight="1">
      <c r="A352" t="inlineStr">
        <is>
          <t>A 5651-2023</t>
        </is>
      </c>
      <c r="B352" s="1" t="n">
        <v>44958</v>
      </c>
      <c r="C352" s="1" t="n">
        <v>45937</v>
      </c>
      <c r="D352" t="inlineStr">
        <is>
          <t>JÄMTLANDS LÄN</t>
        </is>
      </c>
      <c r="E352" t="inlineStr">
        <is>
          <t>ÅRE</t>
        </is>
      </c>
      <c r="G352" t="n">
        <v>5.7</v>
      </c>
      <c r="H352" t="n">
        <v>0</v>
      </c>
      <c r="I352" t="n">
        <v>0</v>
      </c>
      <c r="J352" t="n">
        <v>0</v>
      </c>
      <c r="K352" t="n">
        <v>0</v>
      </c>
      <c r="L352" t="n">
        <v>0</v>
      </c>
      <c r="M352" t="n">
        <v>0</v>
      </c>
      <c r="N352" t="n">
        <v>0</v>
      </c>
      <c r="O352" t="n">
        <v>0</v>
      </c>
      <c r="P352" t="n">
        <v>0</v>
      </c>
      <c r="Q352" t="n">
        <v>0</v>
      </c>
      <c r="R352" s="2" t="inlineStr"/>
    </row>
    <row r="353" ht="15" customHeight="1">
      <c r="A353" t="inlineStr">
        <is>
          <t>A 4272-2025</t>
        </is>
      </c>
      <c r="B353" s="1" t="n">
        <v>45685</v>
      </c>
      <c r="C353" s="1" t="n">
        <v>45937</v>
      </c>
      <c r="D353" t="inlineStr">
        <is>
          <t>JÄMTLANDS LÄN</t>
        </is>
      </c>
      <c r="E353" t="inlineStr">
        <is>
          <t>ÅRE</t>
        </is>
      </c>
      <c r="F353" t="inlineStr">
        <is>
          <t>Övriga Aktiebolag</t>
        </is>
      </c>
      <c r="G353" t="n">
        <v>16.6</v>
      </c>
      <c r="H353" t="n">
        <v>0</v>
      </c>
      <c r="I353" t="n">
        <v>0</v>
      </c>
      <c r="J353" t="n">
        <v>0</v>
      </c>
      <c r="K353" t="n">
        <v>0</v>
      </c>
      <c r="L353" t="n">
        <v>0</v>
      </c>
      <c r="M353" t="n">
        <v>0</v>
      </c>
      <c r="N353" t="n">
        <v>0</v>
      </c>
      <c r="O353" t="n">
        <v>0</v>
      </c>
      <c r="P353" t="n">
        <v>0</v>
      </c>
      <c r="Q353" t="n">
        <v>0</v>
      </c>
      <c r="R353" s="2" t="inlineStr"/>
    </row>
    <row r="354" ht="15" customHeight="1">
      <c r="A354" t="inlineStr">
        <is>
          <t>A 18531-2021</t>
        </is>
      </c>
      <c r="B354" s="1" t="n">
        <v>44306</v>
      </c>
      <c r="C354" s="1" t="n">
        <v>45937</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21464-2022</t>
        </is>
      </c>
      <c r="B355" s="1" t="n">
        <v>44706</v>
      </c>
      <c r="C355" s="1" t="n">
        <v>45937</v>
      </c>
      <c r="D355" t="inlineStr">
        <is>
          <t>JÄMTLANDS LÄN</t>
        </is>
      </c>
      <c r="E355" t="inlineStr">
        <is>
          <t>ÅRE</t>
        </is>
      </c>
      <c r="G355" t="n">
        <v>10.9</v>
      </c>
      <c r="H355" t="n">
        <v>0</v>
      </c>
      <c r="I355" t="n">
        <v>0</v>
      </c>
      <c r="J355" t="n">
        <v>0</v>
      </c>
      <c r="K355" t="n">
        <v>0</v>
      </c>
      <c r="L355" t="n">
        <v>0</v>
      </c>
      <c r="M355" t="n">
        <v>0</v>
      </c>
      <c r="N355" t="n">
        <v>0</v>
      </c>
      <c r="O355" t="n">
        <v>0</v>
      </c>
      <c r="P355" t="n">
        <v>0</v>
      </c>
      <c r="Q355" t="n">
        <v>0</v>
      </c>
      <c r="R355" s="2" t="inlineStr"/>
    </row>
    <row r="356" ht="15" customHeight="1">
      <c r="A356" t="inlineStr">
        <is>
          <t>A 65239-2021</t>
        </is>
      </c>
      <c r="B356" s="1" t="n">
        <v>44515</v>
      </c>
      <c r="C356" s="1" t="n">
        <v>45937</v>
      </c>
      <c r="D356" t="inlineStr">
        <is>
          <t>JÄMTLANDS LÄN</t>
        </is>
      </c>
      <c r="E356" t="inlineStr">
        <is>
          <t>ÅRE</t>
        </is>
      </c>
      <c r="G356" t="n">
        <v>0</v>
      </c>
      <c r="H356" t="n">
        <v>0</v>
      </c>
      <c r="I356" t="n">
        <v>0</v>
      </c>
      <c r="J356" t="n">
        <v>0</v>
      </c>
      <c r="K356" t="n">
        <v>0</v>
      </c>
      <c r="L356" t="n">
        <v>0</v>
      </c>
      <c r="M356" t="n">
        <v>0</v>
      </c>
      <c r="N356" t="n">
        <v>0</v>
      </c>
      <c r="O356" t="n">
        <v>0</v>
      </c>
      <c r="P356" t="n">
        <v>0</v>
      </c>
      <c r="Q356" t="n">
        <v>0</v>
      </c>
      <c r="R356" s="2" t="inlineStr"/>
    </row>
    <row r="357" ht="15" customHeight="1">
      <c r="A357" t="inlineStr">
        <is>
          <t>A 38285-2025</t>
        </is>
      </c>
      <c r="B357" s="1" t="n">
        <v>45883.43145833333</v>
      </c>
      <c r="C357" s="1" t="n">
        <v>45937</v>
      </c>
      <c r="D357" t="inlineStr">
        <is>
          <t>JÄMTLANDS LÄN</t>
        </is>
      </c>
      <c r="E357" t="inlineStr">
        <is>
          <t>ÅRE</t>
        </is>
      </c>
      <c r="G357" t="n">
        <v>2.6</v>
      </c>
      <c r="H357" t="n">
        <v>0</v>
      </c>
      <c r="I357" t="n">
        <v>0</v>
      </c>
      <c r="J357" t="n">
        <v>0</v>
      </c>
      <c r="K357" t="n">
        <v>0</v>
      </c>
      <c r="L357" t="n">
        <v>0</v>
      </c>
      <c r="M357" t="n">
        <v>0</v>
      </c>
      <c r="N357" t="n">
        <v>0</v>
      </c>
      <c r="O357" t="n">
        <v>0</v>
      </c>
      <c r="P357" t="n">
        <v>0</v>
      </c>
      <c r="Q357" t="n">
        <v>0</v>
      </c>
      <c r="R357" s="2" t="inlineStr"/>
    </row>
    <row r="358" ht="15" customHeight="1">
      <c r="A358" t="inlineStr">
        <is>
          <t>A 4181-2025</t>
        </is>
      </c>
      <c r="B358" s="1" t="n">
        <v>45685.44300925926</v>
      </c>
      <c r="C358" s="1" t="n">
        <v>45937</v>
      </c>
      <c r="D358" t="inlineStr">
        <is>
          <t>JÄMTLANDS LÄN</t>
        </is>
      </c>
      <c r="E358" t="inlineStr">
        <is>
          <t>ÅRE</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46789-2024</t>
        </is>
      </c>
      <c r="B359" s="1" t="n">
        <v>45583.53219907408</v>
      </c>
      <c r="C359" s="1" t="n">
        <v>45937</v>
      </c>
      <c r="D359" t="inlineStr">
        <is>
          <t>JÄMTLANDS LÄN</t>
        </is>
      </c>
      <c r="E359" t="inlineStr">
        <is>
          <t>ÅRE</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43456-2023</t>
        </is>
      </c>
      <c r="B360" s="1" t="n">
        <v>45184.37474537037</v>
      </c>
      <c r="C360" s="1" t="n">
        <v>45937</v>
      </c>
      <c r="D360" t="inlineStr">
        <is>
          <t>JÄMTLANDS LÄN</t>
        </is>
      </c>
      <c r="E360" t="inlineStr">
        <is>
          <t>ÅRE</t>
        </is>
      </c>
      <c r="F360" t="inlineStr">
        <is>
          <t>Övriga Aktiebolag</t>
        </is>
      </c>
      <c r="G360" t="n">
        <v>8.9</v>
      </c>
      <c r="H360" t="n">
        <v>0</v>
      </c>
      <c r="I360" t="n">
        <v>0</v>
      </c>
      <c r="J360" t="n">
        <v>0</v>
      </c>
      <c r="K360" t="n">
        <v>0</v>
      </c>
      <c r="L360" t="n">
        <v>0</v>
      </c>
      <c r="M360" t="n">
        <v>0</v>
      </c>
      <c r="N360" t="n">
        <v>0</v>
      </c>
      <c r="O360" t="n">
        <v>0</v>
      </c>
      <c r="P360" t="n">
        <v>0</v>
      </c>
      <c r="Q360" t="n">
        <v>0</v>
      </c>
      <c r="R360" s="2" t="inlineStr"/>
    </row>
    <row r="361" ht="15" customHeight="1">
      <c r="A361" t="inlineStr">
        <is>
          <t>A 5923-2022</t>
        </is>
      </c>
      <c r="B361" s="1" t="n">
        <v>44598.64403935185</v>
      </c>
      <c r="C361" s="1" t="n">
        <v>45937</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55944-2022</t>
        </is>
      </c>
      <c r="B362" s="1" t="n">
        <v>44889</v>
      </c>
      <c r="C362" s="1" t="n">
        <v>45937</v>
      </c>
      <c r="D362" t="inlineStr">
        <is>
          <t>JÄMTLANDS LÄN</t>
        </is>
      </c>
      <c r="E362" t="inlineStr">
        <is>
          <t>ÅRE</t>
        </is>
      </c>
      <c r="G362" t="n">
        <v>11.1</v>
      </c>
      <c r="H362" t="n">
        <v>0</v>
      </c>
      <c r="I362" t="n">
        <v>0</v>
      </c>
      <c r="J362" t="n">
        <v>0</v>
      </c>
      <c r="K362" t="n">
        <v>0</v>
      </c>
      <c r="L362" t="n">
        <v>0</v>
      </c>
      <c r="M362" t="n">
        <v>0</v>
      </c>
      <c r="N362" t="n">
        <v>0</v>
      </c>
      <c r="O362" t="n">
        <v>0</v>
      </c>
      <c r="P362" t="n">
        <v>0</v>
      </c>
      <c r="Q362" t="n">
        <v>0</v>
      </c>
      <c r="R362" s="2" t="inlineStr"/>
    </row>
    <row r="363" ht="15" customHeight="1">
      <c r="A363" t="inlineStr">
        <is>
          <t>A 46788-2024</t>
        </is>
      </c>
      <c r="B363" s="1" t="n">
        <v>45583.53219907408</v>
      </c>
      <c r="C363" s="1" t="n">
        <v>45937</v>
      </c>
      <c r="D363" t="inlineStr">
        <is>
          <t>JÄMTLANDS LÄN</t>
        </is>
      </c>
      <c r="E363" t="inlineStr">
        <is>
          <t>ÅRE</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68518-2020</t>
        </is>
      </c>
      <c r="B364" s="1" t="n">
        <v>44186</v>
      </c>
      <c r="C364" s="1" t="n">
        <v>45937</v>
      </c>
      <c r="D364" t="inlineStr">
        <is>
          <t>JÄMTLANDS LÄN</t>
        </is>
      </c>
      <c r="E364" t="inlineStr">
        <is>
          <t>ÅRE</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60962-2023</t>
        </is>
      </c>
      <c r="B365" s="1" t="n">
        <v>45261.46787037037</v>
      </c>
      <c r="C365" s="1" t="n">
        <v>45937</v>
      </c>
      <c r="D365" t="inlineStr">
        <is>
          <t>JÄMTLANDS LÄN</t>
        </is>
      </c>
      <c r="E365" t="inlineStr">
        <is>
          <t>ÅRE</t>
        </is>
      </c>
      <c r="G365" t="n">
        <v>3.2</v>
      </c>
      <c r="H365" t="n">
        <v>0</v>
      </c>
      <c r="I365" t="n">
        <v>0</v>
      </c>
      <c r="J365" t="n">
        <v>0</v>
      </c>
      <c r="K365" t="n">
        <v>0</v>
      </c>
      <c r="L365" t="n">
        <v>0</v>
      </c>
      <c r="M365" t="n">
        <v>0</v>
      </c>
      <c r="N365" t="n">
        <v>0</v>
      </c>
      <c r="O365" t="n">
        <v>0</v>
      </c>
      <c r="P365" t="n">
        <v>0</v>
      </c>
      <c r="Q365" t="n">
        <v>0</v>
      </c>
      <c r="R365" s="2" t="inlineStr"/>
    </row>
    <row r="366" ht="15" customHeight="1">
      <c r="A366" t="inlineStr">
        <is>
          <t>A 60973-2023</t>
        </is>
      </c>
      <c r="B366" s="1" t="n">
        <v>45261.47321759259</v>
      </c>
      <c r="C366" s="1" t="n">
        <v>45937</v>
      </c>
      <c r="D366" t="inlineStr">
        <is>
          <t>JÄMTLANDS LÄN</t>
        </is>
      </c>
      <c r="E366" t="inlineStr">
        <is>
          <t>ÅRE</t>
        </is>
      </c>
      <c r="G366" t="n">
        <v>3.1</v>
      </c>
      <c r="H366" t="n">
        <v>0</v>
      </c>
      <c r="I366" t="n">
        <v>0</v>
      </c>
      <c r="J366" t="n">
        <v>0</v>
      </c>
      <c r="K366" t="n">
        <v>0</v>
      </c>
      <c r="L366" t="n">
        <v>0</v>
      </c>
      <c r="M366" t="n">
        <v>0</v>
      </c>
      <c r="N366" t="n">
        <v>0</v>
      </c>
      <c r="O366" t="n">
        <v>0</v>
      </c>
      <c r="P366" t="n">
        <v>0</v>
      </c>
      <c r="Q366" t="n">
        <v>0</v>
      </c>
      <c r="R366" s="2" t="inlineStr"/>
    </row>
    <row r="367" ht="15" customHeight="1">
      <c r="A367" t="inlineStr">
        <is>
          <t>A 44889-2023</t>
        </is>
      </c>
      <c r="B367" s="1" t="n">
        <v>45190</v>
      </c>
      <c r="C367" s="1" t="n">
        <v>45937</v>
      </c>
      <c r="D367" t="inlineStr">
        <is>
          <t>JÄMTLANDS LÄN</t>
        </is>
      </c>
      <c r="E367" t="inlineStr">
        <is>
          <t>ÅRE</t>
        </is>
      </c>
      <c r="G367" t="n">
        <v>1.3</v>
      </c>
      <c r="H367" t="n">
        <v>0</v>
      </c>
      <c r="I367" t="n">
        <v>0</v>
      </c>
      <c r="J367" t="n">
        <v>0</v>
      </c>
      <c r="K367" t="n">
        <v>0</v>
      </c>
      <c r="L367" t="n">
        <v>0</v>
      </c>
      <c r="M367" t="n">
        <v>0</v>
      </c>
      <c r="N367" t="n">
        <v>0</v>
      </c>
      <c r="O367" t="n">
        <v>0</v>
      </c>
      <c r="P367" t="n">
        <v>0</v>
      </c>
      <c r="Q367" t="n">
        <v>0</v>
      </c>
      <c r="R367" s="2" t="inlineStr"/>
    </row>
    <row r="368" ht="15" customHeight="1">
      <c r="A368" t="inlineStr">
        <is>
          <t>A 13221-2022</t>
        </is>
      </c>
      <c r="B368" s="1" t="n">
        <v>44644</v>
      </c>
      <c r="C368" s="1" t="n">
        <v>45937</v>
      </c>
      <c r="D368" t="inlineStr">
        <is>
          <t>JÄMTLANDS LÄN</t>
        </is>
      </c>
      <c r="E368" t="inlineStr">
        <is>
          <t>ÅRE</t>
        </is>
      </c>
      <c r="F368" t="inlineStr">
        <is>
          <t>Övriga Aktiebolag</t>
        </is>
      </c>
      <c r="G368" t="n">
        <v>6.6</v>
      </c>
      <c r="H368" t="n">
        <v>0</v>
      </c>
      <c r="I368" t="n">
        <v>0</v>
      </c>
      <c r="J368" t="n">
        <v>0</v>
      </c>
      <c r="K368" t="n">
        <v>0</v>
      </c>
      <c r="L368" t="n">
        <v>0</v>
      </c>
      <c r="M368" t="n">
        <v>0</v>
      </c>
      <c r="N368" t="n">
        <v>0</v>
      </c>
      <c r="O368" t="n">
        <v>0</v>
      </c>
      <c r="P368" t="n">
        <v>0</v>
      </c>
      <c r="Q368" t="n">
        <v>0</v>
      </c>
      <c r="R368" s="2" t="inlineStr"/>
    </row>
    <row r="369" ht="15" customHeight="1">
      <c r="A369" t="inlineStr">
        <is>
          <t>A 67972-2020</t>
        </is>
      </c>
      <c r="B369" s="1" t="n">
        <v>44182</v>
      </c>
      <c r="C369" s="1" t="n">
        <v>45937</v>
      </c>
      <c r="D369" t="inlineStr">
        <is>
          <t>JÄMTLANDS LÄN</t>
        </is>
      </c>
      <c r="E369" t="inlineStr">
        <is>
          <t>ÅRE</t>
        </is>
      </c>
      <c r="G369" t="n">
        <v>6</v>
      </c>
      <c r="H369" t="n">
        <v>0</v>
      </c>
      <c r="I369" t="n">
        <v>0</v>
      </c>
      <c r="J369" t="n">
        <v>0</v>
      </c>
      <c r="K369" t="n">
        <v>0</v>
      </c>
      <c r="L369" t="n">
        <v>0</v>
      </c>
      <c r="M369" t="n">
        <v>0</v>
      </c>
      <c r="N369" t="n">
        <v>0</v>
      </c>
      <c r="O369" t="n">
        <v>0</v>
      </c>
      <c r="P369" t="n">
        <v>0</v>
      </c>
      <c r="Q369" t="n">
        <v>0</v>
      </c>
      <c r="R369" s="2" t="inlineStr"/>
    </row>
    <row r="370" ht="15" customHeight="1">
      <c r="A370" t="inlineStr">
        <is>
          <t>A 27390-2021</t>
        </is>
      </c>
      <c r="B370" s="1" t="n">
        <v>44351</v>
      </c>
      <c r="C370" s="1" t="n">
        <v>45937</v>
      </c>
      <c r="D370" t="inlineStr">
        <is>
          <t>JÄMTLANDS LÄN</t>
        </is>
      </c>
      <c r="E370" t="inlineStr">
        <is>
          <t>ÅRE</t>
        </is>
      </c>
      <c r="G370" t="n">
        <v>14.9</v>
      </c>
      <c r="H370" t="n">
        <v>0</v>
      </c>
      <c r="I370" t="n">
        <v>0</v>
      </c>
      <c r="J370" t="n">
        <v>0</v>
      </c>
      <c r="K370" t="n">
        <v>0</v>
      </c>
      <c r="L370" t="n">
        <v>0</v>
      </c>
      <c r="M370" t="n">
        <v>0</v>
      </c>
      <c r="N370" t="n">
        <v>0</v>
      </c>
      <c r="O370" t="n">
        <v>0</v>
      </c>
      <c r="P370" t="n">
        <v>0</v>
      </c>
      <c r="Q370" t="n">
        <v>0</v>
      </c>
      <c r="R370" s="2" t="inlineStr"/>
    </row>
    <row r="371" ht="15" customHeight="1">
      <c r="A371" t="inlineStr">
        <is>
          <t>A 18849-2022</t>
        </is>
      </c>
      <c r="B371" s="1" t="n">
        <v>44690</v>
      </c>
      <c r="C371" s="1" t="n">
        <v>45937</v>
      </c>
      <c r="D371" t="inlineStr">
        <is>
          <t>JÄMTLANDS LÄN</t>
        </is>
      </c>
      <c r="E371" t="inlineStr">
        <is>
          <t>ÅRE</t>
        </is>
      </c>
      <c r="G371" t="n">
        <v>12.8</v>
      </c>
      <c r="H371" t="n">
        <v>0</v>
      </c>
      <c r="I371" t="n">
        <v>0</v>
      </c>
      <c r="J371" t="n">
        <v>0</v>
      </c>
      <c r="K371" t="n">
        <v>0</v>
      </c>
      <c r="L371" t="n">
        <v>0</v>
      </c>
      <c r="M371" t="n">
        <v>0</v>
      </c>
      <c r="N371" t="n">
        <v>0</v>
      </c>
      <c r="O371" t="n">
        <v>0</v>
      </c>
      <c r="P371" t="n">
        <v>0</v>
      </c>
      <c r="Q371" t="n">
        <v>0</v>
      </c>
      <c r="R371" s="2" t="inlineStr"/>
    </row>
    <row r="372" ht="15" customHeight="1">
      <c r="A372" t="inlineStr">
        <is>
          <t>A 12940-2024</t>
        </is>
      </c>
      <c r="B372" s="1" t="n">
        <v>45385.46263888889</v>
      </c>
      <c r="C372" s="1" t="n">
        <v>45937</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12193-2023</t>
        </is>
      </c>
      <c r="B373" s="1" t="n">
        <v>44998</v>
      </c>
      <c r="C373" s="1" t="n">
        <v>45937</v>
      </c>
      <c r="D373" t="inlineStr">
        <is>
          <t>JÄMTLANDS LÄN</t>
        </is>
      </c>
      <c r="E373" t="inlineStr">
        <is>
          <t>ÅRE</t>
        </is>
      </c>
      <c r="G373" t="n">
        <v>14.7</v>
      </c>
      <c r="H373" t="n">
        <v>0</v>
      </c>
      <c r="I373" t="n">
        <v>0</v>
      </c>
      <c r="J373" t="n">
        <v>0</v>
      </c>
      <c r="K373" t="n">
        <v>0</v>
      </c>
      <c r="L373" t="n">
        <v>0</v>
      </c>
      <c r="M373" t="n">
        <v>0</v>
      </c>
      <c r="N373" t="n">
        <v>0</v>
      </c>
      <c r="O373" t="n">
        <v>0</v>
      </c>
      <c r="P373" t="n">
        <v>0</v>
      </c>
      <c r="Q373" t="n">
        <v>0</v>
      </c>
      <c r="R373" s="2" t="inlineStr"/>
    </row>
    <row r="374" ht="15" customHeight="1">
      <c r="A374" t="inlineStr">
        <is>
          <t>A 23118-2022</t>
        </is>
      </c>
      <c r="B374" s="1" t="n">
        <v>44719.5662037037</v>
      </c>
      <c r="C374" s="1" t="n">
        <v>45937</v>
      </c>
      <c r="D374" t="inlineStr">
        <is>
          <t>JÄMTLANDS LÄN</t>
        </is>
      </c>
      <c r="E374" t="inlineStr">
        <is>
          <t>ÅRE</t>
        </is>
      </c>
      <c r="G374" t="n">
        <v>3.5</v>
      </c>
      <c r="H374" t="n">
        <v>0</v>
      </c>
      <c r="I374" t="n">
        <v>0</v>
      </c>
      <c r="J374" t="n">
        <v>0</v>
      </c>
      <c r="K374" t="n">
        <v>0</v>
      </c>
      <c r="L374" t="n">
        <v>0</v>
      </c>
      <c r="M374" t="n">
        <v>0</v>
      </c>
      <c r="N374" t="n">
        <v>0</v>
      </c>
      <c r="O374" t="n">
        <v>0</v>
      </c>
      <c r="P374" t="n">
        <v>0</v>
      </c>
      <c r="Q374" t="n">
        <v>0</v>
      </c>
      <c r="R374" s="2" t="inlineStr"/>
    </row>
    <row r="375" ht="15" customHeight="1">
      <c r="A375" t="inlineStr">
        <is>
          <t>A 46452-2025</t>
        </is>
      </c>
      <c r="B375" s="1" t="n">
        <v>45925.65625</v>
      </c>
      <c r="C375" s="1" t="n">
        <v>45937</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46457-2025</t>
        </is>
      </c>
      <c r="B376" s="1" t="n">
        <v>45925.66126157407</v>
      </c>
      <c r="C376" s="1" t="n">
        <v>45937</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17566-2023</t>
        </is>
      </c>
      <c r="B377" s="1" t="n">
        <v>45034</v>
      </c>
      <c r="C377" s="1" t="n">
        <v>45937</v>
      </c>
      <c r="D377" t="inlineStr">
        <is>
          <t>JÄMTLANDS LÄN</t>
        </is>
      </c>
      <c r="E377" t="inlineStr">
        <is>
          <t>ÅRE</t>
        </is>
      </c>
      <c r="G377" t="n">
        <v>4.8</v>
      </c>
      <c r="H377" t="n">
        <v>0</v>
      </c>
      <c r="I377" t="n">
        <v>0</v>
      </c>
      <c r="J377" t="n">
        <v>0</v>
      </c>
      <c r="K377" t="n">
        <v>0</v>
      </c>
      <c r="L377" t="n">
        <v>0</v>
      </c>
      <c r="M377" t="n">
        <v>0</v>
      </c>
      <c r="N377" t="n">
        <v>0</v>
      </c>
      <c r="O377" t="n">
        <v>0</v>
      </c>
      <c r="P377" t="n">
        <v>0</v>
      </c>
      <c r="Q377" t="n">
        <v>0</v>
      </c>
      <c r="R377" s="2" t="inlineStr"/>
    </row>
    <row r="378" ht="15" customHeight="1">
      <c r="A378" t="inlineStr">
        <is>
          <t>A 4777-2025</t>
        </is>
      </c>
      <c r="B378" s="1" t="n">
        <v>45688</v>
      </c>
      <c r="C378" s="1" t="n">
        <v>45937</v>
      </c>
      <c r="D378" t="inlineStr">
        <is>
          <t>JÄMTLANDS LÄN</t>
        </is>
      </c>
      <c r="E378" t="inlineStr">
        <is>
          <t>ÅRE</t>
        </is>
      </c>
      <c r="G378" t="n">
        <v>0.7</v>
      </c>
      <c r="H378" t="n">
        <v>0</v>
      </c>
      <c r="I378" t="n">
        <v>0</v>
      </c>
      <c r="J378" t="n">
        <v>0</v>
      </c>
      <c r="K378" t="n">
        <v>0</v>
      </c>
      <c r="L378" t="n">
        <v>0</v>
      </c>
      <c r="M378" t="n">
        <v>0</v>
      </c>
      <c r="N378" t="n">
        <v>0</v>
      </c>
      <c r="O378" t="n">
        <v>0</v>
      </c>
      <c r="P378" t="n">
        <v>0</v>
      </c>
      <c r="Q378" t="n">
        <v>0</v>
      </c>
      <c r="R378" s="2" t="inlineStr"/>
    </row>
    <row r="379" ht="15" customHeight="1">
      <c r="A379" t="inlineStr">
        <is>
          <t>A 47880-2025</t>
        </is>
      </c>
      <c r="B379" s="1" t="n">
        <v>45932.45949074074</v>
      </c>
      <c r="C379" s="1" t="n">
        <v>45937</v>
      </c>
      <c r="D379" t="inlineStr">
        <is>
          <t>JÄMTLANDS LÄN</t>
        </is>
      </c>
      <c r="E379" t="inlineStr">
        <is>
          <t>ÅRE</t>
        </is>
      </c>
      <c r="G379" t="n">
        <v>25.8</v>
      </c>
      <c r="H379" t="n">
        <v>0</v>
      </c>
      <c r="I379" t="n">
        <v>0</v>
      </c>
      <c r="J379" t="n">
        <v>0</v>
      </c>
      <c r="K379" t="n">
        <v>0</v>
      </c>
      <c r="L379" t="n">
        <v>0</v>
      </c>
      <c r="M379" t="n">
        <v>0</v>
      </c>
      <c r="N379" t="n">
        <v>0</v>
      </c>
      <c r="O379" t="n">
        <v>0</v>
      </c>
      <c r="P379" t="n">
        <v>0</v>
      </c>
      <c r="Q379" t="n">
        <v>0</v>
      </c>
      <c r="R379" s="2" t="inlineStr"/>
    </row>
    <row r="380" ht="15" customHeight="1">
      <c r="A380" t="inlineStr">
        <is>
          <t>A 51277-2023</t>
        </is>
      </c>
      <c r="B380" s="1" t="n">
        <v>45219</v>
      </c>
      <c r="C380" s="1" t="n">
        <v>45937</v>
      </c>
      <c r="D380" t="inlineStr">
        <is>
          <t>JÄMTLANDS LÄN</t>
        </is>
      </c>
      <c r="E380" t="inlineStr">
        <is>
          <t>ÅRE</t>
        </is>
      </c>
      <c r="G380" t="n">
        <v>0.9</v>
      </c>
      <c r="H380" t="n">
        <v>0</v>
      </c>
      <c r="I380" t="n">
        <v>0</v>
      </c>
      <c r="J380" t="n">
        <v>0</v>
      </c>
      <c r="K380" t="n">
        <v>0</v>
      </c>
      <c r="L380" t="n">
        <v>0</v>
      </c>
      <c r="M380" t="n">
        <v>0</v>
      </c>
      <c r="N380" t="n">
        <v>0</v>
      </c>
      <c r="O380" t="n">
        <v>0</v>
      </c>
      <c r="P380" t="n">
        <v>0</v>
      </c>
      <c r="Q380" t="n">
        <v>0</v>
      </c>
      <c r="R380" s="2" t="inlineStr"/>
    </row>
    <row r="381" ht="15" customHeight="1">
      <c r="A381" t="inlineStr">
        <is>
          <t>A 51282-2023</t>
        </is>
      </c>
      <c r="B381" s="1" t="n">
        <v>45219</v>
      </c>
      <c r="C381" s="1" t="n">
        <v>45937</v>
      </c>
      <c r="D381" t="inlineStr">
        <is>
          <t>JÄMTLANDS LÄN</t>
        </is>
      </c>
      <c r="E381" t="inlineStr">
        <is>
          <t>ÅRE</t>
        </is>
      </c>
      <c r="G381" t="n">
        <v>2.3</v>
      </c>
      <c r="H381" t="n">
        <v>0</v>
      </c>
      <c r="I381" t="n">
        <v>0</v>
      </c>
      <c r="J381" t="n">
        <v>0</v>
      </c>
      <c r="K381" t="n">
        <v>0</v>
      </c>
      <c r="L381" t="n">
        <v>0</v>
      </c>
      <c r="M381" t="n">
        <v>0</v>
      </c>
      <c r="N381" t="n">
        <v>0</v>
      </c>
      <c r="O381" t="n">
        <v>0</v>
      </c>
      <c r="P381" t="n">
        <v>0</v>
      </c>
      <c r="Q381" t="n">
        <v>0</v>
      </c>
      <c r="R381" s="2" t="inlineStr"/>
    </row>
    <row r="382" ht="15" customHeight="1">
      <c r="A382" t="inlineStr">
        <is>
          <t>A 39509-2025</t>
        </is>
      </c>
      <c r="B382" s="1" t="n">
        <v>45890.40737268519</v>
      </c>
      <c r="C382" s="1" t="n">
        <v>45937</v>
      </c>
      <c r="D382" t="inlineStr">
        <is>
          <t>JÄMTLANDS LÄN</t>
        </is>
      </c>
      <c r="E382" t="inlineStr">
        <is>
          <t>ÅRE</t>
        </is>
      </c>
      <c r="G382" t="n">
        <v>5.6</v>
      </c>
      <c r="H382" t="n">
        <v>0</v>
      </c>
      <c r="I382" t="n">
        <v>0</v>
      </c>
      <c r="J382" t="n">
        <v>0</v>
      </c>
      <c r="K382" t="n">
        <v>0</v>
      </c>
      <c r="L382" t="n">
        <v>0</v>
      </c>
      <c r="M382" t="n">
        <v>0</v>
      </c>
      <c r="N382" t="n">
        <v>0</v>
      </c>
      <c r="O382" t="n">
        <v>0</v>
      </c>
      <c r="P382" t="n">
        <v>0</v>
      </c>
      <c r="Q382" t="n">
        <v>0</v>
      </c>
      <c r="R382" s="2" t="inlineStr"/>
    </row>
    <row r="383" ht="15" customHeight="1">
      <c r="A383" t="inlineStr">
        <is>
          <t>A 54385-2023</t>
        </is>
      </c>
      <c r="B383" s="1" t="n">
        <v>45233.35863425926</v>
      </c>
      <c r="C383" s="1" t="n">
        <v>45937</v>
      </c>
      <c r="D383" t="inlineStr">
        <is>
          <t>JÄMTLANDS LÄN</t>
        </is>
      </c>
      <c r="E383" t="inlineStr">
        <is>
          <t>ÅRE</t>
        </is>
      </c>
      <c r="G383" t="n">
        <v>3.7</v>
      </c>
      <c r="H383" t="n">
        <v>0</v>
      </c>
      <c r="I383" t="n">
        <v>0</v>
      </c>
      <c r="J383" t="n">
        <v>0</v>
      </c>
      <c r="K383" t="n">
        <v>0</v>
      </c>
      <c r="L383" t="n">
        <v>0</v>
      </c>
      <c r="M383" t="n">
        <v>0</v>
      </c>
      <c r="N383" t="n">
        <v>0</v>
      </c>
      <c r="O383" t="n">
        <v>0</v>
      </c>
      <c r="P383" t="n">
        <v>0</v>
      </c>
      <c r="Q383" t="n">
        <v>0</v>
      </c>
      <c r="R383" s="2" t="inlineStr"/>
    </row>
    <row r="384" ht="15" customHeight="1">
      <c r="A384" t="inlineStr">
        <is>
          <t>A 40653-2022</t>
        </is>
      </c>
      <c r="B384" s="1" t="n">
        <v>44818</v>
      </c>
      <c r="C384" s="1" t="n">
        <v>45937</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48571-2025</t>
        </is>
      </c>
      <c r="B385" s="1" t="n">
        <v>45936.44934027778</v>
      </c>
      <c r="C385" s="1" t="n">
        <v>45937</v>
      </c>
      <c r="D385" t="inlineStr">
        <is>
          <t>JÄMTLANDS LÄN</t>
        </is>
      </c>
      <c r="E385" t="inlineStr">
        <is>
          <t>ÅRE</t>
        </is>
      </c>
      <c r="G385" t="n">
        <v>5.2</v>
      </c>
      <c r="H385" t="n">
        <v>0</v>
      </c>
      <c r="I385" t="n">
        <v>0</v>
      </c>
      <c r="J385" t="n">
        <v>0</v>
      </c>
      <c r="K385" t="n">
        <v>0</v>
      </c>
      <c r="L385" t="n">
        <v>0</v>
      </c>
      <c r="M385" t="n">
        <v>0</v>
      </c>
      <c r="N385" t="n">
        <v>0</v>
      </c>
      <c r="O385" t="n">
        <v>0</v>
      </c>
      <c r="P385" t="n">
        <v>0</v>
      </c>
      <c r="Q385" t="n">
        <v>0</v>
      </c>
      <c r="R385" s="2" t="inlineStr"/>
    </row>
    <row r="386" ht="15" customHeight="1">
      <c r="A386" t="inlineStr">
        <is>
          <t>A 48178-2025</t>
        </is>
      </c>
      <c r="B386" s="1" t="n">
        <v>45933.44865740741</v>
      </c>
      <c r="C386" s="1" t="n">
        <v>45937</v>
      </c>
      <c r="D386" t="inlineStr">
        <is>
          <t>JÄMTLANDS LÄN</t>
        </is>
      </c>
      <c r="E386" t="inlineStr">
        <is>
          <t>ÅRE</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36234-2023</t>
        </is>
      </c>
      <c r="B387" s="1" t="n">
        <v>45150</v>
      </c>
      <c r="C387" s="1" t="n">
        <v>45937</v>
      </c>
      <c r="D387" t="inlineStr">
        <is>
          <t>JÄMTLANDS LÄN</t>
        </is>
      </c>
      <c r="E387" t="inlineStr">
        <is>
          <t>ÅRE</t>
        </is>
      </c>
      <c r="G387" t="n">
        <v>0.9</v>
      </c>
      <c r="H387" t="n">
        <v>0</v>
      </c>
      <c r="I387" t="n">
        <v>0</v>
      </c>
      <c r="J387" t="n">
        <v>0</v>
      </c>
      <c r="K387" t="n">
        <v>0</v>
      </c>
      <c r="L387" t="n">
        <v>0</v>
      </c>
      <c r="M387" t="n">
        <v>0</v>
      </c>
      <c r="N387" t="n">
        <v>0</v>
      </c>
      <c r="O387" t="n">
        <v>0</v>
      </c>
      <c r="P387" t="n">
        <v>0</v>
      </c>
      <c r="Q387" t="n">
        <v>0</v>
      </c>
      <c r="R387" s="2" t="inlineStr"/>
    </row>
    <row r="388" ht="15" customHeight="1">
      <c r="A388" t="inlineStr">
        <is>
          <t>A 61014-2024</t>
        </is>
      </c>
      <c r="B388" s="1" t="n">
        <v>45645.449375</v>
      </c>
      <c r="C388" s="1" t="n">
        <v>45937</v>
      </c>
      <c r="D388" t="inlineStr">
        <is>
          <t>JÄMTLANDS LÄN</t>
        </is>
      </c>
      <c r="E388" t="inlineStr">
        <is>
          <t>ÅRE</t>
        </is>
      </c>
      <c r="F388" t="inlineStr">
        <is>
          <t>Övriga Aktiebolag</t>
        </is>
      </c>
      <c r="G388" t="n">
        <v>4.9</v>
      </c>
      <c r="H388" t="n">
        <v>0</v>
      </c>
      <c r="I388" t="n">
        <v>0</v>
      </c>
      <c r="J388" t="n">
        <v>0</v>
      </c>
      <c r="K388" t="n">
        <v>0</v>
      </c>
      <c r="L388" t="n">
        <v>0</v>
      </c>
      <c r="M388" t="n">
        <v>0</v>
      </c>
      <c r="N388" t="n">
        <v>0</v>
      </c>
      <c r="O388" t="n">
        <v>0</v>
      </c>
      <c r="P388" t="n">
        <v>0</v>
      </c>
      <c r="Q388" t="n">
        <v>0</v>
      </c>
      <c r="R388" s="2" t="inlineStr"/>
    </row>
    <row r="389" ht="15" customHeight="1">
      <c r="A389" t="inlineStr">
        <is>
          <t>A 20485-2024</t>
        </is>
      </c>
      <c r="B389" s="1" t="n">
        <v>45435.7403125</v>
      </c>
      <c r="C389" s="1" t="n">
        <v>45937</v>
      </c>
      <c r="D389" t="inlineStr">
        <is>
          <t>JÄMTLANDS LÄN</t>
        </is>
      </c>
      <c r="E389" t="inlineStr">
        <is>
          <t>ÅRE</t>
        </is>
      </c>
      <c r="G389" t="n">
        <v>1</v>
      </c>
      <c r="H389" t="n">
        <v>0</v>
      </c>
      <c r="I389" t="n">
        <v>0</v>
      </c>
      <c r="J389" t="n">
        <v>0</v>
      </c>
      <c r="K389" t="n">
        <v>0</v>
      </c>
      <c r="L389" t="n">
        <v>0</v>
      </c>
      <c r="M389" t="n">
        <v>0</v>
      </c>
      <c r="N389" t="n">
        <v>0</v>
      </c>
      <c r="O389" t="n">
        <v>0</v>
      </c>
      <c r="P389" t="n">
        <v>0</v>
      </c>
      <c r="Q389" t="n">
        <v>0</v>
      </c>
      <c r="R389" s="2" t="inlineStr"/>
    </row>
    <row r="390" ht="15" customHeight="1">
      <c r="A390" t="inlineStr">
        <is>
          <t>A 37739-2023</t>
        </is>
      </c>
      <c r="B390" s="1" t="n">
        <v>45159</v>
      </c>
      <c r="C390" s="1" t="n">
        <v>45937</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37758-2023</t>
        </is>
      </c>
      <c r="B391" s="1" t="n">
        <v>45159</v>
      </c>
      <c r="C391" s="1" t="n">
        <v>45937</v>
      </c>
      <c r="D391" t="inlineStr">
        <is>
          <t>JÄMTLANDS LÄN</t>
        </is>
      </c>
      <c r="E391" t="inlineStr">
        <is>
          <t>ÅRE</t>
        </is>
      </c>
      <c r="G391" t="n">
        <v>20.1</v>
      </c>
      <c r="H391" t="n">
        <v>0</v>
      </c>
      <c r="I391" t="n">
        <v>0</v>
      </c>
      <c r="J391" t="n">
        <v>0</v>
      </c>
      <c r="K391" t="n">
        <v>0</v>
      </c>
      <c r="L391" t="n">
        <v>0</v>
      </c>
      <c r="M391" t="n">
        <v>0</v>
      </c>
      <c r="N391" t="n">
        <v>0</v>
      </c>
      <c r="O391" t="n">
        <v>0</v>
      </c>
      <c r="P391" t="n">
        <v>0</v>
      </c>
      <c r="Q391" t="n">
        <v>0</v>
      </c>
      <c r="R391" s="2" t="inlineStr"/>
    </row>
    <row r="392" ht="15" customHeight="1">
      <c r="A392" t="inlineStr">
        <is>
          <t>A 4870-2021</t>
        </is>
      </c>
      <c r="B392" s="1" t="n">
        <v>44225</v>
      </c>
      <c r="C392" s="1" t="n">
        <v>45937</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23561-2021</t>
        </is>
      </c>
      <c r="B393" s="1" t="n">
        <v>44334</v>
      </c>
      <c r="C393" s="1" t="n">
        <v>45937</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8788-2025</t>
        </is>
      </c>
      <c r="B394" s="1" t="n">
        <v>45712</v>
      </c>
      <c r="C394" s="1" t="n">
        <v>45937</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6049-2025</t>
        </is>
      </c>
      <c r="B395" s="1" t="n">
        <v>45695</v>
      </c>
      <c r="C395" s="1" t="n">
        <v>45937</v>
      </c>
      <c r="D395" t="inlineStr">
        <is>
          <t>JÄMTLANDS LÄN</t>
        </is>
      </c>
      <c r="E395" t="inlineStr">
        <is>
          <t>ÅRE</t>
        </is>
      </c>
      <c r="G395" t="n">
        <v>58.3</v>
      </c>
      <c r="H395" t="n">
        <v>0</v>
      </c>
      <c r="I395" t="n">
        <v>0</v>
      </c>
      <c r="J395" t="n">
        <v>0</v>
      </c>
      <c r="K395" t="n">
        <v>0</v>
      </c>
      <c r="L395" t="n">
        <v>0</v>
      </c>
      <c r="M395" t="n">
        <v>0</v>
      </c>
      <c r="N395" t="n">
        <v>0</v>
      </c>
      <c r="O395" t="n">
        <v>0</v>
      </c>
      <c r="P395" t="n">
        <v>0</v>
      </c>
      <c r="Q395" t="n">
        <v>0</v>
      </c>
      <c r="R395" s="2" t="inlineStr"/>
    </row>
    <row r="396" ht="15" customHeight="1">
      <c r="A396" t="inlineStr">
        <is>
          <t>A 46444-2024</t>
        </is>
      </c>
      <c r="B396" s="1" t="n">
        <v>45582</v>
      </c>
      <c r="C396" s="1" t="n">
        <v>45937</v>
      </c>
      <c r="D396" t="inlineStr">
        <is>
          <t>JÄMTLANDS LÄN</t>
        </is>
      </c>
      <c r="E396" t="inlineStr">
        <is>
          <t>ÅRE</t>
        </is>
      </c>
      <c r="G396" t="n">
        <v>19.6</v>
      </c>
      <c r="H396" t="n">
        <v>0</v>
      </c>
      <c r="I396" t="n">
        <v>0</v>
      </c>
      <c r="J396" t="n">
        <v>0</v>
      </c>
      <c r="K396" t="n">
        <v>0</v>
      </c>
      <c r="L396" t="n">
        <v>0</v>
      </c>
      <c r="M396" t="n">
        <v>0</v>
      </c>
      <c r="N396" t="n">
        <v>0</v>
      </c>
      <c r="O396" t="n">
        <v>0</v>
      </c>
      <c r="P396" t="n">
        <v>0</v>
      </c>
      <c r="Q396" t="n">
        <v>0</v>
      </c>
      <c r="R396" s="2" t="inlineStr"/>
    </row>
    <row r="397" ht="15" customHeight="1">
      <c r="A397" t="inlineStr">
        <is>
          <t>A 12168-2023</t>
        </is>
      </c>
      <c r="B397" s="1" t="n">
        <v>44998</v>
      </c>
      <c r="C397" s="1" t="n">
        <v>45937</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12173-2023</t>
        </is>
      </c>
      <c r="B398" s="1" t="n">
        <v>44998</v>
      </c>
      <c r="C398" s="1" t="n">
        <v>45937</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59916-2023</t>
        </is>
      </c>
      <c r="B399" s="1" t="n">
        <v>45257.64270833333</v>
      </c>
      <c r="C399" s="1" t="n">
        <v>45937</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33379-2024</t>
        </is>
      </c>
      <c r="B400" s="1" t="n">
        <v>45519.4495949074</v>
      </c>
      <c r="C400" s="1" t="n">
        <v>45937</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47664-2022</t>
        </is>
      </c>
      <c r="B401" s="1" t="n">
        <v>44854.46388888889</v>
      </c>
      <c r="C401" s="1" t="n">
        <v>45937</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17751-2025</t>
        </is>
      </c>
      <c r="B402" s="1" t="n">
        <v>45758</v>
      </c>
      <c r="C402" s="1" t="n">
        <v>45937</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45937</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57448-2023</t>
        </is>
      </c>
      <c r="B404" s="1" t="n">
        <v>45246.34405092592</v>
      </c>
      <c r="C404" s="1" t="n">
        <v>45937</v>
      </c>
      <c r="D404" t="inlineStr">
        <is>
          <t>JÄMTLANDS LÄN</t>
        </is>
      </c>
      <c r="E404" t="inlineStr">
        <is>
          <t>ÅRE</t>
        </is>
      </c>
      <c r="G404" t="n">
        <v>11.9</v>
      </c>
      <c r="H404" t="n">
        <v>0</v>
      </c>
      <c r="I404" t="n">
        <v>0</v>
      </c>
      <c r="J404" t="n">
        <v>0</v>
      </c>
      <c r="K404" t="n">
        <v>0</v>
      </c>
      <c r="L404" t="n">
        <v>0</v>
      </c>
      <c r="M404" t="n">
        <v>0</v>
      </c>
      <c r="N404" t="n">
        <v>0</v>
      </c>
      <c r="O404" t="n">
        <v>0</v>
      </c>
      <c r="P404" t="n">
        <v>0</v>
      </c>
      <c r="Q404" t="n">
        <v>0</v>
      </c>
      <c r="R404" s="2" t="inlineStr"/>
    </row>
    <row r="405" ht="15" customHeight="1">
      <c r="A405" t="inlineStr">
        <is>
          <t>A 49303-2024</t>
        </is>
      </c>
      <c r="B405" s="1" t="n">
        <v>45595</v>
      </c>
      <c r="C405" s="1" t="n">
        <v>45937</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24655-2023</t>
        </is>
      </c>
      <c r="B406" s="1" t="n">
        <v>45084.47790509259</v>
      </c>
      <c r="C406" s="1" t="n">
        <v>45937</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66790-2020</t>
        </is>
      </c>
      <c r="B407" s="1" t="n">
        <v>44179</v>
      </c>
      <c r="C407" s="1" t="n">
        <v>45937</v>
      </c>
      <c r="D407" t="inlineStr">
        <is>
          <t>JÄMTLANDS LÄN</t>
        </is>
      </c>
      <c r="E407" t="inlineStr">
        <is>
          <t>ÅRE</t>
        </is>
      </c>
      <c r="G407" t="n">
        <v>2.3</v>
      </c>
      <c r="H407" t="n">
        <v>0</v>
      </c>
      <c r="I407" t="n">
        <v>0</v>
      </c>
      <c r="J407" t="n">
        <v>0</v>
      </c>
      <c r="K407" t="n">
        <v>0</v>
      </c>
      <c r="L407" t="n">
        <v>0</v>
      </c>
      <c r="M407" t="n">
        <v>0</v>
      </c>
      <c r="N407" t="n">
        <v>0</v>
      </c>
      <c r="O407" t="n">
        <v>0</v>
      </c>
      <c r="P407" t="n">
        <v>0</v>
      </c>
      <c r="Q407" t="n">
        <v>0</v>
      </c>
      <c r="R407" s="2" t="inlineStr"/>
    </row>
    <row r="408" ht="15" customHeight="1">
      <c r="A408" t="inlineStr">
        <is>
          <t>A 12669-2023</t>
        </is>
      </c>
      <c r="B408" s="1" t="n">
        <v>45000</v>
      </c>
      <c r="C408" s="1" t="n">
        <v>45937</v>
      </c>
      <c r="D408" t="inlineStr">
        <is>
          <t>JÄMTLANDS LÄN</t>
        </is>
      </c>
      <c r="E408" t="inlineStr">
        <is>
          <t>ÅRE</t>
        </is>
      </c>
      <c r="F408" t="inlineStr">
        <is>
          <t>Övriga Aktiebolag</t>
        </is>
      </c>
      <c r="G408" t="n">
        <v>2.8</v>
      </c>
      <c r="H408" t="n">
        <v>0</v>
      </c>
      <c r="I408" t="n">
        <v>0</v>
      </c>
      <c r="J408" t="n">
        <v>0</v>
      </c>
      <c r="K408" t="n">
        <v>0</v>
      </c>
      <c r="L408" t="n">
        <v>0</v>
      </c>
      <c r="M408" t="n">
        <v>0</v>
      </c>
      <c r="N408" t="n">
        <v>0</v>
      </c>
      <c r="O408" t="n">
        <v>0</v>
      </c>
      <c r="P408" t="n">
        <v>0</v>
      </c>
      <c r="Q408" t="n">
        <v>0</v>
      </c>
      <c r="R408" s="2" t="inlineStr"/>
    </row>
    <row r="409" ht="15" customHeight="1">
      <c r="A409" t="inlineStr">
        <is>
          <t>A 47963-2025</t>
        </is>
      </c>
      <c r="B409" s="1" t="n">
        <v>45931</v>
      </c>
      <c r="C409" s="1" t="n">
        <v>45937</v>
      </c>
      <c r="D409" t="inlineStr">
        <is>
          <t>JÄMTLANDS LÄN</t>
        </is>
      </c>
      <c r="E409" t="inlineStr">
        <is>
          <t>ÅRE</t>
        </is>
      </c>
      <c r="G409" t="n">
        <v>0.3</v>
      </c>
      <c r="H409" t="n">
        <v>0</v>
      </c>
      <c r="I409" t="n">
        <v>0</v>
      </c>
      <c r="J409" t="n">
        <v>0</v>
      </c>
      <c r="K409" t="n">
        <v>0</v>
      </c>
      <c r="L409" t="n">
        <v>0</v>
      </c>
      <c r="M409" t="n">
        <v>0</v>
      </c>
      <c r="N409" t="n">
        <v>0</v>
      </c>
      <c r="O409" t="n">
        <v>0</v>
      </c>
      <c r="P409" t="n">
        <v>0</v>
      </c>
      <c r="Q409" t="n">
        <v>0</v>
      </c>
      <c r="R409" s="2" t="inlineStr"/>
    </row>
    <row r="410" ht="15" customHeight="1">
      <c r="A410" t="inlineStr">
        <is>
          <t>A 42136-2022</t>
        </is>
      </c>
      <c r="B410" s="1" t="n">
        <v>44830</v>
      </c>
      <c r="C410" s="1" t="n">
        <v>45937</v>
      </c>
      <c r="D410" t="inlineStr">
        <is>
          <t>JÄMTLANDS LÄN</t>
        </is>
      </c>
      <c r="E410" t="inlineStr">
        <is>
          <t>ÅRE</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1159-2023</t>
        </is>
      </c>
      <c r="B411" s="1" t="n">
        <v>44935.66199074074</v>
      </c>
      <c r="C411" s="1" t="n">
        <v>45937</v>
      </c>
      <c r="D411" t="inlineStr">
        <is>
          <t>JÄMTLANDS LÄN</t>
        </is>
      </c>
      <c r="E411" t="inlineStr">
        <is>
          <t>ÅRE</t>
        </is>
      </c>
      <c r="G411" t="n">
        <v>6.4</v>
      </c>
      <c r="H411" t="n">
        <v>0</v>
      </c>
      <c r="I411" t="n">
        <v>0</v>
      </c>
      <c r="J411" t="n">
        <v>0</v>
      </c>
      <c r="K411" t="n">
        <v>0</v>
      </c>
      <c r="L411" t="n">
        <v>0</v>
      </c>
      <c r="M411" t="n">
        <v>0</v>
      </c>
      <c r="N411" t="n">
        <v>0</v>
      </c>
      <c r="O411" t="n">
        <v>0</v>
      </c>
      <c r="P411" t="n">
        <v>0</v>
      </c>
      <c r="Q411" t="n">
        <v>0</v>
      </c>
      <c r="R411" s="2" t="inlineStr"/>
    </row>
    <row r="412" ht="15" customHeight="1">
      <c r="A412" t="inlineStr">
        <is>
          <t>A 60016-2020</t>
        </is>
      </c>
      <c r="B412" s="1" t="n">
        <v>44151</v>
      </c>
      <c r="C412" s="1" t="n">
        <v>45937</v>
      </c>
      <c r="D412" t="inlineStr">
        <is>
          <t>JÄMTLANDS LÄN</t>
        </is>
      </c>
      <c r="E412" t="inlineStr">
        <is>
          <t>ÅRE</t>
        </is>
      </c>
      <c r="G412" t="n">
        <v>14.7</v>
      </c>
      <c r="H412" t="n">
        <v>0</v>
      </c>
      <c r="I412" t="n">
        <v>0</v>
      </c>
      <c r="J412" t="n">
        <v>0</v>
      </c>
      <c r="K412" t="n">
        <v>0</v>
      </c>
      <c r="L412" t="n">
        <v>0</v>
      </c>
      <c r="M412" t="n">
        <v>0</v>
      </c>
      <c r="N412" t="n">
        <v>0</v>
      </c>
      <c r="O412" t="n">
        <v>0</v>
      </c>
      <c r="P412" t="n">
        <v>0</v>
      </c>
      <c r="Q412" t="n">
        <v>0</v>
      </c>
      <c r="R412" s="2" t="inlineStr"/>
    </row>
    <row r="413" ht="15" customHeight="1">
      <c r="A413" t="inlineStr">
        <is>
          <t>A 13561-2025</t>
        </is>
      </c>
      <c r="B413" s="1" t="n">
        <v>45736.5587037037</v>
      </c>
      <c r="C413" s="1" t="n">
        <v>45937</v>
      </c>
      <c r="D413" t="inlineStr">
        <is>
          <t>JÄMTLANDS LÄN</t>
        </is>
      </c>
      <c r="E413" t="inlineStr">
        <is>
          <t>ÅRE</t>
        </is>
      </c>
      <c r="F413" t="inlineStr">
        <is>
          <t>Övriga statliga verk och myndigheter</t>
        </is>
      </c>
      <c r="G413" t="n">
        <v>3.8</v>
      </c>
      <c r="H413" t="n">
        <v>0</v>
      </c>
      <c r="I413" t="n">
        <v>0</v>
      </c>
      <c r="J413" t="n">
        <v>0</v>
      </c>
      <c r="K413" t="n">
        <v>0</v>
      </c>
      <c r="L413" t="n">
        <v>0</v>
      </c>
      <c r="M413" t="n">
        <v>0</v>
      </c>
      <c r="N413" t="n">
        <v>0</v>
      </c>
      <c r="O413" t="n">
        <v>0</v>
      </c>
      <c r="P413" t="n">
        <v>0</v>
      </c>
      <c r="Q413" t="n">
        <v>0</v>
      </c>
      <c r="R413" s="2" t="inlineStr"/>
    </row>
    <row r="414" ht="15" customHeight="1">
      <c r="A414" t="inlineStr">
        <is>
          <t>A 31388-2021</t>
        </is>
      </c>
      <c r="B414" s="1" t="n">
        <v>44369</v>
      </c>
      <c r="C414" s="1" t="n">
        <v>45937</v>
      </c>
      <c r="D414" t="inlineStr">
        <is>
          <t>JÄMTLANDS LÄN</t>
        </is>
      </c>
      <c r="E414" t="inlineStr">
        <is>
          <t>ÅRE</t>
        </is>
      </c>
      <c r="G414" t="n">
        <v>2</v>
      </c>
      <c r="H414" t="n">
        <v>0</v>
      </c>
      <c r="I414" t="n">
        <v>0</v>
      </c>
      <c r="J414" t="n">
        <v>0</v>
      </c>
      <c r="K414" t="n">
        <v>0</v>
      </c>
      <c r="L414" t="n">
        <v>0</v>
      </c>
      <c r="M414" t="n">
        <v>0</v>
      </c>
      <c r="N414" t="n">
        <v>0</v>
      </c>
      <c r="O414" t="n">
        <v>0</v>
      </c>
      <c r="P414" t="n">
        <v>0</v>
      </c>
      <c r="Q414" t="n">
        <v>0</v>
      </c>
      <c r="R414" s="2" t="inlineStr"/>
    </row>
    <row r="415" ht="15" customHeight="1">
      <c r="A415" t="inlineStr">
        <is>
          <t>A 23805-2024</t>
        </is>
      </c>
      <c r="B415" s="1" t="n">
        <v>45455.44194444444</v>
      </c>
      <c r="C415" s="1" t="n">
        <v>45937</v>
      </c>
      <c r="D415" t="inlineStr">
        <is>
          <t>JÄMTLANDS LÄN</t>
        </is>
      </c>
      <c r="E415" t="inlineStr">
        <is>
          <t>ÅRE</t>
        </is>
      </c>
      <c r="G415" t="n">
        <v>1.5</v>
      </c>
      <c r="H415" t="n">
        <v>0</v>
      </c>
      <c r="I415" t="n">
        <v>0</v>
      </c>
      <c r="J415" t="n">
        <v>0</v>
      </c>
      <c r="K415" t="n">
        <v>0</v>
      </c>
      <c r="L415" t="n">
        <v>0</v>
      </c>
      <c r="M415" t="n">
        <v>0</v>
      </c>
      <c r="N415" t="n">
        <v>0</v>
      </c>
      <c r="O415" t="n">
        <v>0</v>
      </c>
      <c r="P415" t="n">
        <v>0</v>
      </c>
      <c r="Q415" t="n">
        <v>0</v>
      </c>
      <c r="R415" s="2" t="inlineStr"/>
    </row>
    <row r="416" ht="15" customHeight="1">
      <c r="A416" t="inlineStr">
        <is>
          <t>A 19275-2021</t>
        </is>
      </c>
      <c r="B416" s="1" t="n">
        <v>44309</v>
      </c>
      <c r="C416" s="1" t="n">
        <v>45937</v>
      </c>
      <c r="D416" t="inlineStr">
        <is>
          <t>JÄMTLANDS LÄN</t>
        </is>
      </c>
      <c r="E416" t="inlineStr">
        <is>
          <t>ÅRE</t>
        </is>
      </c>
      <c r="G416" t="n">
        <v>16.4</v>
      </c>
      <c r="H416" t="n">
        <v>0</v>
      </c>
      <c r="I416" t="n">
        <v>0</v>
      </c>
      <c r="J416" t="n">
        <v>0</v>
      </c>
      <c r="K416" t="n">
        <v>0</v>
      </c>
      <c r="L416" t="n">
        <v>0</v>
      </c>
      <c r="M416" t="n">
        <v>0</v>
      </c>
      <c r="N416" t="n">
        <v>0</v>
      </c>
      <c r="O416" t="n">
        <v>0</v>
      </c>
      <c r="P416" t="n">
        <v>0</v>
      </c>
      <c r="Q416" t="n">
        <v>0</v>
      </c>
      <c r="R416" s="2" t="inlineStr"/>
    </row>
    <row r="417" ht="15" customHeight="1">
      <c r="A417" t="inlineStr">
        <is>
          <t>A 58508-2023</t>
        </is>
      </c>
      <c r="B417" s="1" t="n">
        <v>45246</v>
      </c>
      <c r="C417" s="1" t="n">
        <v>45937</v>
      </c>
      <c r="D417" t="inlineStr">
        <is>
          <t>JÄMTLANDS LÄN</t>
        </is>
      </c>
      <c r="E417" t="inlineStr">
        <is>
          <t>ÅRE</t>
        </is>
      </c>
      <c r="G417" t="n">
        <v>21.8</v>
      </c>
      <c r="H417" t="n">
        <v>0</v>
      </c>
      <c r="I417" t="n">
        <v>0</v>
      </c>
      <c r="J417" t="n">
        <v>0</v>
      </c>
      <c r="K417" t="n">
        <v>0</v>
      </c>
      <c r="L417" t="n">
        <v>0</v>
      </c>
      <c r="M417" t="n">
        <v>0</v>
      </c>
      <c r="N417" t="n">
        <v>0</v>
      </c>
      <c r="O417" t="n">
        <v>0</v>
      </c>
      <c r="P417" t="n">
        <v>0</v>
      </c>
      <c r="Q417" t="n">
        <v>0</v>
      </c>
      <c r="R417" s="2" t="inlineStr"/>
    </row>
    <row r="418" ht="15" customHeight="1">
      <c r="A418" t="inlineStr">
        <is>
          <t>A 57864-2024</t>
        </is>
      </c>
      <c r="B418" s="1" t="n">
        <v>45631.43578703704</v>
      </c>
      <c r="C418" s="1" t="n">
        <v>45937</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39202-2025</t>
        </is>
      </c>
      <c r="B419" s="1" t="n">
        <v>45888.72116898148</v>
      </c>
      <c r="C419" s="1" t="n">
        <v>45937</v>
      </c>
      <c r="D419" t="inlineStr">
        <is>
          <t>JÄMTLANDS LÄN</t>
        </is>
      </c>
      <c r="E419" t="inlineStr">
        <is>
          <t>ÅRE</t>
        </is>
      </c>
      <c r="G419" t="n">
        <v>4.4</v>
      </c>
      <c r="H419" t="n">
        <v>0</v>
      </c>
      <c r="I419" t="n">
        <v>0</v>
      </c>
      <c r="J419" t="n">
        <v>0</v>
      </c>
      <c r="K419" t="n">
        <v>0</v>
      </c>
      <c r="L419" t="n">
        <v>0</v>
      </c>
      <c r="M419" t="n">
        <v>0</v>
      </c>
      <c r="N419" t="n">
        <v>0</v>
      </c>
      <c r="O419" t="n">
        <v>0</v>
      </c>
      <c r="P419" t="n">
        <v>0</v>
      </c>
      <c r="Q419" t="n">
        <v>0</v>
      </c>
      <c r="R419" s="2" t="inlineStr"/>
    </row>
    <row r="420" ht="15" customHeight="1">
      <c r="A420" t="inlineStr">
        <is>
          <t>A 39115-2025</t>
        </is>
      </c>
      <c r="B420" s="1" t="n">
        <v>45888.55096064815</v>
      </c>
      <c r="C420" s="1" t="n">
        <v>45937</v>
      </c>
      <c r="D420" t="inlineStr">
        <is>
          <t>JÄMTLANDS LÄN</t>
        </is>
      </c>
      <c r="E420" t="inlineStr">
        <is>
          <t>ÅRE</t>
        </is>
      </c>
      <c r="F420" t="inlineStr">
        <is>
          <t>Övriga statliga verk och myndigheter</t>
        </is>
      </c>
      <c r="G420" t="n">
        <v>11.4</v>
      </c>
      <c r="H420" t="n">
        <v>0</v>
      </c>
      <c r="I420" t="n">
        <v>0</v>
      </c>
      <c r="J420" t="n">
        <v>0</v>
      </c>
      <c r="K420" t="n">
        <v>0</v>
      </c>
      <c r="L420" t="n">
        <v>0</v>
      </c>
      <c r="M420" t="n">
        <v>0</v>
      </c>
      <c r="N420" t="n">
        <v>0</v>
      </c>
      <c r="O420" t="n">
        <v>0</v>
      </c>
      <c r="P420" t="n">
        <v>0</v>
      </c>
      <c r="Q420" t="n">
        <v>0</v>
      </c>
      <c r="R420" s="2" t="inlineStr"/>
    </row>
    <row r="421" ht="15" customHeight="1">
      <c r="A421" t="inlineStr">
        <is>
          <t>A 47052-2022</t>
        </is>
      </c>
      <c r="B421" s="1" t="n">
        <v>44851</v>
      </c>
      <c r="C421" s="1" t="n">
        <v>45937</v>
      </c>
      <c r="D421" t="inlineStr">
        <is>
          <t>JÄMTLANDS LÄN</t>
        </is>
      </c>
      <c r="E421" t="inlineStr">
        <is>
          <t>ÅRE</t>
        </is>
      </c>
      <c r="G421" t="n">
        <v>90.8</v>
      </c>
      <c r="H421" t="n">
        <v>0</v>
      </c>
      <c r="I421" t="n">
        <v>0</v>
      </c>
      <c r="J421" t="n">
        <v>0</v>
      </c>
      <c r="K421" t="n">
        <v>0</v>
      </c>
      <c r="L421" t="n">
        <v>0</v>
      </c>
      <c r="M421" t="n">
        <v>0</v>
      </c>
      <c r="N421" t="n">
        <v>0</v>
      </c>
      <c r="O421" t="n">
        <v>0</v>
      </c>
      <c r="P421" t="n">
        <v>0</v>
      </c>
      <c r="Q421" t="n">
        <v>0</v>
      </c>
      <c r="R421" s="2" t="inlineStr"/>
    </row>
    <row r="422" ht="15" customHeight="1">
      <c r="A422" t="inlineStr">
        <is>
          <t>A 12292-2023</t>
        </is>
      </c>
      <c r="B422" s="1" t="n">
        <v>44998</v>
      </c>
      <c r="C422" s="1" t="n">
        <v>45937</v>
      </c>
      <c r="D422" t="inlineStr">
        <is>
          <t>JÄMTLANDS LÄN</t>
        </is>
      </c>
      <c r="E422" t="inlineStr">
        <is>
          <t>ÅRE</t>
        </is>
      </c>
      <c r="G422" t="n">
        <v>3.5</v>
      </c>
      <c r="H422" t="n">
        <v>0</v>
      </c>
      <c r="I422" t="n">
        <v>0</v>
      </c>
      <c r="J422" t="n">
        <v>0</v>
      </c>
      <c r="K422" t="n">
        <v>0</v>
      </c>
      <c r="L422" t="n">
        <v>0</v>
      </c>
      <c r="M422" t="n">
        <v>0</v>
      </c>
      <c r="N422" t="n">
        <v>0</v>
      </c>
      <c r="O422" t="n">
        <v>0</v>
      </c>
      <c r="P422" t="n">
        <v>0</v>
      </c>
      <c r="Q422" t="n">
        <v>0</v>
      </c>
      <c r="R422" s="2" t="inlineStr"/>
    </row>
    <row r="423" ht="15" customHeight="1">
      <c r="A423" t="inlineStr">
        <is>
          <t>A 12294-2023</t>
        </is>
      </c>
      <c r="B423" s="1" t="n">
        <v>44998.75266203703</v>
      </c>
      <c r="C423" s="1" t="n">
        <v>45937</v>
      </c>
      <c r="D423" t="inlineStr">
        <is>
          <t>JÄMTLANDS LÄN</t>
        </is>
      </c>
      <c r="E423" t="inlineStr">
        <is>
          <t>ÅRE</t>
        </is>
      </c>
      <c r="G423" t="n">
        <v>1.4</v>
      </c>
      <c r="H423" t="n">
        <v>0</v>
      </c>
      <c r="I423" t="n">
        <v>0</v>
      </c>
      <c r="J423" t="n">
        <v>0</v>
      </c>
      <c r="K423" t="n">
        <v>0</v>
      </c>
      <c r="L423" t="n">
        <v>0</v>
      </c>
      <c r="M423" t="n">
        <v>0</v>
      </c>
      <c r="N423" t="n">
        <v>0</v>
      </c>
      <c r="O423" t="n">
        <v>0</v>
      </c>
      <c r="P423" t="n">
        <v>0</v>
      </c>
      <c r="Q423" t="n">
        <v>0</v>
      </c>
      <c r="R423" s="2" t="inlineStr"/>
    </row>
    <row r="424" ht="15" customHeight="1">
      <c r="A424" t="inlineStr">
        <is>
          <t>A 32210-2022</t>
        </is>
      </c>
      <c r="B424" s="1" t="n">
        <v>44781</v>
      </c>
      <c r="C424" s="1" t="n">
        <v>45937</v>
      </c>
      <c r="D424" t="inlineStr">
        <is>
          <t>JÄMTLANDS LÄN</t>
        </is>
      </c>
      <c r="E424" t="inlineStr">
        <is>
          <t>ÅRE</t>
        </is>
      </c>
      <c r="G424" t="n">
        <v>17.3</v>
      </c>
      <c r="H424" t="n">
        <v>0</v>
      </c>
      <c r="I424" t="n">
        <v>0</v>
      </c>
      <c r="J424" t="n">
        <v>0</v>
      </c>
      <c r="K424" t="n">
        <v>0</v>
      </c>
      <c r="L424" t="n">
        <v>0</v>
      </c>
      <c r="M424" t="n">
        <v>0</v>
      </c>
      <c r="N424" t="n">
        <v>0</v>
      </c>
      <c r="O424" t="n">
        <v>0</v>
      </c>
      <c r="P424" t="n">
        <v>0</v>
      </c>
      <c r="Q424" t="n">
        <v>0</v>
      </c>
      <c r="R424" s="2" t="inlineStr"/>
    </row>
    <row r="425" ht="15" customHeight="1">
      <c r="A425" t="inlineStr">
        <is>
          <t>A 71968-2021</t>
        </is>
      </c>
      <c r="B425" s="1" t="n">
        <v>44540</v>
      </c>
      <c r="C425" s="1" t="n">
        <v>45937</v>
      </c>
      <c r="D425" t="inlineStr">
        <is>
          <t>JÄMTLANDS LÄN</t>
        </is>
      </c>
      <c r="E425" t="inlineStr">
        <is>
          <t>ÅRE</t>
        </is>
      </c>
      <c r="G425" t="n">
        <v>7</v>
      </c>
      <c r="H425" t="n">
        <v>0</v>
      </c>
      <c r="I425" t="n">
        <v>0</v>
      </c>
      <c r="J425" t="n">
        <v>0</v>
      </c>
      <c r="K425" t="n">
        <v>0</v>
      </c>
      <c r="L425" t="n">
        <v>0</v>
      </c>
      <c r="M425" t="n">
        <v>0</v>
      </c>
      <c r="N425" t="n">
        <v>0</v>
      </c>
      <c r="O425" t="n">
        <v>0</v>
      </c>
      <c r="P425" t="n">
        <v>0</v>
      </c>
      <c r="Q425" t="n">
        <v>0</v>
      </c>
      <c r="R425" s="2" t="inlineStr"/>
    </row>
    <row r="426" ht="15" customHeight="1">
      <c r="A426" t="inlineStr">
        <is>
          <t>A 61803-2021</t>
        </is>
      </c>
      <c r="B426" s="1" t="n">
        <v>44498</v>
      </c>
      <c r="C426" s="1" t="n">
        <v>45937</v>
      </c>
      <c r="D426" t="inlineStr">
        <is>
          <t>JÄMTLANDS LÄN</t>
        </is>
      </c>
      <c r="E426" t="inlineStr">
        <is>
          <t>ÅRE</t>
        </is>
      </c>
      <c r="G426" t="n">
        <v>0.9</v>
      </c>
      <c r="H426" t="n">
        <v>0</v>
      </c>
      <c r="I426" t="n">
        <v>0</v>
      </c>
      <c r="J426" t="n">
        <v>0</v>
      </c>
      <c r="K426" t="n">
        <v>0</v>
      </c>
      <c r="L426" t="n">
        <v>0</v>
      </c>
      <c r="M426" t="n">
        <v>0</v>
      </c>
      <c r="N426" t="n">
        <v>0</v>
      </c>
      <c r="O426" t="n">
        <v>0</v>
      </c>
      <c r="P426" t="n">
        <v>0</v>
      </c>
      <c r="Q426" t="n">
        <v>0</v>
      </c>
      <c r="R426" s="2" t="inlineStr"/>
    </row>
    <row r="427" ht="15" customHeight="1">
      <c r="A427" t="inlineStr">
        <is>
          <t>A 5610-2025</t>
        </is>
      </c>
      <c r="B427" s="1" t="n">
        <v>45693.60425925926</v>
      </c>
      <c r="C427" s="1" t="n">
        <v>45937</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44512-2023</t>
        </is>
      </c>
      <c r="B428" s="1" t="n">
        <v>45184</v>
      </c>
      <c r="C428" s="1" t="n">
        <v>45937</v>
      </c>
      <c r="D428" t="inlineStr">
        <is>
          <t>JÄMTLANDS LÄN</t>
        </is>
      </c>
      <c r="E428" t="inlineStr">
        <is>
          <t>ÅRE</t>
        </is>
      </c>
      <c r="G428" t="n">
        <v>12.5</v>
      </c>
      <c r="H428" t="n">
        <v>0</v>
      </c>
      <c r="I428" t="n">
        <v>0</v>
      </c>
      <c r="J428" t="n">
        <v>0</v>
      </c>
      <c r="K428" t="n">
        <v>0</v>
      </c>
      <c r="L428" t="n">
        <v>0</v>
      </c>
      <c r="M428" t="n">
        <v>0</v>
      </c>
      <c r="N428" t="n">
        <v>0</v>
      </c>
      <c r="O428" t="n">
        <v>0</v>
      </c>
      <c r="P428" t="n">
        <v>0</v>
      </c>
      <c r="Q428" t="n">
        <v>0</v>
      </c>
      <c r="R428" s="2" t="inlineStr"/>
    </row>
    <row r="429" ht="15" customHeight="1">
      <c r="A429" t="inlineStr">
        <is>
          <t>A 33003-2022</t>
        </is>
      </c>
      <c r="B429" s="1" t="n">
        <v>44784</v>
      </c>
      <c r="C429" s="1" t="n">
        <v>45937</v>
      </c>
      <c r="D429" t="inlineStr">
        <is>
          <t>JÄMTLANDS LÄN</t>
        </is>
      </c>
      <c r="E429" t="inlineStr">
        <is>
          <t>ÅRE</t>
        </is>
      </c>
      <c r="G429" t="n">
        <v>6.1</v>
      </c>
      <c r="H429" t="n">
        <v>0</v>
      </c>
      <c r="I429" t="n">
        <v>0</v>
      </c>
      <c r="J429" t="n">
        <v>0</v>
      </c>
      <c r="K429" t="n">
        <v>0</v>
      </c>
      <c r="L429" t="n">
        <v>0</v>
      </c>
      <c r="M429" t="n">
        <v>0</v>
      </c>
      <c r="N429" t="n">
        <v>0</v>
      </c>
      <c r="O429" t="n">
        <v>0</v>
      </c>
      <c r="P429" t="n">
        <v>0</v>
      </c>
      <c r="Q429" t="n">
        <v>0</v>
      </c>
      <c r="R429" s="2" t="inlineStr"/>
    </row>
    <row r="430" ht="15" customHeight="1">
      <c r="A430" t="inlineStr">
        <is>
          <t>A 34925-2025</t>
        </is>
      </c>
      <c r="B430" s="1" t="n">
        <v>45849</v>
      </c>
      <c r="C430" s="1" t="n">
        <v>45937</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5611-2025</t>
        </is>
      </c>
      <c r="B431" s="1" t="n">
        <v>45693.60480324074</v>
      </c>
      <c r="C431" s="1" t="n">
        <v>45937</v>
      </c>
      <c r="D431" t="inlineStr">
        <is>
          <t>JÄMTLANDS LÄN</t>
        </is>
      </c>
      <c r="E431" t="inlineStr">
        <is>
          <t>ÅRE</t>
        </is>
      </c>
      <c r="G431" t="n">
        <v>2.9</v>
      </c>
      <c r="H431" t="n">
        <v>0</v>
      </c>
      <c r="I431" t="n">
        <v>0</v>
      </c>
      <c r="J431" t="n">
        <v>0</v>
      </c>
      <c r="K431" t="n">
        <v>0</v>
      </c>
      <c r="L431" t="n">
        <v>0</v>
      </c>
      <c r="M431" t="n">
        <v>0</v>
      </c>
      <c r="N431" t="n">
        <v>0</v>
      </c>
      <c r="O431" t="n">
        <v>0</v>
      </c>
      <c r="P431" t="n">
        <v>0</v>
      </c>
      <c r="Q431" t="n">
        <v>0</v>
      </c>
      <c r="R431" s="2" t="inlineStr"/>
    </row>
    <row r="432" ht="15" customHeight="1">
      <c r="A432" t="inlineStr">
        <is>
          <t>A 40341-2021</t>
        </is>
      </c>
      <c r="B432" s="1" t="n">
        <v>44419</v>
      </c>
      <c r="C432" s="1" t="n">
        <v>45937</v>
      </c>
      <c r="D432" t="inlineStr">
        <is>
          <t>JÄMTLANDS LÄN</t>
        </is>
      </c>
      <c r="E432" t="inlineStr">
        <is>
          <t>ÅRE</t>
        </is>
      </c>
      <c r="G432" t="n">
        <v>3</v>
      </c>
      <c r="H432" t="n">
        <v>0</v>
      </c>
      <c r="I432" t="n">
        <v>0</v>
      </c>
      <c r="J432" t="n">
        <v>0</v>
      </c>
      <c r="K432" t="n">
        <v>0</v>
      </c>
      <c r="L432" t="n">
        <v>0</v>
      </c>
      <c r="M432" t="n">
        <v>0</v>
      </c>
      <c r="N432" t="n">
        <v>0</v>
      </c>
      <c r="O432" t="n">
        <v>0</v>
      </c>
      <c r="P432" t="n">
        <v>0</v>
      </c>
      <c r="Q432" t="n">
        <v>0</v>
      </c>
      <c r="R432" s="2" t="inlineStr"/>
    </row>
    <row r="433" ht="15" customHeight="1">
      <c r="A433" t="inlineStr">
        <is>
          <t>A 35058-2025</t>
        </is>
      </c>
      <c r="B433" s="1" t="n">
        <v>45849</v>
      </c>
      <c r="C433" s="1" t="n">
        <v>45937</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39742-2025</t>
        </is>
      </c>
      <c r="B434" s="1" t="n">
        <v>45891.37998842593</v>
      </c>
      <c r="C434" s="1" t="n">
        <v>45937</v>
      </c>
      <c r="D434" t="inlineStr">
        <is>
          <t>JÄMTLANDS LÄN</t>
        </is>
      </c>
      <c r="E434" t="inlineStr">
        <is>
          <t>ÅRE</t>
        </is>
      </c>
      <c r="F434" t="inlineStr">
        <is>
          <t>Övriga statliga verk och myndigheter</t>
        </is>
      </c>
      <c r="G434" t="n">
        <v>6.2</v>
      </c>
      <c r="H434" t="n">
        <v>0</v>
      </c>
      <c r="I434" t="n">
        <v>0</v>
      </c>
      <c r="J434" t="n">
        <v>0</v>
      </c>
      <c r="K434" t="n">
        <v>0</v>
      </c>
      <c r="L434" t="n">
        <v>0</v>
      </c>
      <c r="M434" t="n">
        <v>0</v>
      </c>
      <c r="N434" t="n">
        <v>0</v>
      </c>
      <c r="O434" t="n">
        <v>0</v>
      </c>
      <c r="P434" t="n">
        <v>0</v>
      </c>
      <c r="Q434" t="n">
        <v>0</v>
      </c>
      <c r="R434" s="2" t="inlineStr"/>
    </row>
    <row r="435" ht="15" customHeight="1">
      <c r="A435" t="inlineStr">
        <is>
          <t>A 34805-2025</t>
        </is>
      </c>
      <c r="B435" s="1" t="n">
        <v>45849.33071759259</v>
      </c>
      <c r="C435" s="1" t="n">
        <v>45937</v>
      </c>
      <c r="D435" t="inlineStr">
        <is>
          <t>JÄMTLANDS LÄN</t>
        </is>
      </c>
      <c r="E435" t="inlineStr">
        <is>
          <t>ÅRE</t>
        </is>
      </c>
      <c r="G435" t="n">
        <v>2.2</v>
      </c>
      <c r="H435" t="n">
        <v>0</v>
      </c>
      <c r="I435" t="n">
        <v>0</v>
      </c>
      <c r="J435" t="n">
        <v>0</v>
      </c>
      <c r="K435" t="n">
        <v>0</v>
      </c>
      <c r="L435" t="n">
        <v>0</v>
      </c>
      <c r="M435" t="n">
        <v>0</v>
      </c>
      <c r="N435" t="n">
        <v>0</v>
      </c>
      <c r="O435" t="n">
        <v>0</v>
      </c>
      <c r="P435" t="n">
        <v>0</v>
      </c>
      <c r="Q435" t="n">
        <v>0</v>
      </c>
      <c r="R435" s="2" t="inlineStr"/>
    </row>
    <row r="436" ht="15" customHeight="1">
      <c r="A436" t="inlineStr">
        <is>
          <t>A 34897-2025</t>
        </is>
      </c>
      <c r="B436" s="1" t="n">
        <v>45849</v>
      </c>
      <c r="C436" s="1" t="n">
        <v>45937</v>
      </c>
      <c r="D436" t="inlineStr">
        <is>
          <t>JÄMTLANDS LÄN</t>
        </is>
      </c>
      <c r="E436" t="inlineStr">
        <is>
          <t>ÅRE</t>
        </is>
      </c>
      <c r="G436" t="n">
        <v>1.6</v>
      </c>
      <c r="H436" t="n">
        <v>0</v>
      </c>
      <c r="I436" t="n">
        <v>0</v>
      </c>
      <c r="J436" t="n">
        <v>0</v>
      </c>
      <c r="K436" t="n">
        <v>0</v>
      </c>
      <c r="L436" t="n">
        <v>0</v>
      </c>
      <c r="M436" t="n">
        <v>0</v>
      </c>
      <c r="N436" t="n">
        <v>0</v>
      </c>
      <c r="O436" t="n">
        <v>0</v>
      </c>
      <c r="P436" t="n">
        <v>0</v>
      </c>
      <c r="Q436" t="n">
        <v>0</v>
      </c>
      <c r="R436" s="2" t="inlineStr"/>
    </row>
    <row r="437" ht="15" customHeight="1">
      <c r="A437" t="inlineStr">
        <is>
          <t>A 35054-2025</t>
        </is>
      </c>
      <c r="B437" s="1" t="n">
        <v>45849</v>
      </c>
      <c r="C437" s="1" t="n">
        <v>45937</v>
      </c>
      <c r="D437" t="inlineStr">
        <is>
          <t>JÄMTLANDS LÄN</t>
        </is>
      </c>
      <c r="E437" t="inlineStr">
        <is>
          <t>ÅRE</t>
        </is>
      </c>
      <c r="G437" t="n">
        <v>5.3</v>
      </c>
      <c r="H437" t="n">
        <v>0</v>
      </c>
      <c r="I437" t="n">
        <v>0</v>
      </c>
      <c r="J437" t="n">
        <v>0</v>
      </c>
      <c r="K437" t="n">
        <v>0</v>
      </c>
      <c r="L437" t="n">
        <v>0</v>
      </c>
      <c r="M437" t="n">
        <v>0</v>
      </c>
      <c r="N437" t="n">
        <v>0</v>
      </c>
      <c r="O437" t="n">
        <v>0</v>
      </c>
      <c r="P437" t="n">
        <v>0</v>
      </c>
      <c r="Q437" t="n">
        <v>0</v>
      </c>
      <c r="R437" s="2" t="inlineStr"/>
    </row>
    <row r="438" ht="15" customHeight="1">
      <c r="A438" t="inlineStr">
        <is>
          <t>A 48599-2023</t>
        </is>
      </c>
      <c r="B438" s="1" t="n">
        <v>45208</v>
      </c>
      <c r="C438" s="1" t="n">
        <v>45937</v>
      </c>
      <c r="D438" t="inlineStr">
        <is>
          <t>JÄMTLANDS LÄN</t>
        </is>
      </c>
      <c r="E438" t="inlineStr">
        <is>
          <t>ÅRE</t>
        </is>
      </c>
      <c r="G438" t="n">
        <v>1.1</v>
      </c>
      <c r="H438" t="n">
        <v>0</v>
      </c>
      <c r="I438" t="n">
        <v>0</v>
      </c>
      <c r="J438" t="n">
        <v>0</v>
      </c>
      <c r="K438" t="n">
        <v>0</v>
      </c>
      <c r="L438" t="n">
        <v>0</v>
      </c>
      <c r="M438" t="n">
        <v>0</v>
      </c>
      <c r="N438" t="n">
        <v>0</v>
      </c>
      <c r="O438" t="n">
        <v>0</v>
      </c>
      <c r="P438" t="n">
        <v>0</v>
      </c>
      <c r="Q438" t="n">
        <v>0</v>
      </c>
      <c r="R438" s="2" t="inlineStr"/>
    </row>
    <row r="439" ht="15" customHeight="1">
      <c r="A439" t="inlineStr">
        <is>
          <t>A 39744-2025</t>
        </is>
      </c>
      <c r="B439" s="1" t="n">
        <v>45891.38489583333</v>
      </c>
      <c r="C439" s="1" t="n">
        <v>45937</v>
      </c>
      <c r="D439" t="inlineStr">
        <is>
          <t>JÄMTLANDS LÄN</t>
        </is>
      </c>
      <c r="E439" t="inlineStr">
        <is>
          <t>ÅRE</t>
        </is>
      </c>
      <c r="F439" t="inlineStr">
        <is>
          <t>Övriga statliga verk och myndigheter</t>
        </is>
      </c>
      <c r="G439" t="n">
        <v>14.4</v>
      </c>
      <c r="H439" t="n">
        <v>0</v>
      </c>
      <c r="I439" t="n">
        <v>0</v>
      </c>
      <c r="J439" t="n">
        <v>0</v>
      </c>
      <c r="K439" t="n">
        <v>0</v>
      </c>
      <c r="L439" t="n">
        <v>0</v>
      </c>
      <c r="M439" t="n">
        <v>0</v>
      </c>
      <c r="N439" t="n">
        <v>0</v>
      </c>
      <c r="O439" t="n">
        <v>0</v>
      </c>
      <c r="P439" t="n">
        <v>0</v>
      </c>
      <c r="Q439" t="n">
        <v>0</v>
      </c>
      <c r="R439" s="2" t="inlineStr"/>
    </row>
    <row r="440" ht="15" customHeight="1">
      <c r="A440" t="inlineStr">
        <is>
          <t>A 15889-2025</t>
        </is>
      </c>
      <c r="B440" s="1" t="n">
        <v>45749.4075</v>
      </c>
      <c r="C440" s="1" t="n">
        <v>45937</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20160-2025</t>
        </is>
      </c>
      <c r="B441" s="1" t="n">
        <v>45772.56753472222</v>
      </c>
      <c r="C441" s="1" t="n">
        <v>45937</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18264-2023</t>
        </is>
      </c>
      <c r="B442" s="1" t="n">
        <v>45041</v>
      </c>
      <c r="C442" s="1" t="n">
        <v>45937</v>
      </c>
      <c r="D442" t="inlineStr">
        <is>
          <t>JÄMTLANDS LÄN</t>
        </is>
      </c>
      <c r="E442" t="inlineStr">
        <is>
          <t>ÅRE</t>
        </is>
      </c>
      <c r="G442" t="n">
        <v>0.2</v>
      </c>
      <c r="H442" t="n">
        <v>0</v>
      </c>
      <c r="I442" t="n">
        <v>0</v>
      </c>
      <c r="J442" t="n">
        <v>0</v>
      </c>
      <c r="K442" t="n">
        <v>0</v>
      </c>
      <c r="L442" t="n">
        <v>0</v>
      </c>
      <c r="M442" t="n">
        <v>0</v>
      </c>
      <c r="N442" t="n">
        <v>0</v>
      </c>
      <c r="O442" t="n">
        <v>0</v>
      </c>
      <c r="P442" t="n">
        <v>0</v>
      </c>
      <c r="Q442" t="n">
        <v>0</v>
      </c>
      <c r="R442" s="2" t="inlineStr"/>
    </row>
    <row r="443" ht="15" customHeight="1">
      <c r="A443" t="inlineStr">
        <is>
          <t>A 30080-2024</t>
        </is>
      </c>
      <c r="B443" s="1" t="n">
        <v>45485</v>
      </c>
      <c r="C443" s="1" t="n">
        <v>45937</v>
      </c>
      <c r="D443" t="inlineStr">
        <is>
          <t>JÄMTLANDS LÄN</t>
        </is>
      </c>
      <c r="E443" t="inlineStr">
        <is>
          <t>ÅRE</t>
        </is>
      </c>
      <c r="G443" t="n">
        <v>24.6</v>
      </c>
      <c r="H443" t="n">
        <v>0</v>
      </c>
      <c r="I443" t="n">
        <v>0</v>
      </c>
      <c r="J443" t="n">
        <v>0</v>
      </c>
      <c r="K443" t="n">
        <v>0</v>
      </c>
      <c r="L443" t="n">
        <v>0</v>
      </c>
      <c r="M443" t="n">
        <v>0</v>
      </c>
      <c r="N443" t="n">
        <v>0</v>
      </c>
      <c r="O443" t="n">
        <v>0</v>
      </c>
      <c r="P443" t="n">
        <v>0</v>
      </c>
      <c r="Q443" t="n">
        <v>0</v>
      </c>
      <c r="R443" s="2" t="inlineStr"/>
    </row>
    <row r="444" ht="15" customHeight="1">
      <c r="A444" t="inlineStr">
        <is>
          <t>A 30081-2024</t>
        </is>
      </c>
      <c r="B444" s="1" t="n">
        <v>45485</v>
      </c>
      <c r="C444" s="1" t="n">
        <v>45937</v>
      </c>
      <c r="D444" t="inlineStr">
        <is>
          <t>JÄMTLANDS LÄN</t>
        </is>
      </c>
      <c r="E444" t="inlineStr">
        <is>
          <t>ÅRE</t>
        </is>
      </c>
      <c r="G444" t="n">
        <v>17.8</v>
      </c>
      <c r="H444" t="n">
        <v>0</v>
      </c>
      <c r="I444" t="n">
        <v>0</v>
      </c>
      <c r="J444" t="n">
        <v>0</v>
      </c>
      <c r="K444" t="n">
        <v>0</v>
      </c>
      <c r="L444" t="n">
        <v>0</v>
      </c>
      <c r="M444" t="n">
        <v>0</v>
      </c>
      <c r="N444" t="n">
        <v>0</v>
      </c>
      <c r="O444" t="n">
        <v>0</v>
      </c>
      <c r="P444" t="n">
        <v>0</v>
      </c>
      <c r="Q444" t="n">
        <v>0</v>
      </c>
      <c r="R444" s="2" t="inlineStr"/>
    </row>
    <row r="445" ht="15" customHeight="1">
      <c r="A445" t="inlineStr">
        <is>
          <t>A 59215-2024</t>
        </is>
      </c>
      <c r="B445" s="1" t="n">
        <v>45636</v>
      </c>
      <c r="C445" s="1" t="n">
        <v>45937</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8294-2021</t>
        </is>
      </c>
      <c r="B446" s="1" t="n">
        <v>44243</v>
      </c>
      <c r="C446" s="1" t="n">
        <v>45937</v>
      </c>
      <c r="D446" t="inlineStr">
        <is>
          <t>JÄMTLANDS LÄN</t>
        </is>
      </c>
      <c r="E446" t="inlineStr">
        <is>
          <t>ÅRE</t>
        </is>
      </c>
      <c r="G446" t="n">
        <v>16.5</v>
      </c>
      <c r="H446" t="n">
        <v>0</v>
      </c>
      <c r="I446" t="n">
        <v>0</v>
      </c>
      <c r="J446" t="n">
        <v>0</v>
      </c>
      <c r="K446" t="n">
        <v>0</v>
      </c>
      <c r="L446" t="n">
        <v>0</v>
      </c>
      <c r="M446" t="n">
        <v>0</v>
      </c>
      <c r="N446" t="n">
        <v>0</v>
      </c>
      <c r="O446" t="n">
        <v>0</v>
      </c>
      <c r="P446" t="n">
        <v>0</v>
      </c>
      <c r="Q446" t="n">
        <v>0</v>
      </c>
      <c r="R446" s="2" t="inlineStr"/>
    </row>
    <row r="447" ht="15" customHeight="1">
      <c r="A447" t="inlineStr">
        <is>
          <t>A 58940-2021</t>
        </is>
      </c>
      <c r="B447" s="1" t="n">
        <v>44489</v>
      </c>
      <c r="C447" s="1" t="n">
        <v>45937</v>
      </c>
      <c r="D447" t="inlineStr">
        <is>
          <t>JÄMTLANDS LÄN</t>
        </is>
      </c>
      <c r="E447" t="inlineStr">
        <is>
          <t>ÅRE</t>
        </is>
      </c>
      <c r="G447" t="n">
        <v>5.8</v>
      </c>
      <c r="H447" t="n">
        <v>0</v>
      </c>
      <c r="I447" t="n">
        <v>0</v>
      </c>
      <c r="J447" t="n">
        <v>0</v>
      </c>
      <c r="K447" t="n">
        <v>0</v>
      </c>
      <c r="L447" t="n">
        <v>0</v>
      </c>
      <c r="M447" t="n">
        <v>0</v>
      </c>
      <c r="N447" t="n">
        <v>0</v>
      </c>
      <c r="O447" t="n">
        <v>0</v>
      </c>
      <c r="P447" t="n">
        <v>0</v>
      </c>
      <c r="Q447" t="n">
        <v>0</v>
      </c>
      <c r="R447" s="2" t="inlineStr"/>
    </row>
    <row r="448" ht="15" customHeight="1">
      <c r="A448" t="inlineStr">
        <is>
          <t>A 911-2022</t>
        </is>
      </c>
      <c r="B448" s="1" t="n">
        <v>44570</v>
      </c>
      <c r="C448" s="1" t="n">
        <v>45937</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15305-2021</t>
        </is>
      </c>
      <c r="B449" s="1" t="n">
        <v>44284</v>
      </c>
      <c r="C449" s="1" t="n">
        <v>45937</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12179-2023</t>
        </is>
      </c>
      <c r="B450" s="1" t="n">
        <v>44998</v>
      </c>
      <c r="C450" s="1" t="n">
        <v>45937</v>
      </c>
      <c r="D450" t="inlineStr">
        <is>
          <t>JÄMTLANDS LÄN</t>
        </is>
      </c>
      <c r="E450" t="inlineStr">
        <is>
          <t>ÅRE</t>
        </is>
      </c>
      <c r="G450" t="n">
        <v>8.5</v>
      </c>
      <c r="H450" t="n">
        <v>0</v>
      </c>
      <c r="I450" t="n">
        <v>0</v>
      </c>
      <c r="J450" t="n">
        <v>0</v>
      </c>
      <c r="K450" t="n">
        <v>0</v>
      </c>
      <c r="L450" t="n">
        <v>0</v>
      </c>
      <c r="M450" t="n">
        <v>0</v>
      </c>
      <c r="N450" t="n">
        <v>0</v>
      </c>
      <c r="O450" t="n">
        <v>0</v>
      </c>
      <c r="P450" t="n">
        <v>0</v>
      </c>
      <c r="Q450" t="n">
        <v>0</v>
      </c>
      <c r="R450" s="2" t="inlineStr"/>
    </row>
    <row r="451" ht="15" customHeight="1">
      <c r="A451" t="inlineStr">
        <is>
          <t>A 56910-2022</t>
        </is>
      </c>
      <c r="B451" s="1" t="n">
        <v>44894.59936342593</v>
      </c>
      <c r="C451" s="1" t="n">
        <v>45937</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56976-2023</t>
        </is>
      </c>
      <c r="B452" s="1" t="n">
        <v>45244.64202546296</v>
      </c>
      <c r="C452" s="1" t="n">
        <v>45937</v>
      </c>
      <c r="D452" t="inlineStr">
        <is>
          <t>JÄMTLANDS LÄN</t>
        </is>
      </c>
      <c r="E452" t="inlineStr">
        <is>
          <t>ÅRE</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47069-2024</t>
        </is>
      </c>
      <c r="B453" s="1" t="n">
        <v>45586.48003472222</v>
      </c>
      <c r="C453" s="1" t="n">
        <v>45937</v>
      </c>
      <c r="D453" t="inlineStr">
        <is>
          <t>JÄMTLANDS LÄN</t>
        </is>
      </c>
      <c r="E453" t="inlineStr">
        <is>
          <t>ÅRE</t>
        </is>
      </c>
      <c r="G453" t="n">
        <v>7.1</v>
      </c>
      <c r="H453" t="n">
        <v>0</v>
      </c>
      <c r="I453" t="n">
        <v>0</v>
      </c>
      <c r="J453" t="n">
        <v>0</v>
      </c>
      <c r="K453" t="n">
        <v>0</v>
      </c>
      <c r="L453" t="n">
        <v>0</v>
      </c>
      <c r="M453" t="n">
        <v>0</v>
      </c>
      <c r="N453" t="n">
        <v>0</v>
      </c>
      <c r="O453" t="n">
        <v>0</v>
      </c>
      <c r="P453" t="n">
        <v>0</v>
      </c>
      <c r="Q453" t="n">
        <v>0</v>
      </c>
      <c r="R453" s="2" t="inlineStr"/>
    </row>
    <row r="454" ht="15" customHeight="1">
      <c r="A454" t="inlineStr">
        <is>
          <t>A 10567-2025</t>
        </is>
      </c>
      <c r="B454" s="1" t="n">
        <v>45714</v>
      </c>
      <c r="C454" s="1" t="n">
        <v>45937</v>
      </c>
      <c r="D454" t="inlineStr">
        <is>
          <t>JÄMTLANDS LÄN</t>
        </is>
      </c>
      <c r="E454" t="inlineStr">
        <is>
          <t>ÅRE</t>
        </is>
      </c>
      <c r="G454" t="n">
        <v>3.6</v>
      </c>
      <c r="H454" t="n">
        <v>0</v>
      </c>
      <c r="I454" t="n">
        <v>0</v>
      </c>
      <c r="J454" t="n">
        <v>0</v>
      </c>
      <c r="K454" t="n">
        <v>0</v>
      </c>
      <c r="L454" t="n">
        <v>0</v>
      </c>
      <c r="M454" t="n">
        <v>0</v>
      </c>
      <c r="N454" t="n">
        <v>0</v>
      </c>
      <c r="O454" t="n">
        <v>0</v>
      </c>
      <c r="P454" t="n">
        <v>0</v>
      </c>
      <c r="Q454" t="n">
        <v>0</v>
      </c>
      <c r="R454" s="2" t="inlineStr"/>
    </row>
    <row r="455" ht="15" customHeight="1">
      <c r="A455" t="inlineStr">
        <is>
          <t>A 52470-2022</t>
        </is>
      </c>
      <c r="B455" s="1" t="n">
        <v>44874.48167824074</v>
      </c>
      <c r="C455" s="1" t="n">
        <v>45937</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61566-2021</t>
        </is>
      </c>
      <c r="B456" s="1" t="n">
        <v>44496</v>
      </c>
      <c r="C456" s="1" t="n">
        <v>45937</v>
      </c>
      <c r="D456" t="inlineStr">
        <is>
          <t>JÄMTLANDS LÄN</t>
        </is>
      </c>
      <c r="E456" t="inlineStr">
        <is>
          <t>ÅRE</t>
        </is>
      </c>
      <c r="F456" t="inlineStr">
        <is>
          <t>Övriga statliga verk och myndigheter</t>
        </is>
      </c>
      <c r="G456" t="n">
        <v>10.9</v>
      </c>
      <c r="H456" t="n">
        <v>0</v>
      </c>
      <c r="I456" t="n">
        <v>0</v>
      </c>
      <c r="J456" t="n">
        <v>0</v>
      </c>
      <c r="K456" t="n">
        <v>0</v>
      </c>
      <c r="L456" t="n">
        <v>0</v>
      </c>
      <c r="M456" t="n">
        <v>0</v>
      </c>
      <c r="N456" t="n">
        <v>0</v>
      </c>
      <c r="O456" t="n">
        <v>0</v>
      </c>
      <c r="P456" t="n">
        <v>0</v>
      </c>
      <c r="Q456" t="n">
        <v>0</v>
      </c>
      <c r="R456" s="2" t="inlineStr"/>
    </row>
    <row r="457" ht="15" customHeight="1">
      <c r="A457" t="inlineStr">
        <is>
          <t>A 13559-2025</t>
        </is>
      </c>
      <c r="B457" s="1" t="n">
        <v>45736.55288194444</v>
      </c>
      <c r="C457" s="1" t="n">
        <v>45937</v>
      </c>
      <c r="D457" t="inlineStr">
        <is>
          <t>JÄMTLANDS LÄN</t>
        </is>
      </c>
      <c r="E457" t="inlineStr">
        <is>
          <t>ÅRE</t>
        </is>
      </c>
      <c r="F457" t="inlineStr">
        <is>
          <t>Övriga statliga verk och myndigheter</t>
        </is>
      </c>
      <c r="G457" t="n">
        <v>0.4</v>
      </c>
      <c r="H457" t="n">
        <v>0</v>
      </c>
      <c r="I457" t="n">
        <v>0</v>
      </c>
      <c r="J457" t="n">
        <v>0</v>
      </c>
      <c r="K457" t="n">
        <v>0</v>
      </c>
      <c r="L457" t="n">
        <v>0</v>
      </c>
      <c r="M457" t="n">
        <v>0</v>
      </c>
      <c r="N457" t="n">
        <v>0</v>
      </c>
      <c r="O457" t="n">
        <v>0</v>
      </c>
      <c r="P457" t="n">
        <v>0</v>
      </c>
      <c r="Q457" t="n">
        <v>0</v>
      </c>
      <c r="R457" s="2" t="inlineStr"/>
    </row>
    <row r="458" ht="15" customHeight="1">
      <c r="A458" t="inlineStr">
        <is>
          <t>A 52707-2022</t>
        </is>
      </c>
      <c r="B458" s="1" t="n">
        <v>44874</v>
      </c>
      <c r="C458" s="1" t="n">
        <v>45937</v>
      </c>
      <c r="D458" t="inlineStr">
        <is>
          <t>JÄMTLANDS LÄN</t>
        </is>
      </c>
      <c r="E458" t="inlineStr">
        <is>
          <t>ÅRE</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61340-2022</t>
        </is>
      </c>
      <c r="B459" s="1" t="n">
        <v>44909</v>
      </c>
      <c r="C459" s="1" t="n">
        <v>45937</v>
      </c>
      <c r="D459" t="inlineStr">
        <is>
          <t>JÄMTLANDS LÄN</t>
        </is>
      </c>
      <c r="E459" t="inlineStr">
        <is>
          <t>ÅRE</t>
        </is>
      </c>
      <c r="G459" t="n">
        <v>4.4</v>
      </c>
      <c r="H459" t="n">
        <v>0</v>
      </c>
      <c r="I459" t="n">
        <v>0</v>
      </c>
      <c r="J459" t="n">
        <v>0</v>
      </c>
      <c r="K459" t="n">
        <v>0</v>
      </c>
      <c r="L459" t="n">
        <v>0</v>
      </c>
      <c r="M459" t="n">
        <v>0</v>
      </c>
      <c r="N459" t="n">
        <v>0</v>
      </c>
      <c r="O459" t="n">
        <v>0</v>
      </c>
      <c r="P459" t="n">
        <v>0</v>
      </c>
      <c r="Q459" t="n">
        <v>0</v>
      </c>
      <c r="R459" s="2" t="inlineStr"/>
    </row>
    <row r="460" ht="15" customHeight="1">
      <c r="A460" t="inlineStr">
        <is>
          <t>A 46976-2024</t>
        </is>
      </c>
      <c r="B460" s="1" t="n">
        <v>45586</v>
      </c>
      <c r="C460" s="1" t="n">
        <v>45937</v>
      </c>
      <c r="D460" t="inlineStr">
        <is>
          <t>JÄMTLANDS LÄN</t>
        </is>
      </c>
      <c r="E460" t="inlineStr">
        <is>
          <t>ÅRE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36015-2025</t>
        </is>
      </c>
      <c r="B461" s="1" t="n">
        <v>45863.61373842593</v>
      </c>
      <c r="C461" s="1" t="n">
        <v>45937</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25710-2024</t>
        </is>
      </c>
      <c r="B462" s="1" t="n">
        <v>45463</v>
      </c>
      <c r="C462" s="1" t="n">
        <v>45937</v>
      </c>
      <c r="D462" t="inlineStr">
        <is>
          <t>JÄMTLANDS LÄN</t>
        </is>
      </c>
      <c r="E462" t="inlineStr">
        <is>
          <t>ÅRE</t>
        </is>
      </c>
      <c r="G462" t="n">
        <v>4.5</v>
      </c>
      <c r="H462" t="n">
        <v>0</v>
      </c>
      <c r="I462" t="n">
        <v>0</v>
      </c>
      <c r="J462" t="n">
        <v>0</v>
      </c>
      <c r="K462" t="n">
        <v>0</v>
      </c>
      <c r="L462" t="n">
        <v>0</v>
      </c>
      <c r="M462" t="n">
        <v>0</v>
      </c>
      <c r="N462" t="n">
        <v>0</v>
      </c>
      <c r="O462" t="n">
        <v>0</v>
      </c>
      <c r="P462" t="n">
        <v>0</v>
      </c>
      <c r="Q462" t="n">
        <v>0</v>
      </c>
      <c r="R462" s="2" t="inlineStr"/>
    </row>
    <row r="463" ht="15" customHeight="1">
      <c r="A463" t="inlineStr">
        <is>
          <t>A 3066-2023</t>
        </is>
      </c>
      <c r="B463" s="1" t="n">
        <v>44946</v>
      </c>
      <c r="C463" s="1" t="n">
        <v>45937</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36013-2025</t>
        </is>
      </c>
      <c r="B464" s="1" t="n">
        <v>45863.60643518518</v>
      </c>
      <c r="C464" s="1" t="n">
        <v>45937</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3149-2023</t>
        </is>
      </c>
      <c r="B465" s="1" t="n">
        <v>44946.5500925926</v>
      </c>
      <c r="C465" s="1" t="n">
        <v>45937</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61347-2020</t>
        </is>
      </c>
      <c r="B466" s="1" t="n">
        <v>44155</v>
      </c>
      <c r="C466" s="1" t="n">
        <v>45937</v>
      </c>
      <c r="D466" t="inlineStr">
        <is>
          <t>JÄMTLANDS LÄN</t>
        </is>
      </c>
      <c r="E466" t="inlineStr">
        <is>
          <t>ÅRE</t>
        </is>
      </c>
      <c r="G466" t="n">
        <v>3.1</v>
      </c>
      <c r="H466" t="n">
        <v>0</v>
      </c>
      <c r="I466" t="n">
        <v>0</v>
      </c>
      <c r="J466" t="n">
        <v>0</v>
      </c>
      <c r="K466" t="n">
        <v>0</v>
      </c>
      <c r="L466" t="n">
        <v>0</v>
      </c>
      <c r="M466" t="n">
        <v>0</v>
      </c>
      <c r="N466" t="n">
        <v>0</v>
      </c>
      <c r="O466" t="n">
        <v>0</v>
      </c>
      <c r="P466" t="n">
        <v>0</v>
      </c>
      <c r="Q466" t="n">
        <v>0</v>
      </c>
      <c r="R466" s="2" t="inlineStr"/>
    </row>
    <row r="467" ht="15" customHeight="1">
      <c r="A467" t="inlineStr">
        <is>
          <t>A 52427-2021</t>
        </is>
      </c>
      <c r="B467" s="1" t="n">
        <v>44466.34178240741</v>
      </c>
      <c r="C467" s="1" t="n">
        <v>45937</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54164-2023</t>
        </is>
      </c>
      <c r="B468" s="1" t="n">
        <v>45232.47815972222</v>
      </c>
      <c r="C468" s="1" t="n">
        <v>45937</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67270-2020</t>
        </is>
      </c>
      <c r="B469" s="1" t="n">
        <v>44179</v>
      </c>
      <c r="C469" s="1" t="n">
        <v>45937</v>
      </c>
      <c r="D469" t="inlineStr">
        <is>
          <t>JÄMTLANDS LÄN</t>
        </is>
      </c>
      <c r="E469" t="inlineStr">
        <is>
          <t>ÅRE</t>
        </is>
      </c>
      <c r="G469" t="n">
        <v>4.2</v>
      </c>
      <c r="H469" t="n">
        <v>0</v>
      </c>
      <c r="I469" t="n">
        <v>0</v>
      </c>
      <c r="J469" t="n">
        <v>0</v>
      </c>
      <c r="K469" t="n">
        <v>0</v>
      </c>
      <c r="L469" t="n">
        <v>0</v>
      </c>
      <c r="M469" t="n">
        <v>0</v>
      </c>
      <c r="N469" t="n">
        <v>0</v>
      </c>
      <c r="O469" t="n">
        <v>0</v>
      </c>
      <c r="P469" t="n">
        <v>0</v>
      </c>
      <c r="Q469" t="n">
        <v>0</v>
      </c>
      <c r="R469" s="2" t="inlineStr"/>
    </row>
    <row r="470" ht="15" customHeight="1">
      <c r="A470" t="inlineStr">
        <is>
          <t>A 21897-2021</t>
        </is>
      </c>
      <c r="B470" s="1" t="n">
        <v>44322</v>
      </c>
      <c r="C470" s="1" t="n">
        <v>45937</v>
      </c>
      <c r="D470" t="inlineStr">
        <is>
          <t>JÄMTLANDS LÄN</t>
        </is>
      </c>
      <c r="E470" t="inlineStr">
        <is>
          <t>ÅRE</t>
        </is>
      </c>
      <c r="G470" t="n">
        <v>41.4</v>
      </c>
      <c r="H470" t="n">
        <v>0</v>
      </c>
      <c r="I470" t="n">
        <v>0</v>
      </c>
      <c r="J470" t="n">
        <v>0</v>
      </c>
      <c r="K470" t="n">
        <v>0</v>
      </c>
      <c r="L470" t="n">
        <v>0</v>
      </c>
      <c r="M470" t="n">
        <v>0</v>
      </c>
      <c r="N470" t="n">
        <v>0</v>
      </c>
      <c r="O470" t="n">
        <v>0</v>
      </c>
      <c r="P470" t="n">
        <v>0</v>
      </c>
      <c r="Q470" t="n">
        <v>0</v>
      </c>
      <c r="R470" s="2" t="inlineStr"/>
    </row>
    <row r="471" ht="15" customHeight="1">
      <c r="A471" t="inlineStr">
        <is>
          <t>A 5460-2023</t>
        </is>
      </c>
      <c r="B471" s="1" t="n">
        <v>44960</v>
      </c>
      <c r="C471" s="1" t="n">
        <v>45937</v>
      </c>
      <c r="D471" t="inlineStr">
        <is>
          <t>JÄMTLANDS LÄN</t>
        </is>
      </c>
      <c r="E471" t="inlineStr">
        <is>
          <t>ÅRE</t>
        </is>
      </c>
      <c r="G471" t="n">
        <v>9.4</v>
      </c>
      <c r="H471" t="n">
        <v>0</v>
      </c>
      <c r="I471" t="n">
        <v>0</v>
      </c>
      <c r="J471" t="n">
        <v>0</v>
      </c>
      <c r="K471" t="n">
        <v>0</v>
      </c>
      <c r="L471" t="n">
        <v>0</v>
      </c>
      <c r="M471" t="n">
        <v>0</v>
      </c>
      <c r="N471" t="n">
        <v>0</v>
      </c>
      <c r="O471" t="n">
        <v>0</v>
      </c>
      <c r="P471" t="n">
        <v>0</v>
      </c>
      <c r="Q471" t="n">
        <v>0</v>
      </c>
      <c r="R471" s="2" t="inlineStr"/>
    </row>
    <row r="472" ht="15" customHeight="1">
      <c r="A472" t="inlineStr">
        <is>
          <t>A 61926-2022</t>
        </is>
      </c>
      <c r="B472" s="1" t="n">
        <v>44917</v>
      </c>
      <c r="C472" s="1" t="n">
        <v>45937</v>
      </c>
      <c r="D472" t="inlineStr">
        <is>
          <t>JÄMTLANDS LÄN</t>
        </is>
      </c>
      <c r="E472" t="inlineStr">
        <is>
          <t>ÅRE</t>
        </is>
      </c>
      <c r="G472" t="n">
        <v>18</v>
      </c>
      <c r="H472" t="n">
        <v>0</v>
      </c>
      <c r="I472" t="n">
        <v>0</v>
      </c>
      <c r="J472" t="n">
        <v>0</v>
      </c>
      <c r="K472" t="n">
        <v>0</v>
      </c>
      <c r="L472" t="n">
        <v>0</v>
      </c>
      <c r="M472" t="n">
        <v>0</v>
      </c>
      <c r="N472" t="n">
        <v>0</v>
      </c>
      <c r="O472" t="n">
        <v>0</v>
      </c>
      <c r="P472" t="n">
        <v>0</v>
      </c>
      <c r="Q472" t="n">
        <v>0</v>
      </c>
      <c r="R472" s="2" t="inlineStr"/>
    </row>
    <row r="473" ht="15" customHeight="1">
      <c r="A473" t="inlineStr">
        <is>
          <t>A 42876-2025</t>
        </is>
      </c>
      <c r="B473" s="1" t="n">
        <v>45908</v>
      </c>
      <c r="C473" s="1" t="n">
        <v>45937</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43767-2025</t>
        </is>
      </c>
      <c r="B474" s="1" t="n">
        <v>45912.49256944445</v>
      </c>
      <c r="C474" s="1" t="n">
        <v>45937</v>
      </c>
      <c r="D474" t="inlineStr">
        <is>
          <t>JÄMTLANDS LÄN</t>
        </is>
      </c>
      <c r="E474" t="inlineStr">
        <is>
          <t>ÅRE</t>
        </is>
      </c>
      <c r="G474" t="n">
        <v>7.1</v>
      </c>
      <c r="H474" t="n">
        <v>0</v>
      </c>
      <c r="I474" t="n">
        <v>0</v>
      </c>
      <c r="J474" t="n">
        <v>0</v>
      </c>
      <c r="K474" t="n">
        <v>0</v>
      </c>
      <c r="L474" t="n">
        <v>0</v>
      </c>
      <c r="M474" t="n">
        <v>0</v>
      </c>
      <c r="N474" t="n">
        <v>0</v>
      </c>
      <c r="O474" t="n">
        <v>0</v>
      </c>
      <c r="P474" t="n">
        <v>0</v>
      </c>
      <c r="Q474" t="n">
        <v>0</v>
      </c>
      <c r="R474" s="2" t="inlineStr"/>
    </row>
    <row r="475" ht="15" customHeight="1">
      <c r="A475" t="inlineStr">
        <is>
          <t>A 43769-2025</t>
        </is>
      </c>
      <c r="B475" s="1" t="n">
        <v>45912.49420138889</v>
      </c>
      <c r="C475" s="1" t="n">
        <v>45937</v>
      </c>
      <c r="D475" t="inlineStr">
        <is>
          <t>JÄMTLANDS LÄN</t>
        </is>
      </c>
      <c r="E475" t="inlineStr">
        <is>
          <t>ÅRE</t>
        </is>
      </c>
      <c r="G475" t="n">
        <v>6.1</v>
      </c>
      <c r="H475" t="n">
        <v>0</v>
      </c>
      <c r="I475" t="n">
        <v>0</v>
      </c>
      <c r="J475" t="n">
        <v>0</v>
      </c>
      <c r="K475" t="n">
        <v>0</v>
      </c>
      <c r="L475" t="n">
        <v>0</v>
      </c>
      <c r="M475" t="n">
        <v>0</v>
      </c>
      <c r="N475" t="n">
        <v>0</v>
      </c>
      <c r="O475" t="n">
        <v>0</v>
      </c>
      <c r="P475" t="n">
        <v>0</v>
      </c>
      <c r="Q475" t="n">
        <v>0</v>
      </c>
      <c r="R475" s="2" t="inlineStr"/>
    </row>
    <row r="476" ht="15" customHeight="1">
      <c r="A476" t="inlineStr">
        <is>
          <t>A 39071-2024</t>
        </is>
      </c>
      <c r="B476" s="1" t="n">
        <v>45548.53193287037</v>
      </c>
      <c r="C476" s="1" t="n">
        <v>45937</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26722-2021</t>
        </is>
      </c>
      <c r="B477" s="1" t="n">
        <v>44349</v>
      </c>
      <c r="C477" s="1" t="n">
        <v>45937</v>
      </c>
      <c r="D477" t="inlineStr">
        <is>
          <t>JÄMTLANDS LÄN</t>
        </is>
      </c>
      <c r="E477" t="inlineStr">
        <is>
          <t>ÅRE</t>
        </is>
      </c>
      <c r="G477" t="n">
        <v>11.4</v>
      </c>
      <c r="H477" t="n">
        <v>0</v>
      </c>
      <c r="I477" t="n">
        <v>0</v>
      </c>
      <c r="J477" t="n">
        <v>0</v>
      </c>
      <c r="K477" t="n">
        <v>0</v>
      </c>
      <c r="L477" t="n">
        <v>0</v>
      </c>
      <c r="M477" t="n">
        <v>0</v>
      </c>
      <c r="N477" t="n">
        <v>0</v>
      </c>
      <c r="O477" t="n">
        <v>0</v>
      </c>
      <c r="P477" t="n">
        <v>0</v>
      </c>
      <c r="Q477" t="n">
        <v>0</v>
      </c>
      <c r="R477" s="2" t="inlineStr"/>
    </row>
    <row r="478" ht="15" customHeight="1">
      <c r="A478" t="inlineStr">
        <is>
          <t>A 43768-2025</t>
        </is>
      </c>
      <c r="B478" s="1" t="n">
        <v>45912.49289351852</v>
      </c>
      <c r="C478" s="1" t="n">
        <v>45937</v>
      </c>
      <c r="D478" t="inlineStr">
        <is>
          <t>JÄMTLANDS LÄN</t>
        </is>
      </c>
      <c r="E478" t="inlineStr">
        <is>
          <t>ÅRE</t>
        </is>
      </c>
      <c r="G478" t="n">
        <v>1.4</v>
      </c>
      <c r="H478" t="n">
        <v>0</v>
      </c>
      <c r="I478" t="n">
        <v>0</v>
      </c>
      <c r="J478" t="n">
        <v>0</v>
      </c>
      <c r="K478" t="n">
        <v>0</v>
      </c>
      <c r="L478" t="n">
        <v>0</v>
      </c>
      <c r="M478" t="n">
        <v>0</v>
      </c>
      <c r="N478" t="n">
        <v>0</v>
      </c>
      <c r="O478" t="n">
        <v>0</v>
      </c>
      <c r="P478" t="n">
        <v>0</v>
      </c>
      <c r="Q478" t="n">
        <v>0</v>
      </c>
      <c r="R478" s="2" t="inlineStr"/>
    </row>
    <row r="479" ht="15" customHeight="1">
      <c r="A479" t="inlineStr">
        <is>
          <t>A 36219-2022</t>
        </is>
      </c>
      <c r="B479" s="1" t="n">
        <v>44803</v>
      </c>
      <c r="C479" s="1" t="n">
        <v>45937</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33239-2024</t>
        </is>
      </c>
      <c r="B480" s="1" t="n">
        <v>45518.59618055556</v>
      </c>
      <c r="C480" s="1" t="n">
        <v>45937</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34931-2025</t>
        </is>
      </c>
      <c r="B481" s="1" t="n">
        <v>45849</v>
      </c>
      <c r="C481" s="1" t="n">
        <v>45937</v>
      </c>
      <c r="D481" t="inlineStr">
        <is>
          <t>JÄMTLANDS LÄN</t>
        </is>
      </c>
      <c r="E481" t="inlineStr">
        <is>
          <t>ÅRE</t>
        </is>
      </c>
      <c r="G481" t="n">
        <v>1.4</v>
      </c>
      <c r="H481" t="n">
        <v>0</v>
      </c>
      <c r="I481" t="n">
        <v>0</v>
      </c>
      <c r="J481" t="n">
        <v>0</v>
      </c>
      <c r="K481" t="n">
        <v>0</v>
      </c>
      <c r="L481" t="n">
        <v>0</v>
      </c>
      <c r="M481" t="n">
        <v>0</v>
      </c>
      <c r="N481" t="n">
        <v>0</v>
      </c>
      <c r="O481" t="n">
        <v>0</v>
      </c>
      <c r="P481" t="n">
        <v>0</v>
      </c>
      <c r="Q481" t="n">
        <v>0</v>
      </c>
      <c r="R481" s="2" t="inlineStr"/>
    </row>
    <row r="482" ht="15" customHeight="1">
      <c r="A482" t="inlineStr">
        <is>
          <t>A 57710-2021</t>
        </is>
      </c>
      <c r="B482" s="1" t="n">
        <v>44484</v>
      </c>
      <c r="C482" s="1" t="n">
        <v>45937</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45796-2024</t>
        </is>
      </c>
      <c r="B483" s="1" t="n">
        <v>45579.67354166666</v>
      </c>
      <c r="C483" s="1" t="n">
        <v>45937</v>
      </c>
      <c r="D483" t="inlineStr">
        <is>
          <t>JÄMTLANDS LÄN</t>
        </is>
      </c>
      <c r="E483" t="inlineStr">
        <is>
          <t>ÅRE</t>
        </is>
      </c>
      <c r="G483" t="n">
        <v>5</v>
      </c>
      <c r="H483" t="n">
        <v>0</v>
      </c>
      <c r="I483" t="n">
        <v>0</v>
      </c>
      <c r="J483" t="n">
        <v>0</v>
      </c>
      <c r="K483" t="n">
        <v>0</v>
      </c>
      <c r="L483" t="n">
        <v>0</v>
      </c>
      <c r="M483" t="n">
        <v>0</v>
      </c>
      <c r="N483" t="n">
        <v>0</v>
      </c>
      <c r="O483" t="n">
        <v>0</v>
      </c>
      <c r="P483" t="n">
        <v>0</v>
      </c>
      <c r="Q483" t="n">
        <v>0</v>
      </c>
      <c r="R483" s="2" t="inlineStr"/>
    </row>
    <row r="484" ht="15" customHeight="1">
      <c r="A484" t="inlineStr">
        <is>
          <t>A 36975-2025</t>
        </is>
      </c>
      <c r="B484" s="1" t="n">
        <v>45874.63773148148</v>
      </c>
      <c r="C484" s="1" t="n">
        <v>45937</v>
      </c>
      <c r="D484" t="inlineStr">
        <is>
          <t>JÄMTLANDS LÄN</t>
        </is>
      </c>
      <c r="E484" t="inlineStr">
        <is>
          <t>ÅRE</t>
        </is>
      </c>
      <c r="F484" t="inlineStr">
        <is>
          <t>Övriga Aktiebolag</t>
        </is>
      </c>
      <c r="G484" t="n">
        <v>3.2</v>
      </c>
      <c r="H484" t="n">
        <v>0</v>
      </c>
      <c r="I484" t="n">
        <v>0</v>
      </c>
      <c r="J484" t="n">
        <v>0</v>
      </c>
      <c r="K484" t="n">
        <v>0</v>
      </c>
      <c r="L484" t="n">
        <v>0</v>
      </c>
      <c r="M484" t="n">
        <v>0</v>
      </c>
      <c r="N484" t="n">
        <v>0</v>
      </c>
      <c r="O484" t="n">
        <v>0</v>
      </c>
      <c r="P484" t="n">
        <v>0</v>
      </c>
      <c r="Q484" t="n">
        <v>0</v>
      </c>
      <c r="R484" s="2" t="inlineStr"/>
    </row>
    <row r="485" ht="15" customHeight="1">
      <c r="A485" t="inlineStr">
        <is>
          <t>A 66083-2020</t>
        </is>
      </c>
      <c r="B485" s="1" t="n">
        <v>44172</v>
      </c>
      <c r="C485" s="1" t="n">
        <v>45937</v>
      </c>
      <c r="D485" t="inlineStr">
        <is>
          <t>JÄMTLANDS LÄN</t>
        </is>
      </c>
      <c r="E485" t="inlineStr">
        <is>
          <t>ÅRE</t>
        </is>
      </c>
      <c r="G485" t="n">
        <v>349.9</v>
      </c>
      <c r="H485" t="n">
        <v>0</v>
      </c>
      <c r="I485" t="n">
        <v>0</v>
      </c>
      <c r="J485" t="n">
        <v>0</v>
      </c>
      <c r="K485" t="n">
        <v>0</v>
      </c>
      <c r="L485" t="n">
        <v>0</v>
      </c>
      <c r="M485" t="n">
        <v>0</v>
      </c>
      <c r="N485" t="n">
        <v>0</v>
      </c>
      <c r="O485" t="n">
        <v>0</v>
      </c>
      <c r="P485" t="n">
        <v>0</v>
      </c>
      <c r="Q485" t="n">
        <v>0</v>
      </c>
      <c r="R485" s="2" t="inlineStr"/>
    </row>
    <row r="486" ht="15" customHeight="1">
      <c r="A486" t="inlineStr">
        <is>
          <t>A 54907-2023</t>
        </is>
      </c>
      <c r="B486" s="1" t="n">
        <v>45236.65784722222</v>
      </c>
      <c r="C486" s="1" t="n">
        <v>45937</v>
      </c>
      <c r="D486" t="inlineStr">
        <is>
          <t>JÄMTLANDS LÄN</t>
        </is>
      </c>
      <c r="E486" t="inlineStr">
        <is>
          <t>ÅRE</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44251-2025</t>
        </is>
      </c>
      <c r="B487" s="1" t="n">
        <v>45915.69837962963</v>
      </c>
      <c r="C487" s="1" t="n">
        <v>45937</v>
      </c>
      <c r="D487" t="inlineStr">
        <is>
          <t>JÄMTLANDS LÄN</t>
        </is>
      </c>
      <c r="E487" t="inlineStr">
        <is>
          <t>ÅRE</t>
        </is>
      </c>
      <c r="G487" t="n">
        <v>0.2</v>
      </c>
      <c r="H487" t="n">
        <v>0</v>
      </c>
      <c r="I487" t="n">
        <v>0</v>
      </c>
      <c r="J487" t="n">
        <v>0</v>
      </c>
      <c r="K487" t="n">
        <v>0</v>
      </c>
      <c r="L487" t="n">
        <v>0</v>
      </c>
      <c r="M487" t="n">
        <v>0</v>
      </c>
      <c r="N487" t="n">
        <v>0</v>
      </c>
      <c r="O487" t="n">
        <v>0</v>
      </c>
      <c r="P487" t="n">
        <v>0</v>
      </c>
      <c r="Q487" t="n">
        <v>0</v>
      </c>
      <c r="R487" s="2" t="inlineStr"/>
    </row>
    <row r="488" ht="15" customHeight="1">
      <c r="A488" t="inlineStr">
        <is>
          <t>A 21905-2021</t>
        </is>
      </c>
      <c r="B488" s="1" t="n">
        <v>44322</v>
      </c>
      <c r="C488" s="1" t="n">
        <v>45937</v>
      </c>
      <c r="D488" t="inlineStr">
        <is>
          <t>JÄMTLANDS LÄN</t>
        </is>
      </c>
      <c r="E488" t="inlineStr">
        <is>
          <t>ÅRE</t>
        </is>
      </c>
      <c r="G488" t="n">
        <v>14.3</v>
      </c>
      <c r="H488" t="n">
        <v>0</v>
      </c>
      <c r="I488" t="n">
        <v>0</v>
      </c>
      <c r="J488" t="n">
        <v>0</v>
      </c>
      <c r="K488" t="n">
        <v>0</v>
      </c>
      <c r="L488" t="n">
        <v>0</v>
      </c>
      <c r="M488" t="n">
        <v>0</v>
      </c>
      <c r="N488" t="n">
        <v>0</v>
      </c>
      <c r="O488" t="n">
        <v>0</v>
      </c>
      <c r="P488" t="n">
        <v>0</v>
      </c>
      <c r="Q488" t="n">
        <v>0</v>
      </c>
      <c r="R488" s="2" t="inlineStr"/>
    </row>
    <row r="489" ht="15" customHeight="1">
      <c r="A489" t="inlineStr">
        <is>
          <t>A 44418-2025</t>
        </is>
      </c>
      <c r="B489" s="1" t="n">
        <v>45916.54578703704</v>
      </c>
      <c r="C489" s="1" t="n">
        <v>45937</v>
      </c>
      <c r="D489" t="inlineStr">
        <is>
          <t>JÄMTLANDS LÄN</t>
        </is>
      </c>
      <c r="E489" t="inlineStr">
        <is>
          <t>ÅRE</t>
        </is>
      </c>
      <c r="G489" t="n">
        <v>3.3</v>
      </c>
      <c r="H489" t="n">
        <v>0</v>
      </c>
      <c r="I489" t="n">
        <v>0</v>
      </c>
      <c r="J489" t="n">
        <v>0</v>
      </c>
      <c r="K489" t="n">
        <v>0</v>
      </c>
      <c r="L489" t="n">
        <v>0</v>
      </c>
      <c r="M489" t="n">
        <v>0</v>
      </c>
      <c r="N489" t="n">
        <v>0</v>
      </c>
      <c r="O489" t="n">
        <v>0</v>
      </c>
      <c r="P489" t="n">
        <v>0</v>
      </c>
      <c r="Q489" t="n">
        <v>0</v>
      </c>
      <c r="R489" s="2" t="inlineStr"/>
    </row>
    <row r="490" ht="15" customHeight="1">
      <c r="A490" t="inlineStr">
        <is>
          <t>A 3147-2023</t>
        </is>
      </c>
      <c r="B490" s="1" t="n">
        <v>44946</v>
      </c>
      <c r="C490" s="1" t="n">
        <v>45937</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3263-2023</t>
        </is>
      </c>
      <c r="B491" s="1" t="n">
        <v>44948.98751157407</v>
      </c>
      <c r="C491" s="1" t="n">
        <v>45937</v>
      </c>
      <c r="D491" t="inlineStr">
        <is>
          <t>JÄMTLANDS LÄN</t>
        </is>
      </c>
      <c r="E491" t="inlineStr">
        <is>
          <t>ÅRE</t>
        </is>
      </c>
      <c r="G491" t="n">
        <v>1.7</v>
      </c>
      <c r="H491" t="n">
        <v>0</v>
      </c>
      <c r="I491" t="n">
        <v>0</v>
      </c>
      <c r="J491" t="n">
        <v>0</v>
      </c>
      <c r="K491" t="n">
        <v>0</v>
      </c>
      <c r="L491" t="n">
        <v>0</v>
      </c>
      <c r="M491" t="n">
        <v>0</v>
      </c>
      <c r="N491" t="n">
        <v>0</v>
      </c>
      <c r="O491" t="n">
        <v>0</v>
      </c>
      <c r="P491" t="n">
        <v>0</v>
      </c>
      <c r="Q491" t="n">
        <v>0</v>
      </c>
      <c r="R491" s="2" t="inlineStr"/>
    </row>
    <row r="492" ht="15" customHeight="1">
      <c r="A492" t="inlineStr">
        <is>
          <t>A 57150-2021</t>
        </is>
      </c>
      <c r="B492" s="1" t="n">
        <v>44482</v>
      </c>
      <c r="C492" s="1" t="n">
        <v>45937</v>
      </c>
      <c r="D492" t="inlineStr">
        <is>
          <t>JÄMTLANDS LÄN</t>
        </is>
      </c>
      <c r="E492" t="inlineStr">
        <is>
          <t>ÅRE</t>
        </is>
      </c>
      <c r="G492" t="n">
        <v>1.3</v>
      </c>
      <c r="H492" t="n">
        <v>0</v>
      </c>
      <c r="I492" t="n">
        <v>0</v>
      </c>
      <c r="J492" t="n">
        <v>0</v>
      </c>
      <c r="K492" t="n">
        <v>0</v>
      </c>
      <c r="L492" t="n">
        <v>0</v>
      </c>
      <c r="M492" t="n">
        <v>0</v>
      </c>
      <c r="N492" t="n">
        <v>0</v>
      </c>
      <c r="O492" t="n">
        <v>0</v>
      </c>
      <c r="P492" t="n">
        <v>0</v>
      </c>
      <c r="Q492" t="n">
        <v>0</v>
      </c>
      <c r="R492" s="2" t="inlineStr"/>
    </row>
    <row r="493" ht="15" customHeight="1">
      <c r="A493" t="inlineStr">
        <is>
          <t>A 40386-2025</t>
        </is>
      </c>
      <c r="B493" s="1" t="n">
        <v>45895</v>
      </c>
      <c r="C493" s="1" t="n">
        <v>45937</v>
      </c>
      <c r="D493" t="inlineStr">
        <is>
          <t>JÄMTLANDS LÄN</t>
        </is>
      </c>
      <c r="E493" t="inlineStr">
        <is>
          <t>ÅRE</t>
        </is>
      </c>
      <c r="F493" t="inlineStr">
        <is>
          <t>Övriga Aktiebolag</t>
        </is>
      </c>
      <c r="G493" t="n">
        <v>7.5</v>
      </c>
      <c r="H493" t="n">
        <v>0</v>
      </c>
      <c r="I493" t="n">
        <v>0</v>
      </c>
      <c r="J493" t="n">
        <v>0</v>
      </c>
      <c r="K493" t="n">
        <v>0</v>
      </c>
      <c r="L493" t="n">
        <v>0</v>
      </c>
      <c r="M493" t="n">
        <v>0</v>
      </c>
      <c r="N493" t="n">
        <v>0</v>
      </c>
      <c r="O493" t="n">
        <v>0</v>
      </c>
      <c r="P493" t="n">
        <v>0</v>
      </c>
      <c r="Q493" t="n">
        <v>0</v>
      </c>
      <c r="R493" s="2" t="inlineStr"/>
    </row>
    <row r="494" ht="15" customHeight="1">
      <c r="A494" t="inlineStr">
        <is>
          <t>A 22602-2025</t>
        </is>
      </c>
      <c r="B494" s="1" t="n">
        <v>45786</v>
      </c>
      <c r="C494" s="1" t="n">
        <v>45937</v>
      </c>
      <c r="D494" t="inlineStr">
        <is>
          <t>JÄMTLANDS LÄN</t>
        </is>
      </c>
      <c r="E494" t="inlineStr">
        <is>
          <t>ÅRE</t>
        </is>
      </c>
      <c r="G494" t="n">
        <v>13.1</v>
      </c>
      <c r="H494" t="n">
        <v>0</v>
      </c>
      <c r="I494" t="n">
        <v>0</v>
      </c>
      <c r="J494" t="n">
        <v>0</v>
      </c>
      <c r="K494" t="n">
        <v>0</v>
      </c>
      <c r="L494" t="n">
        <v>0</v>
      </c>
      <c r="M494" t="n">
        <v>0</v>
      </c>
      <c r="N494" t="n">
        <v>0</v>
      </c>
      <c r="O494" t="n">
        <v>0</v>
      </c>
      <c r="P494" t="n">
        <v>0</v>
      </c>
      <c r="Q494" t="n">
        <v>0</v>
      </c>
      <c r="R494" s="2" t="inlineStr"/>
    </row>
    <row r="495" ht="15" customHeight="1">
      <c r="A495" t="inlineStr">
        <is>
          <t>A 22603-2025</t>
        </is>
      </c>
      <c r="B495" s="1" t="n">
        <v>45786</v>
      </c>
      <c r="C495" s="1" t="n">
        <v>45937</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37178-2025</t>
        </is>
      </c>
      <c r="B496" s="1" t="n">
        <v>45875</v>
      </c>
      <c r="C496" s="1" t="n">
        <v>45937</v>
      </c>
      <c r="D496" t="inlineStr">
        <is>
          <t>JÄMTLANDS LÄN</t>
        </is>
      </c>
      <c r="E496" t="inlineStr">
        <is>
          <t>ÅRE</t>
        </is>
      </c>
      <c r="G496" t="n">
        <v>5</v>
      </c>
      <c r="H496" t="n">
        <v>0</v>
      </c>
      <c r="I496" t="n">
        <v>0</v>
      </c>
      <c r="J496" t="n">
        <v>0</v>
      </c>
      <c r="K496" t="n">
        <v>0</v>
      </c>
      <c r="L496" t="n">
        <v>0</v>
      </c>
      <c r="M496" t="n">
        <v>0</v>
      </c>
      <c r="N496" t="n">
        <v>0</v>
      </c>
      <c r="O496" t="n">
        <v>0</v>
      </c>
      <c r="P496" t="n">
        <v>0</v>
      </c>
      <c r="Q496" t="n">
        <v>0</v>
      </c>
      <c r="R496" s="2" t="inlineStr"/>
    </row>
    <row r="497" ht="15" customHeight="1">
      <c r="A497" t="inlineStr">
        <is>
          <t>A 26032-2023</t>
        </is>
      </c>
      <c r="B497" s="1" t="n">
        <v>45091.31304398148</v>
      </c>
      <c r="C497" s="1" t="n">
        <v>45937</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26033-2023</t>
        </is>
      </c>
      <c r="B498" s="1" t="n">
        <v>45091.31530092593</v>
      </c>
      <c r="C498" s="1" t="n">
        <v>45937</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44685-2025</t>
        </is>
      </c>
      <c r="B499" s="1" t="n">
        <v>45917.58569444445</v>
      </c>
      <c r="C499" s="1" t="n">
        <v>45937</v>
      </c>
      <c r="D499" t="inlineStr">
        <is>
          <t>JÄMTLANDS LÄN</t>
        </is>
      </c>
      <c r="E499" t="inlineStr">
        <is>
          <t>ÅRE</t>
        </is>
      </c>
      <c r="G499" t="n">
        <v>2.2</v>
      </c>
      <c r="H499" t="n">
        <v>0</v>
      </c>
      <c r="I499" t="n">
        <v>0</v>
      </c>
      <c r="J499" t="n">
        <v>0</v>
      </c>
      <c r="K499" t="n">
        <v>0</v>
      </c>
      <c r="L499" t="n">
        <v>0</v>
      </c>
      <c r="M499" t="n">
        <v>0</v>
      </c>
      <c r="N499" t="n">
        <v>0</v>
      </c>
      <c r="O499" t="n">
        <v>0</v>
      </c>
      <c r="P499" t="n">
        <v>0</v>
      </c>
      <c r="Q499" t="n">
        <v>0</v>
      </c>
      <c r="R499" s="2" t="inlineStr"/>
    </row>
    <row r="500" ht="15" customHeight="1">
      <c r="A500" t="inlineStr">
        <is>
          <t>A 53899-2023</t>
        </is>
      </c>
      <c r="B500" s="1" t="n">
        <v>45231.54160879629</v>
      </c>
      <c r="C500" s="1" t="n">
        <v>45937</v>
      </c>
      <c r="D500" t="inlineStr">
        <is>
          <t>JÄMTLANDS LÄN</t>
        </is>
      </c>
      <c r="E500" t="inlineStr">
        <is>
          <t>ÅRE</t>
        </is>
      </c>
      <c r="G500" t="n">
        <v>20.4</v>
      </c>
      <c r="H500" t="n">
        <v>0</v>
      </c>
      <c r="I500" t="n">
        <v>0</v>
      </c>
      <c r="J500" t="n">
        <v>0</v>
      </c>
      <c r="K500" t="n">
        <v>0</v>
      </c>
      <c r="L500" t="n">
        <v>0</v>
      </c>
      <c r="M500" t="n">
        <v>0</v>
      </c>
      <c r="N500" t="n">
        <v>0</v>
      </c>
      <c r="O500" t="n">
        <v>0</v>
      </c>
      <c r="P500" t="n">
        <v>0</v>
      </c>
      <c r="Q500" t="n">
        <v>0</v>
      </c>
      <c r="R500" s="2" t="inlineStr"/>
    </row>
    <row r="501" ht="15" customHeight="1">
      <c r="A501" t="inlineStr">
        <is>
          <t>A 44644-2025</t>
        </is>
      </c>
      <c r="B501" s="1" t="n">
        <v>45917.53284722222</v>
      </c>
      <c r="C501" s="1" t="n">
        <v>45937</v>
      </c>
      <c r="D501" t="inlineStr">
        <is>
          <t>JÄMTLANDS LÄN</t>
        </is>
      </c>
      <c r="E501" t="inlineStr">
        <is>
          <t>ÅRE</t>
        </is>
      </c>
      <c r="G501" t="n">
        <v>0.8</v>
      </c>
      <c r="H501" t="n">
        <v>0</v>
      </c>
      <c r="I501" t="n">
        <v>0</v>
      </c>
      <c r="J501" t="n">
        <v>0</v>
      </c>
      <c r="K501" t="n">
        <v>0</v>
      </c>
      <c r="L501" t="n">
        <v>0</v>
      </c>
      <c r="M501" t="n">
        <v>0</v>
      </c>
      <c r="N501" t="n">
        <v>0</v>
      </c>
      <c r="O501" t="n">
        <v>0</v>
      </c>
      <c r="P501" t="n">
        <v>0</v>
      </c>
      <c r="Q501" t="n">
        <v>0</v>
      </c>
      <c r="R501" s="2" t="inlineStr"/>
    </row>
    <row r="502" ht="15" customHeight="1">
      <c r="A502" t="inlineStr">
        <is>
          <t>A 44668-2025</t>
        </is>
      </c>
      <c r="B502" s="1" t="n">
        <v>45917.56306712963</v>
      </c>
      <c r="C502" s="1" t="n">
        <v>45937</v>
      </c>
      <c r="D502" t="inlineStr">
        <is>
          <t>JÄMTLANDS LÄN</t>
        </is>
      </c>
      <c r="E502" t="inlineStr">
        <is>
          <t>ÅRE</t>
        </is>
      </c>
      <c r="G502" t="n">
        <v>3.6</v>
      </c>
      <c r="H502" t="n">
        <v>0</v>
      </c>
      <c r="I502" t="n">
        <v>0</v>
      </c>
      <c r="J502" t="n">
        <v>0</v>
      </c>
      <c r="K502" t="n">
        <v>0</v>
      </c>
      <c r="L502" t="n">
        <v>0</v>
      </c>
      <c r="M502" t="n">
        <v>0</v>
      </c>
      <c r="N502" t="n">
        <v>0</v>
      </c>
      <c r="O502" t="n">
        <v>0</v>
      </c>
      <c r="P502" t="n">
        <v>0</v>
      </c>
      <c r="Q502" t="n">
        <v>0</v>
      </c>
      <c r="R502" s="2" t="inlineStr"/>
    </row>
    <row r="503" ht="15" customHeight="1">
      <c r="A503" t="inlineStr">
        <is>
          <t>A 41273-2025</t>
        </is>
      </c>
      <c r="B503" s="1" t="n">
        <v>45898</v>
      </c>
      <c r="C503" s="1" t="n">
        <v>45937</v>
      </c>
      <c r="D503" t="inlineStr">
        <is>
          <t>JÄMTLANDS LÄN</t>
        </is>
      </c>
      <c r="E503" t="inlineStr">
        <is>
          <t>ÅRE</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27630-2025</t>
        </is>
      </c>
      <c r="B504" s="1" t="n">
        <v>45813</v>
      </c>
      <c r="C504" s="1" t="n">
        <v>45937</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41280-2025</t>
        </is>
      </c>
      <c r="B505" s="1" t="n">
        <v>45898</v>
      </c>
      <c r="C505" s="1" t="n">
        <v>45937</v>
      </c>
      <c r="D505" t="inlineStr">
        <is>
          <t>JÄMTLANDS LÄN</t>
        </is>
      </c>
      <c r="E505" t="inlineStr">
        <is>
          <t>ÅRE</t>
        </is>
      </c>
      <c r="F505" t="inlineStr">
        <is>
          <t>Övriga Aktiebolag</t>
        </is>
      </c>
      <c r="G505" t="n">
        <v>4.5</v>
      </c>
      <c r="H505" t="n">
        <v>0</v>
      </c>
      <c r="I505" t="n">
        <v>0</v>
      </c>
      <c r="J505" t="n">
        <v>0</v>
      </c>
      <c r="K505" t="n">
        <v>0</v>
      </c>
      <c r="L505" t="n">
        <v>0</v>
      </c>
      <c r="M505" t="n">
        <v>0</v>
      </c>
      <c r="N505" t="n">
        <v>0</v>
      </c>
      <c r="O505" t="n">
        <v>0</v>
      </c>
      <c r="P505" t="n">
        <v>0</v>
      </c>
      <c r="Q505" t="n">
        <v>0</v>
      </c>
      <c r="R505" s="2" t="inlineStr"/>
    </row>
    <row r="506" ht="15" customHeight="1">
      <c r="A506" t="inlineStr">
        <is>
          <t>A 37249-2025</t>
        </is>
      </c>
      <c r="B506" s="1" t="n">
        <v>45876.40699074074</v>
      </c>
      <c r="C506" s="1" t="n">
        <v>45937</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37158-2025</t>
        </is>
      </c>
      <c r="B507" s="1" t="n">
        <v>45875</v>
      </c>
      <c r="C507" s="1" t="n">
        <v>45937</v>
      </c>
      <c r="D507" t="inlineStr">
        <is>
          <t>JÄMTLANDS LÄN</t>
        </is>
      </c>
      <c r="E507" t="inlineStr">
        <is>
          <t>ÅRE</t>
        </is>
      </c>
      <c r="G507" t="n">
        <v>4.7</v>
      </c>
      <c r="H507" t="n">
        <v>0</v>
      </c>
      <c r="I507" t="n">
        <v>0</v>
      </c>
      <c r="J507" t="n">
        <v>0</v>
      </c>
      <c r="K507" t="n">
        <v>0</v>
      </c>
      <c r="L507" t="n">
        <v>0</v>
      </c>
      <c r="M507" t="n">
        <v>0</v>
      </c>
      <c r="N507" t="n">
        <v>0</v>
      </c>
      <c r="O507" t="n">
        <v>0</v>
      </c>
      <c r="P507" t="n">
        <v>0</v>
      </c>
      <c r="Q507" t="n">
        <v>0</v>
      </c>
      <c r="R507" s="2" t="inlineStr"/>
    </row>
    <row r="508" ht="15" customHeight="1">
      <c r="A508" t="inlineStr">
        <is>
          <t>A 14202-2021</t>
        </is>
      </c>
      <c r="B508" s="1" t="n">
        <v>44278</v>
      </c>
      <c r="C508" s="1" t="n">
        <v>45937</v>
      </c>
      <c r="D508" t="inlineStr">
        <is>
          <t>JÄMTLANDS LÄN</t>
        </is>
      </c>
      <c r="E508" t="inlineStr">
        <is>
          <t>ÅRE</t>
        </is>
      </c>
      <c r="G508" t="n">
        <v>17.8</v>
      </c>
      <c r="H508" t="n">
        <v>0</v>
      </c>
      <c r="I508" t="n">
        <v>0</v>
      </c>
      <c r="J508" t="n">
        <v>0</v>
      </c>
      <c r="K508" t="n">
        <v>0</v>
      </c>
      <c r="L508" t="n">
        <v>0</v>
      </c>
      <c r="M508" t="n">
        <v>0</v>
      </c>
      <c r="N508" t="n">
        <v>0</v>
      </c>
      <c r="O508" t="n">
        <v>0</v>
      </c>
      <c r="P508" t="n">
        <v>0</v>
      </c>
      <c r="Q508" t="n">
        <v>0</v>
      </c>
      <c r="R508" s="2" t="inlineStr"/>
    </row>
    <row r="509" ht="15" customHeight="1">
      <c r="A509" t="inlineStr">
        <is>
          <t>A 37118-2025</t>
        </is>
      </c>
      <c r="B509" s="1" t="n">
        <v>45875</v>
      </c>
      <c r="C509" s="1" t="n">
        <v>45937</v>
      </c>
      <c r="D509" t="inlineStr">
        <is>
          <t>JÄMTLANDS LÄN</t>
        </is>
      </c>
      <c r="E509" t="inlineStr">
        <is>
          <t>ÅRE</t>
        </is>
      </c>
      <c r="G509" t="n">
        <v>2.9</v>
      </c>
      <c r="H509" t="n">
        <v>0</v>
      </c>
      <c r="I509" t="n">
        <v>0</v>
      </c>
      <c r="J509" t="n">
        <v>0</v>
      </c>
      <c r="K509" t="n">
        <v>0</v>
      </c>
      <c r="L509" t="n">
        <v>0</v>
      </c>
      <c r="M509" t="n">
        <v>0</v>
      </c>
      <c r="N509" t="n">
        <v>0</v>
      </c>
      <c r="O509" t="n">
        <v>0</v>
      </c>
      <c r="P509" t="n">
        <v>0</v>
      </c>
      <c r="Q509" t="n">
        <v>0</v>
      </c>
      <c r="R509" s="2" t="inlineStr"/>
    </row>
    <row r="510" ht="15" customHeight="1">
      <c r="A510" t="inlineStr">
        <is>
          <t>A 19705-2023</t>
        </is>
      </c>
      <c r="B510" s="1" t="n">
        <v>45051</v>
      </c>
      <c r="C510" s="1" t="n">
        <v>45937</v>
      </c>
      <c r="D510" t="inlineStr">
        <is>
          <t>JÄMTLANDS LÄN</t>
        </is>
      </c>
      <c r="E510" t="inlineStr">
        <is>
          <t>ÅRE</t>
        </is>
      </c>
      <c r="G510" t="n">
        <v>4.7</v>
      </c>
      <c r="H510" t="n">
        <v>0</v>
      </c>
      <c r="I510" t="n">
        <v>0</v>
      </c>
      <c r="J510" t="n">
        <v>0</v>
      </c>
      <c r="K510" t="n">
        <v>0</v>
      </c>
      <c r="L510" t="n">
        <v>0</v>
      </c>
      <c r="M510" t="n">
        <v>0</v>
      </c>
      <c r="N510" t="n">
        <v>0</v>
      </c>
      <c r="O510" t="n">
        <v>0</v>
      </c>
      <c r="P510" t="n">
        <v>0</v>
      </c>
      <c r="Q510" t="n">
        <v>0</v>
      </c>
      <c r="R510" s="2" t="inlineStr"/>
    </row>
    <row r="511" ht="15" customHeight="1">
      <c r="A511" t="inlineStr">
        <is>
          <t>A 34538-2023</t>
        </is>
      </c>
      <c r="B511" s="1" t="n">
        <v>45134</v>
      </c>
      <c r="C511" s="1" t="n">
        <v>45937</v>
      </c>
      <c r="D511" t="inlineStr">
        <is>
          <t>JÄMTLANDS LÄN</t>
        </is>
      </c>
      <c r="E511" t="inlineStr">
        <is>
          <t>ÅRE</t>
        </is>
      </c>
      <c r="G511" t="n">
        <v>1.3</v>
      </c>
      <c r="H511" t="n">
        <v>0</v>
      </c>
      <c r="I511" t="n">
        <v>0</v>
      </c>
      <c r="J511" t="n">
        <v>0</v>
      </c>
      <c r="K511" t="n">
        <v>0</v>
      </c>
      <c r="L511" t="n">
        <v>0</v>
      </c>
      <c r="M511" t="n">
        <v>0</v>
      </c>
      <c r="N511" t="n">
        <v>0</v>
      </c>
      <c r="O511" t="n">
        <v>0</v>
      </c>
      <c r="P511" t="n">
        <v>0</v>
      </c>
      <c r="Q511" t="n">
        <v>0</v>
      </c>
      <c r="R511" s="2" t="inlineStr"/>
    </row>
    <row r="512" ht="15" customHeight="1">
      <c r="A512" t="inlineStr">
        <is>
          <t>A 37159-2025</t>
        </is>
      </c>
      <c r="B512" s="1" t="n">
        <v>45875</v>
      </c>
      <c r="C512" s="1" t="n">
        <v>45937</v>
      </c>
      <c r="D512" t="inlineStr">
        <is>
          <t>JÄMTLANDS LÄN</t>
        </is>
      </c>
      <c r="E512" t="inlineStr">
        <is>
          <t>ÅRE</t>
        </is>
      </c>
      <c r="G512" t="n">
        <v>0.3</v>
      </c>
      <c r="H512" t="n">
        <v>0</v>
      </c>
      <c r="I512" t="n">
        <v>0</v>
      </c>
      <c r="J512" t="n">
        <v>0</v>
      </c>
      <c r="K512" t="n">
        <v>0</v>
      </c>
      <c r="L512" t="n">
        <v>0</v>
      </c>
      <c r="M512" t="n">
        <v>0</v>
      </c>
      <c r="N512" t="n">
        <v>0</v>
      </c>
      <c r="O512" t="n">
        <v>0</v>
      </c>
      <c r="P512" t="n">
        <v>0</v>
      </c>
      <c r="Q512" t="n">
        <v>0</v>
      </c>
      <c r="R512" s="2" t="inlineStr"/>
    </row>
    <row r="513" ht="15" customHeight="1">
      <c r="A513" t="inlineStr">
        <is>
          <t>A 61524-2021</t>
        </is>
      </c>
      <c r="B513" s="1" t="n">
        <v>44496</v>
      </c>
      <c r="C513" s="1" t="n">
        <v>45937</v>
      </c>
      <c r="D513" t="inlineStr">
        <is>
          <t>JÄMTLANDS LÄN</t>
        </is>
      </c>
      <c r="E513" t="inlineStr">
        <is>
          <t>ÅRE</t>
        </is>
      </c>
      <c r="F513" t="inlineStr">
        <is>
          <t>Övriga statliga verk och myndigheter</t>
        </is>
      </c>
      <c r="G513" t="n">
        <v>15</v>
      </c>
      <c r="H513" t="n">
        <v>0</v>
      </c>
      <c r="I513" t="n">
        <v>0</v>
      </c>
      <c r="J513" t="n">
        <v>0</v>
      </c>
      <c r="K513" t="n">
        <v>0</v>
      </c>
      <c r="L513" t="n">
        <v>0</v>
      </c>
      <c r="M513" t="n">
        <v>0</v>
      </c>
      <c r="N513" t="n">
        <v>0</v>
      </c>
      <c r="O513" t="n">
        <v>0</v>
      </c>
      <c r="P513" t="n">
        <v>0</v>
      </c>
      <c r="Q513" t="n">
        <v>0</v>
      </c>
      <c r="R513" s="2" t="inlineStr"/>
    </row>
    <row r="514" ht="15" customHeight="1">
      <c r="A514" t="inlineStr">
        <is>
          <t>A 58889-2022</t>
        </is>
      </c>
      <c r="B514" s="1" t="n">
        <v>44896</v>
      </c>
      <c r="C514" s="1" t="n">
        <v>45937</v>
      </c>
      <c r="D514" t="inlineStr">
        <is>
          <t>JÄMTLANDS LÄN</t>
        </is>
      </c>
      <c r="E514" t="inlineStr">
        <is>
          <t>ÅRE</t>
        </is>
      </c>
      <c r="G514" t="n">
        <v>6.9</v>
      </c>
      <c r="H514" t="n">
        <v>0</v>
      </c>
      <c r="I514" t="n">
        <v>0</v>
      </c>
      <c r="J514" t="n">
        <v>0</v>
      </c>
      <c r="K514" t="n">
        <v>0</v>
      </c>
      <c r="L514" t="n">
        <v>0</v>
      </c>
      <c r="M514" t="n">
        <v>0</v>
      </c>
      <c r="N514" t="n">
        <v>0</v>
      </c>
      <c r="O514" t="n">
        <v>0</v>
      </c>
      <c r="P514" t="n">
        <v>0</v>
      </c>
      <c r="Q514" t="n">
        <v>0</v>
      </c>
      <c r="R514" s="2" t="inlineStr"/>
    </row>
    <row r="515" ht="15" customHeight="1">
      <c r="A515" t="inlineStr">
        <is>
          <t>A 73086-2021</t>
        </is>
      </c>
      <c r="B515" s="1" t="n">
        <v>44550</v>
      </c>
      <c r="C515" s="1" t="n">
        <v>45937</v>
      </c>
      <c r="D515" t="inlineStr">
        <is>
          <t>JÄMTLANDS LÄN</t>
        </is>
      </c>
      <c r="E515" t="inlineStr">
        <is>
          <t>ÅRE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45605-2025</t>
        </is>
      </c>
      <c r="B516" s="1" t="n">
        <v>45922.69826388889</v>
      </c>
      <c r="C516" s="1" t="n">
        <v>45937</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61806-2021</t>
        </is>
      </c>
      <c r="B517" s="1" t="n">
        <v>44498</v>
      </c>
      <c r="C517" s="1" t="n">
        <v>45937</v>
      </c>
      <c r="D517" t="inlineStr">
        <is>
          <t>JÄMTLANDS LÄN</t>
        </is>
      </c>
      <c r="E517" t="inlineStr">
        <is>
          <t>ÅRE</t>
        </is>
      </c>
      <c r="G517" t="n">
        <v>0.7</v>
      </c>
      <c r="H517" t="n">
        <v>0</v>
      </c>
      <c r="I517" t="n">
        <v>0</v>
      </c>
      <c r="J517" t="n">
        <v>0</v>
      </c>
      <c r="K517" t="n">
        <v>0</v>
      </c>
      <c r="L517" t="n">
        <v>0</v>
      </c>
      <c r="M517" t="n">
        <v>0</v>
      </c>
      <c r="N517" t="n">
        <v>0</v>
      </c>
      <c r="O517" t="n">
        <v>0</v>
      </c>
      <c r="P517" t="n">
        <v>0</v>
      </c>
      <c r="Q517" t="n">
        <v>0</v>
      </c>
      <c r="R517" s="2" t="inlineStr"/>
    </row>
    <row r="518" ht="15" customHeight="1">
      <c r="A518" t="inlineStr">
        <is>
          <t>A 45378-2025</t>
        </is>
      </c>
      <c r="B518" s="1" t="n">
        <v>45922.39506944444</v>
      </c>
      <c r="C518" s="1" t="n">
        <v>45937</v>
      </c>
      <c r="D518" t="inlineStr">
        <is>
          <t>JÄMTLANDS LÄN</t>
        </is>
      </c>
      <c r="E518" t="inlineStr">
        <is>
          <t>ÅRE</t>
        </is>
      </c>
      <c r="G518" t="n">
        <v>15.7</v>
      </c>
      <c r="H518" t="n">
        <v>0</v>
      </c>
      <c r="I518" t="n">
        <v>0</v>
      </c>
      <c r="J518" t="n">
        <v>0</v>
      </c>
      <c r="K518" t="n">
        <v>0</v>
      </c>
      <c r="L518" t="n">
        <v>0</v>
      </c>
      <c r="M518" t="n">
        <v>0</v>
      </c>
      <c r="N518" t="n">
        <v>0</v>
      </c>
      <c r="O518" t="n">
        <v>0</v>
      </c>
      <c r="P518" t="n">
        <v>0</v>
      </c>
      <c r="Q518" t="n">
        <v>0</v>
      </c>
      <c r="R518" s="2" t="inlineStr"/>
    </row>
    <row r="519" ht="15" customHeight="1">
      <c r="A519" t="inlineStr">
        <is>
          <t>A 61815-2021</t>
        </is>
      </c>
      <c r="B519" s="1" t="n">
        <v>44498</v>
      </c>
      <c r="C519" s="1" t="n">
        <v>45937</v>
      </c>
      <c r="D519" t="inlineStr">
        <is>
          <t>JÄMTLANDS LÄN</t>
        </is>
      </c>
      <c r="E519" t="inlineStr">
        <is>
          <t>ÅRE</t>
        </is>
      </c>
      <c r="G519" t="n">
        <v>7.4</v>
      </c>
      <c r="H519" t="n">
        <v>0</v>
      </c>
      <c r="I519" t="n">
        <v>0</v>
      </c>
      <c r="J519" t="n">
        <v>0</v>
      </c>
      <c r="K519" t="n">
        <v>0</v>
      </c>
      <c r="L519" t="n">
        <v>0</v>
      </c>
      <c r="M519" t="n">
        <v>0</v>
      </c>
      <c r="N519" t="n">
        <v>0</v>
      </c>
      <c r="O519" t="n">
        <v>0</v>
      </c>
      <c r="P519" t="n">
        <v>0</v>
      </c>
      <c r="Q519" t="n">
        <v>0</v>
      </c>
      <c r="R519" s="2" t="inlineStr"/>
    </row>
    <row r="520" ht="15" customHeight="1">
      <c r="A520" t="inlineStr">
        <is>
          <t>A 54324-2023</t>
        </is>
      </c>
      <c r="B520" s="1" t="n">
        <v>45225</v>
      </c>
      <c r="C520" s="1" t="n">
        <v>45937</v>
      </c>
      <c r="D520" t="inlineStr">
        <is>
          <t>JÄMTLANDS LÄN</t>
        </is>
      </c>
      <c r="E520" t="inlineStr">
        <is>
          <t>ÅRE</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10285-2021</t>
        </is>
      </c>
      <c r="B521" s="1" t="n">
        <v>44257</v>
      </c>
      <c r="C521" s="1" t="n">
        <v>45937</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30263-2023</t>
        </is>
      </c>
      <c r="B522" s="1" t="n">
        <v>45099</v>
      </c>
      <c r="C522" s="1" t="n">
        <v>45937</v>
      </c>
      <c r="D522" t="inlineStr">
        <is>
          <t>JÄMTLANDS LÄN</t>
        </is>
      </c>
      <c r="E522" t="inlineStr">
        <is>
          <t>ÅRE</t>
        </is>
      </c>
      <c r="G522" t="n">
        <v>15.9</v>
      </c>
      <c r="H522" t="n">
        <v>0</v>
      </c>
      <c r="I522" t="n">
        <v>0</v>
      </c>
      <c r="J522" t="n">
        <v>0</v>
      </c>
      <c r="K522" t="n">
        <v>0</v>
      </c>
      <c r="L522" t="n">
        <v>0</v>
      </c>
      <c r="M522" t="n">
        <v>0</v>
      </c>
      <c r="N522" t="n">
        <v>0</v>
      </c>
      <c r="O522" t="n">
        <v>0</v>
      </c>
      <c r="P522" t="n">
        <v>0</v>
      </c>
      <c r="Q522" t="n">
        <v>0</v>
      </c>
      <c r="R522" s="2" t="inlineStr"/>
    </row>
    <row r="523" ht="15" customHeight="1">
      <c r="A523" t="inlineStr">
        <is>
          <t>A 45614-2025</t>
        </is>
      </c>
      <c r="B523" s="1" t="n">
        <v>45922.719375</v>
      </c>
      <c r="C523" s="1" t="n">
        <v>45937</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59387-2022</t>
        </is>
      </c>
      <c r="B524" s="1" t="n">
        <v>44905</v>
      </c>
      <c r="C524" s="1" t="n">
        <v>45937</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8217-2021</t>
        </is>
      </c>
      <c r="B525" s="1" t="n">
        <v>44244</v>
      </c>
      <c r="C525" s="1" t="n">
        <v>45937</v>
      </c>
      <c r="D525" t="inlineStr">
        <is>
          <t>JÄMTLANDS LÄN</t>
        </is>
      </c>
      <c r="E525" t="inlineStr">
        <is>
          <t>ÅRE</t>
        </is>
      </c>
      <c r="G525" t="n">
        <v>51.8</v>
      </c>
      <c r="H525" t="n">
        <v>0</v>
      </c>
      <c r="I525" t="n">
        <v>0</v>
      </c>
      <c r="J525" t="n">
        <v>0</v>
      </c>
      <c r="K525" t="n">
        <v>0</v>
      </c>
      <c r="L525" t="n">
        <v>0</v>
      </c>
      <c r="M525" t="n">
        <v>0</v>
      </c>
      <c r="N525" t="n">
        <v>0</v>
      </c>
      <c r="O525" t="n">
        <v>0</v>
      </c>
      <c r="P525" t="n">
        <v>0</v>
      </c>
      <c r="Q525" t="n">
        <v>0</v>
      </c>
      <c r="R525" s="2" t="inlineStr"/>
    </row>
    <row r="526" ht="15" customHeight="1">
      <c r="A526" t="inlineStr">
        <is>
          <t>A 53500-2024</t>
        </is>
      </c>
      <c r="B526" s="1" t="n">
        <v>45614</v>
      </c>
      <c r="C526" s="1" t="n">
        <v>45937</v>
      </c>
      <c r="D526" t="inlineStr">
        <is>
          <t>JÄMTLANDS LÄN</t>
        </is>
      </c>
      <c r="E526" t="inlineStr">
        <is>
          <t>ÅRE</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59397-2021</t>
        </is>
      </c>
      <c r="B527" s="1" t="n">
        <v>44491</v>
      </c>
      <c r="C527" s="1" t="n">
        <v>45937</v>
      </c>
      <c r="D527" t="inlineStr">
        <is>
          <t>JÄMTLANDS LÄN</t>
        </is>
      </c>
      <c r="E527" t="inlineStr">
        <is>
          <t>ÅRE</t>
        </is>
      </c>
      <c r="F527" t="inlineStr">
        <is>
          <t>Övriga Aktiebolag</t>
        </is>
      </c>
      <c r="G527" t="n">
        <v>7.6</v>
      </c>
      <c r="H527" t="n">
        <v>0</v>
      </c>
      <c r="I527" t="n">
        <v>0</v>
      </c>
      <c r="J527" t="n">
        <v>0</v>
      </c>
      <c r="K527" t="n">
        <v>0</v>
      </c>
      <c r="L527" t="n">
        <v>0</v>
      </c>
      <c r="M527" t="n">
        <v>0</v>
      </c>
      <c r="N527" t="n">
        <v>0</v>
      </c>
      <c r="O527" t="n">
        <v>0</v>
      </c>
      <c r="P527" t="n">
        <v>0</v>
      </c>
      <c r="Q527" t="n">
        <v>0</v>
      </c>
      <c r="R527" s="2" t="inlineStr"/>
    </row>
    <row r="528" ht="15" customHeight="1">
      <c r="A528" t="inlineStr">
        <is>
          <t>A 23159-2024</t>
        </is>
      </c>
      <c r="B528" s="1" t="n">
        <v>45450.7033912037</v>
      </c>
      <c r="C528" s="1" t="n">
        <v>45937</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23651-2025</t>
        </is>
      </c>
      <c r="B529" s="1" t="n">
        <v>45792.70914351852</v>
      </c>
      <c r="C529" s="1" t="n">
        <v>45937</v>
      </c>
      <c r="D529" t="inlineStr">
        <is>
          <t>JÄMTLANDS LÄN</t>
        </is>
      </c>
      <c r="E529" t="inlineStr">
        <is>
          <t>ÅRE</t>
        </is>
      </c>
      <c r="G529" t="n">
        <v>2</v>
      </c>
      <c r="H529" t="n">
        <v>0</v>
      </c>
      <c r="I529" t="n">
        <v>0</v>
      </c>
      <c r="J529" t="n">
        <v>0</v>
      </c>
      <c r="K529" t="n">
        <v>0</v>
      </c>
      <c r="L529" t="n">
        <v>0</v>
      </c>
      <c r="M529" t="n">
        <v>0</v>
      </c>
      <c r="N529" t="n">
        <v>0</v>
      </c>
      <c r="O529" t="n">
        <v>0</v>
      </c>
      <c r="P529" t="n">
        <v>0</v>
      </c>
      <c r="Q529" t="n">
        <v>0</v>
      </c>
      <c r="R529" s="2" t="inlineStr"/>
    </row>
    <row r="530" ht="15" customHeight="1">
      <c r="A530" t="inlineStr">
        <is>
          <t>A 73800-2021</t>
        </is>
      </c>
      <c r="B530" s="1" t="n">
        <v>44552</v>
      </c>
      <c r="C530" s="1" t="n">
        <v>45937</v>
      </c>
      <c r="D530" t="inlineStr">
        <is>
          <t>JÄMTLANDS LÄN</t>
        </is>
      </c>
      <c r="E530" t="inlineStr">
        <is>
          <t>ÅRE</t>
        </is>
      </c>
      <c r="G530" t="n">
        <v>8.6</v>
      </c>
      <c r="H530" t="n">
        <v>0</v>
      </c>
      <c r="I530" t="n">
        <v>0</v>
      </c>
      <c r="J530" t="n">
        <v>0</v>
      </c>
      <c r="K530" t="n">
        <v>0</v>
      </c>
      <c r="L530" t="n">
        <v>0</v>
      </c>
      <c r="M530" t="n">
        <v>0</v>
      </c>
      <c r="N530" t="n">
        <v>0</v>
      </c>
      <c r="O530" t="n">
        <v>0</v>
      </c>
      <c r="P530" t="n">
        <v>0</v>
      </c>
      <c r="Q530" t="n">
        <v>0</v>
      </c>
      <c r="R530" s="2" t="inlineStr"/>
    </row>
    <row r="531" ht="15" customHeight="1">
      <c r="A531" t="inlineStr">
        <is>
          <t>A 60935-2022</t>
        </is>
      </c>
      <c r="B531" s="1" t="n">
        <v>44908</v>
      </c>
      <c r="C531" s="1" t="n">
        <v>45937</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14204-2021</t>
        </is>
      </c>
      <c r="B532" s="1" t="n">
        <v>44278</v>
      </c>
      <c r="C532" s="1" t="n">
        <v>45937</v>
      </c>
      <c r="D532" t="inlineStr">
        <is>
          <t>JÄMTLANDS LÄN</t>
        </is>
      </c>
      <c r="E532" t="inlineStr">
        <is>
          <t>ÅRE</t>
        </is>
      </c>
      <c r="G532" t="n">
        <v>24.6</v>
      </c>
      <c r="H532" t="n">
        <v>0</v>
      </c>
      <c r="I532" t="n">
        <v>0</v>
      </c>
      <c r="J532" t="n">
        <v>0</v>
      </c>
      <c r="K532" t="n">
        <v>0</v>
      </c>
      <c r="L532" t="n">
        <v>0</v>
      </c>
      <c r="M532" t="n">
        <v>0</v>
      </c>
      <c r="N532" t="n">
        <v>0</v>
      </c>
      <c r="O532" t="n">
        <v>0</v>
      </c>
      <c r="P532" t="n">
        <v>0</v>
      </c>
      <c r="Q532" t="n">
        <v>0</v>
      </c>
      <c r="R532" s="2" t="inlineStr"/>
    </row>
    <row r="533" ht="15" customHeight="1">
      <c r="A533" t="inlineStr">
        <is>
          <t>A 45796-2025</t>
        </is>
      </c>
      <c r="B533" s="1" t="n">
        <v>45923.57418981481</v>
      </c>
      <c r="C533" s="1" t="n">
        <v>45937</v>
      </c>
      <c r="D533" t="inlineStr">
        <is>
          <t>JÄMTLANDS LÄN</t>
        </is>
      </c>
      <c r="E533" t="inlineStr">
        <is>
          <t>ÅRE</t>
        </is>
      </c>
      <c r="G533" t="n">
        <v>6.2</v>
      </c>
      <c r="H533" t="n">
        <v>0</v>
      </c>
      <c r="I533" t="n">
        <v>0</v>
      </c>
      <c r="J533" t="n">
        <v>0</v>
      </c>
      <c r="K533" t="n">
        <v>0</v>
      </c>
      <c r="L533" t="n">
        <v>0</v>
      </c>
      <c r="M533" t="n">
        <v>0</v>
      </c>
      <c r="N533" t="n">
        <v>0</v>
      </c>
      <c r="O533" t="n">
        <v>0</v>
      </c>
      <c r="P533" t="n">
        <v>0</v>
      </c>
      <c r="Q533" t="n">
        <v>0</v>
      </c>
      <c r="R533" s="2" t="inlineStr"/>
    </row>
    <row r="534" ht="15" customHeight="1">
      <c r="A534" t="inlineStr">
        <is>
          <t>A 46041-2025</t>
        </is>
      </c>
      <c r="B534" s="1" t="n">
        <v>45924</v>
      </c>
      <c r="C534" s="1" t="n">
        <v>45937</v>
      </c>
      <c r="D534" t="inlineStr">
        <is>
          <t>JÄMTLANDS LÄN</t>
        </is>
      </c>
      <c r="E534" t="inlineStr">
        <is>
          <t>ÅRE</t>
        </is>
      </c>
      <c r="G534" t="n">
        <v>3.5</v>
      </c>
      <c r="H534" t="n">
        <v>0</v>
      </c>
      <c r="I534" t="n">
        <v>0</v>
      </c>
      <c r="J534" t="n">
        <v>0</v>
      </c>
      <c r="K534" t="n">
        <v>0</v>
      </c>
      <c r="L534" t="n">
        <v>0</v>
      </c>
      <c r="M534" t="n">
        <v>0</v>
      </c>
      <c r="N534" t="n">
        <v>0</v>
      </c>
      <c r="O534" t="n">
        <v>0</v>
      </c>
      <c r="P534" t="n">
        <v>0</v>
      </c>
      <c r="Q534" t="n">
        <v>0</v>
      </c>
      <c r="R534" s="2" t="inlineStr"/>
    </row>
    <row r="535" ht="15" customHeight="1">
      <c r="A535" t="inlineStr">
        <is>
          <t>A 44925-2024</t>
        </is>
      </c>
      <c r="B535" s="1" t="n">
        <v>45575.40700231482</v>
      </c>
      <c r="C535" s="1" t="n">
        <v>45937</v>
      </c>
      <c r="D535" t="inlineStr">
        <is>
          <t>JÄMTLANDS LÄN</t>
        </is>
      </c>
      <c r="E535" t="inlineStr">
        <is>
          <t>ÅRE</t>
        </is>
      </c>
      <c r="F535" t="inlineStr">
        <is>
          <t>Övriga Aktiebolag</t>
        </is>
      </c>
      <c r="G535" t="n">
        <v>22.3</v>
      </c>
      <c r="H535" t="n">
        <v>0</v>
      </c>
      <c r="I535" t="n">
        <v>0</v>
      </c>
      <c r="J535" t="n">
        <v>0</v>
      </c>
      <c r="K535" t="n">
        <v>0</v>
      </c>
      <c r="L535" t="n">
        <v>0</v>
      </c>
      <c r="M535" t="n">
        <v>0</v>
      </c>
      <c r="N535" t="n">
        <v>0</v>
      </c>
      <c r="O535" t="n">
        <v>0</v>
      </c>
      <c r="P535" t="n">
        <v>0</v>
      </c>
      <c r="Q535" t="n">
        <v>0</v>
      </c>
      <c r="R535" s="2" t="inlineStr"/>
    </row>
    <row r="536" ht="15" customHeight="1">
      <c r="A536" t="inlineStr">
        <is>
          <t>A 64245-2021</t>
        </is>
      </c>
      <c r="B536" s="1" t="n">
        <v>44510</v>
      </c>
      <c r="C536" s="1" t="n">
        <v>45937</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9613-2021</t>
        </is>
      </c>
      <c r="B537" s="1" t="n">
        <v>44251</v>
      </c>
      <c r="C537" s="1" t="n">
        <v>45937</v>
      </c>
      <c r="D537" t="inlineStr">
        <is>
          <t>JÄMTLANDS LÄN</t>
        </is>
      </c>
      <c r="E537" t="inlineStr">
        <is>
          <t>ÅRE</t>
        </is>
      </c>
      <c r="G537" t="n">
        <v>2</v>
      </c>
      <c r="H537" t="n">
        <v>0</v>
      </c>
      <c r="I537" t="n">
        <v>0</v>
      </c>
      <c r="J537" t="n">
        <v>0</v>
      </c>
      <c r="K537" t="n">
        <v>0</v>
      </c>
      <c r="L537" t="n">
        <v>0</v>
      </c>
      <c r="M537" t="n">
        <v>0</v>
      </c>
      <c r="N537" t="n">
        <v>0</v>
      </c>
      <c r="O537" t="n">
        <v>0</v>
      </c>
      <c r="P537" t="n">
        <v>0</v>
      </c>
      <c r="Q537" t="n">
        <v>0</v>
      </c>
      <c r="R537" s="2" t="inlineStr"/>
    </row>
    <row r="538" ht="15" customHeight="1">
      <c r="A538" t="inlineStr">
        <is>
          <t>A 61924-2022</t>
        </is>
      </c>
      <c r="B538" s="1" t="n">
        <v>44917</v>
      </c>
      <c r="C538" s="1" t="n">
        <v>45937</v>
      </c>
      <c r="D538" t="inlineStr">
        <is>
          <t>JÄMTLANDS LÄN</t>
        </is>
      </c>
      <c r="E538" t="inlineStr">
        <is>
          <t>ÅRE</t>
        </is>
      </c>
      <c r="G538" t="n">
        <v>39.8</v>
      </c>
      <c r="H538" t="n">
        <v>0</v>
      </c>
      <c r="I538" t="n">
        <v>0</v>
      </c>
      <c r="J538" t="n">
        <v>0</v>
      </c>
      <c r="K538" t="n">
        <v>0</v>
      </c>
      <c r="L538" t="n">
        <v>0</v>
      </c>
      <c r="M538" t="n">
        <v>0</v>
      </c>
      <c r="N538" t="n">
        <v>0</v>
      </c>
      <c r="O538" t="n">
        <v>0</v>
      </c>
      <c r="P538" t="n">
        <v>0</v>
      </c>
      <c r="Q538" t="n">
        <v>0</v>
      </c>
      <c r="R538" s="2" t="inlineStr"/>
    </row>
    <row r="539" ht="15" customHeight="1">
      <c r="A539" t="inlineStr">
        <is>
          <t>A 37729-2023</t>
        </is>
      </c>
      <c r="B539" s="1" t="n">
        <v>45159</v>
      </c>
      <c r="C539" s="1" t="n">
        <v>45937</v>
      </c>
      <c r="D539" t="inlineStr">
        <is>
          <t>JÄMTLANDS LÄN</t>
        </is>
      </c>
      <c r="E539" t="inlineStr">
        <is>
          <t>ÅRE</t>
        </is>
      </c>
      <c r="G539" t="n">
        <v>2.4</v>
      </c>
      <c r="H539" t="n">
        <v>0</v>
      </c>
      <c r="I539" t="n">
        <v>0</v>
      </c>
      <c r="J539" t="n">
        <v>0</v>
      </c>
      <c r="K539" t="n">
        <v>0</v>
      </c>
      <c r="L539" t="n">
        <v>0</v>
      </c>
      <c r="M539" t="n">
        <v>0</v>
      </c>
      <c r="N539" t="n">
        <v>0</v>
      </c>
      <c r="O539" t="n">
        <v>0</v>
      </c>
      <c r="P539" t="n">
        <v>0</v>
      </c>
      <c r="Q539" t="n">
        <v>0</v>
      </c>
      <c r="R539" s="2" t="inlineStr"/>
    </row>
    <row r="540" ht="15" customHeight="1">
      <c r="A540" t="inlineStr">
        <is>
          <t>A 60899-2022</t>
        </is>
      </c>
      <c r="B540" s="1" t="n">
        <v>44908</v>
      </c>
      <c r="C540" s="1" t="n">
        <v>45937</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50099-2021</t>
        </is>
      </c>
      <c r="B541" s="1" t="n">
        <v>44456</v>
      </c>
      <c r="C541" s="1" t="n">
        <v>45937</v>
      </c>
      <c r="D541" t="inlineStr">
        <is>
          <t>JÄMTLANDS LÄN</t>
        </is>
      </c>
      <c r="E541" t="inlineStr">
        <is>
          <t>ÅRE</t>
        </is>
      </c>
      <c r="G541" t="n">
        <v>6.2</v>
      </c>
      <c r="H541" t="n">
        <v>0</v>
      </c>
      <c r="I541" t="n">
        <v>0</v>
      </c>
      <c r="J541" t="n">
        <v>0</v>
      </c>
      <c r="K541" t="n">
        <v>0</v>
      </c>
      <c r="L541" t="n">
        <v>0</v>
      </c>
      <c r="M541" t="n">
        <v>0</v>
      </c>
      <c r="N541" t="n">
        <v>0</v>
      </c>
      <c r="O541" t="n">
        <v>0</v>
      </c>
      <c r="P541" t="n">
        <v>0</v>
      </c>
      <c r="Q541" t="n">
        <v>0</v>
      </c>
      <c r="R541" s="2" t="inlineStr"/>
    </row>
    <row r="542" ht="15" customHeight="1">
      <c r="A542" t="inlineStr">
        <is>
          <t>A 59784-2024</t>
        </is>
      </c>
      <c r="B542" s="1" t="n">
        <v>45639.57988425926</v>
      </c>
      <c r="C542" s="1" t="n">
        <v>45937</v>
      </c>
      <c r="D542" t="inlineStr">
        <is>
          <t>JÄMTLANDS LÄN</t>
        </is>
      </c>
      <c r="E542" t="inlineStr">
        <is>
          <t>ÅRE</t>
        </is>
      </c>
      <c r="F542" t="inlineStr">
        <is>
          <t>Övriga Aktiebolag</t>
        </is>
      </c>
      <c r="G542" t="n">
        <v>1.3</v>
      </c>
      <c r="H542" t="n">
        <v>0</v>
      </c>
      <c r="I542" t="n">
        <v>0</v>
      </c>
      <c r="J542" t="n">
        <v>0</v>
      </c>
      <c r="K542" t="n">
        <v>0</v>
      </c>
      <c r="L542" t="n">
        <v>0</v>
      </c>
      <c r="M542" t="n">
        <v>0</v>
      </c>
      <c r="N542" t="n">
        <v>0</v>
      </c>
      <c r="O542" t="n">
        <v>0</v>
      </c>
      <c r="P542" t="n">
        <v>0</v>
      </c>
      <c r="Q542" t="n">
        <v>0</v>
      </c>
      <c r="R542" s="2" t="inlineStr"/>
    </row>
    <row r="543" ht="15" customHeight="1">
      <c r="A543" t="inlineStr">
        <is>
          <t>A 53611-2024</t>
        </is>
      </c>
      <c r="B543" s="1" t="n">
        <v>45614.70510416666</v>
      </c>
      <c r="C543" s="1" t="n">
        <v>45937</v>
      </c>
      <c r="D543" t="inlineStr">
        <is>
          <t>JÄMTLANDS LÄN</t>
        </is>
      </c>
      <c r="E543" t="inlineStr">
        <is>
          <t>ÅRE</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13841-2024</t>
        </is>
      </c>
      <c r="B544" s="1" t="n">
        <v>45391</v>
      </c>
      <c r="C544" s="1" t="n">
        <v>45937</v>
      </c>
      <c r="D544" t="inlineStr">
        <is>
          <t>JÄMTLANDS LÄN</t>
        </is>
      </c>
      <c r="E544" t="inlineStr">
        <is>
          <t>ÅRE</t>
        </is>
      </c>
      <c r="G544" t="n">
        <v>6.7</v>
      </c>
      <c r="H544" t="n">
        <v>0</v>
      </c>
      <c r="I544" t="n">
        <v>0</v>
      </c>
      <c r="J544" t="n">
        <v>0</v>
      </c>
      <c r="K544" t="n">
        <v>0</v>
      </c>
      <c r="L544" t="n">
        <v>0</v>
      </c>
      <c r="M544" t="n">
        <v>0</v>
      </c>
      <c r="N544" t="n">
        <v>0</v>
      </c>
      <c r="O544" t="n">
        <v>0</v>
      </c>
      <c r="P544" t="n">
        <v>0</v>
      </c>
      <c r="Q544" t="n">
        <v>0</v>
      </c>
      <c r="R544" s="2" t="inlineStr"/>
    </row>
    <row r="545" ht="15" customHeight="1">
      <c r="A545" t="inlineStr">
        <is>
          <t>A 17883-2021</t>
        </is>
      </c>
      <c r="B545" s="1" t="n">
        <v>44301</v>
      </c>
      <c r="C545" s="1" t="n">
        <v>45937</v>
      </c>
      <c r="D545" t="inlineStr">
        <is>
          <t>JÄMTLANDS LÄN</t>
        </is>
      </c>
      <c r="E545" t="inlineStr">
        <is>
          <t>ÅRE</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20480-2024</t>
        </is>
      </c>
      <c r="B546" s="1" t="n">
        <v>45435.71126157408</v>
      </c>
      <c r="C546" s="1" t="n">
        <v>45937</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51317-2023</t>
        </is>
      </c>
      <c r="B547" s="1" t="n">
        <v>45219.57061342592</v>
      </c>
      <c r="C547" s="1" t="n">
        <v>45937</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56609-2023</t>
        </is>
      </c>
      <c r="B548" s="1" t="n">
        <v>45243.66828703704</v>
      </c>
      <c r="C548" s="1" t="n">
        <v>45937</v>
      </c>
      <c r="D548" t="inlineStr">
        <is>
          <t>JÄMTLANDS LÄN</t>
        </is>
      </c>
      <c r="E548" t="inlineStr">
        <is>
          <t>ÅRE</t>
        </is>
      </c>
      <c r="G548" t="n">
        <v>17.9</v>
      </c>
      <c r="H548" t="n">
        <v>0</v>
      </c>
      <c r="I548" t="n">
        <v>0</v>
      </c>
      <c r="J548" t="n">
        <v>0</v>
      </c>
      <c r="K548" t="n">
        <v>0</v>
      </c>
      <c r="L548" t="n">
        <v>0</v>
      </c>
      <c r="M548" t="n">
        <v>0</v>
      </c>
      <c r="N548" t="n">
        <v>0</v>
      </c>
      <c r="O548" t="n">
        <v>0</v>
      </c>
      <c r="P548" t="n">
        <v>0</v>
      </c>
      <c r="Q548" t="n">
        <v>0</v>
      </c>
      <c r="R548" s="2" t="inlineStr"/>
    </row>
    <row r="549" ht="15" customHeight="1">
      <c r="A549" t="inlineStr">
        <is>
          <t>A 28817-2021</t>
        </is>
      </c>
      <c r="B549" s="1" t="n">
        <v>44357</v>
      </c>
      <c r="C549" s="1" t="n">
        <v>45937</v>
      </c>
      <c r="D549" t="inlineStr">
        <is>
          <t>JÄMTLANDS LÄN</t>
        </is>
      </c>
      <c r="E549" t="inlineStr">
        <is>
          <t>ÅRE</t>
        </is>
      </c>
      <c r="G549" t="n">
        <v>21.4</v>
      </c>
      <c r="H549" t="n">
        <v>0</v>
      </c>
      <c r="I549" t="n">
        <v>0</v>
      </c>
      <c r="J549" t="n">
        <v>0</v>
      </c>
      <c r="K549" t="n">
        <v>0</v>
      </c>
      <c r="L549" t="n">
        <v>0</v>
      </c>
      <c r="M549" t="n">
        <v>0</v>
      </c>
      <c r="N549" t="n">
        <v>0</v>
      </c>
      <c r="O549" t="n">
        <v>0</v>
      </c>
      <c r="P549" t="n">
        <v>0</v>
      </c>
      <c r="Q549" t="n">
        <v>0</v>
      </c>
      <c r="R549" s="2" t="inlineStr"/>
    </row>
    <row r="550" ht="15" customHeight="1">
      <c r="A550" t="inlineStr">
        <is>
          <t>A 13082-2025</t>
        </is>
      </c>
      <c r="B550" s="1" t="n">
        <v>45734.62666666666</v>
      </c>
      <c r="C550" s="1" t="n">
        <v>45937</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17576-2024</t>
        </is>
      </c>
      <c r="B551" s="1" t="n">
        <v>45415</v>
      </c>
      <c r="C551" s="1" t="n">
        <v>45937</v>
      </c>
      <c r="D551" t="inlineStr">
        <is>
          <t>JÄMTLANDS LÄN</t>
        </is>
      </c>
      <c r="E551" t="inlineStr">
        <is>
          <t>ÅRE</t>
        </is>
      </c>
      <c r="G551" t="n">
        <v>0.1</v>
      </c>
      <c r="H551" t="n">
        <v>0</v>
      </c>
      <c r="I551" t="n">
        <v>0</v>
      </c>
      <c r="J551" t="n">
        <v>0</v>
      </c>
      <c r="K551" t="n">
        <v>0</v>
      </c>
      <c r="L551" t="n">
        <v>0</v>
      </c>
      <c r="M551" t="n">
        <v>0</v>
      </c>
      <c r="N551" t="n">
        <v>0</v>
      </c>
      <c r="O551" t="n">
        <v>0</v>
      </c>
      <c r="P551" t="n">
        <v>0</v>
      </c>
      <c r="Q551" t="n">
        <v>0</v>
      </c>
      <c r="R551" s="2" t="inlineStr"/>
    </row>
    <row r="552" ht="15" customHeight="1">
      <c r="A552" t="inlineStr">
        <is>
          <t>A 66755-2020</t>
        </is>
      </c>
      <c r="B552" s="1" t="n">
        <v>44179</v>
      </c>
      <c r="C552" s="1" t="n">
        <v>45937</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8443-2023</t>
        </is>
      </c>
      <c r="B553" s="1" t="n">
        <v>44977</v>
      </c>
      <c r="C553" s="1" t="n">
        <v>45937</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30379-2024</t>
        </is>
      </c>
      <c r="B554" s="1" t="n">
        <v>45491.43815972222</v>
      </c>
      <c r="C554" s="1" t="n">
        <v>45937</v>
      </c>
      <c r="D554" t="inlineStr">
        <is>
          <t>JÄMTLANDS LÄN</t>
        </is>
      </c>
      <c r="E554" t="inlineStr">
        <is>
          <t>ÅRE</t>
        </is>
      </c>
      <c r="G554" t="n">
        <v>2.4</v>
      </c>
      <c r="H554" t="n">
        <v>0</v>
      </c>
      <c r="I554" t="n">
        <v>0</v>
      </c>
      <c r="J554" t="n">
        <v>0</v>
      </c>
      <c r="K554" t="n">
        <v>0</v>
      </c>
      <c r="L554" t="n">
        <v>0</v>
      </c>
      <c r="M554" t="n">
        <v>0</v>
      </c>
      <c r="N554" t="n">
        <v>0</v>
      </c>
      <c r="O554" t="n">
        <v>0</v>
      </c>
      <c r="P554" t="n">
        <v>0</v>
      </c>
      <c r="Q554" t="n">
        <v>0</v>
      </c>
      <c r="R554" s="2" t="inlineStr"/>
    </row>
    <row r="555" ht="15" customHeight="1">
      <c r="A555" t="inlineStr">
        <is>
          <t>A 11500-2022</t>
        </is>
      </c>
      <c r="B555" s="1" t="n">
        <v>44631</v>
      </c>
      <c r="C555" s="1" t="n">
        <v>45937</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23117-2022</t>
        </is>
      </c>
      <c r="B556" s="1" t="n">
        <v>44719.56572916666</v>
      </c>
      <c r="C556" s="1" t="n">
        <v>45937</v>
      </c>
      <c r="D556" t="inlineStr">
        <is>
          <t>JÄMTLANDS LÄN</t>
        </is>
      </c>
      <c r="E556" t="inlineStr">
        <is>
          <t>ÅRE</t>
        </is>
      </c>
      <c r="G556" t="n">
        <v>3.5</v>
      </c>
      <c r="H556" t="n">
        <v>0</v>
      </c>
      <c r="I556" t="n">
        <v>0</v>
      </c>
      <c r="J556" t="n">
        <v>0</v>
      </c>
      <c r="K556" t="n">
        <v>0</v>
      </c>
      <c r="L556" t="n">
        <v>0</v>
      </c>
      <c r="M556" t="n">
        <v>0</v>
      </c>
      <c r="N556" t="n">
        <v>0</v>
      </c>
      <c r="O556" t="n">
        <v>0</v>
      </c>
      <c r="P556" t="n">
        <v>0</v>
      </c>
      <c r="Q556" t="n">
        <v>0</v>
      </c>
      <c r="R556" s="2" t="inlineStr"/>
    </row>
    <row r="557" ht="15" customHeight="1">
      <c r="A557" t="inlineStr">
        <is>
          <t>A 12182-2023</t>
        </is>
      </c>
      <c r="B557" s="1" t="n">
        <v>44998</v>
      </c>
      <c r="C557" s="1" t="n">
        <v>45937</v>
      </c>
      <c r="D557" t="inlineStr">
        <is>
          <t>JÄMTLANDS LÄN</t>
        </is>
      </c>
      <c r="E557" t="inlineStr">
        <is>
          <t>ÅRE</t>
        </is>
      </c>
      <c r="G557" t="n">
        <v>11.7</v>
      </c>
      <c r="H557" t="n">
        <v>0</v>
      </c>
      <c r="I557" t="n">
        <v>0</v>
      </c>
      <c r="J557" t="n">
        <v>0</v>
      </c>
      <c r="K557" t="n">
        <v>0</v>
      </c>
      <c r="L557" t="n">
        <v>0</v>
      </c>
      <c r="M557" t="n">
        <v>0</v>
      </c>
      <c r="N557" t="n">
        <v>0</v>
      </c>
      <c r="O557" t="n">
        <v>0</v>
      </c>
      <c r="P557" t="n">
        <v>0</v>
      </c>
      <c r="Q557" t="n">
        <v>0</v>
      </c>
      <c r="R557" s="2" t="inlineStr"/>
    </row>
    <row r="558" ht="15" customHeight="1">
      <c r="A558" t="inlineStr">
        <is>
          <t>A 25926-2023</t>
        </is>
      </c>
      <c r="B558" s="1" t="n">
        <v>45085</v>
      </c>
      <c r="C558" s="1" t="n">
        <v>45937</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44894.47856481482</v>
      </c>
      <c r="C559" s="1" t="n">
        <v>45937</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13039-2024</t>
        </is>
      </c>
      <c r="B560" s="1" t="n">
        <v>45385</v>
      </c>
      <c r="C560" s="1" t="n">
        <v>45937</v>
      </c>
      <c r="D560" t="inlineStr">
        <is>
          <t>JÄMTLANDS LÄN</t>
        </is>
      </c>
      <c r="E560" t="inlineStr">
        <is>
          <t>ÅRE</t>
        </is>
      </c>
      <c r="G560" t="n">
        <v>1.8</v>
      </c>
      <c r="H560" t="n">
        <v>0</v>
      </c>
      <c r="I560" t="n">
        <v>0</v>
      </c>
      <c r="J560" t="n">
        <v>0</v>
      </c>
      <c r="K560" t="n">
        <v>0</v>
      </c>
      <c r="L560" t="n">
        <v>0</v>
      </c>
      <c r="M560" t="n">
        <v>0</v>
      </c>
      <c r="N560" t="n">
        <v>0</v>
      </c>
      <c r="O560" t="n">
        <v>0</v>
      </c>
      <c r="P560" t="n">
        <v>0</v>
      </c>
      <c r="Q560" t="n">
        <v>0</v>
      </c>
      <c r="R560" s="2" t="inlineStr"/>
    </row>
    <row r="561" ht="15" customHeight="1">
      <c r="A561" t="inlineStr">
        <is>
          <t>A 1414-2023</t>
        </is>
      </c>
      <c r="B561" s="1" t="n">
        <v>44936</v>
      </c>
      <c r="C561" s="1" t="n">
        <v>45937</v>
      </c>
      <c r="D561" t="inlineStr">
        <is>
          <t>JÄMTLANDS LÄN</t>
        </is>
      </c>
      <c r="E561" t="inlineStr">
        <is>
          <t>ÅRE</t>
        </is>
      </c>
      <c r="G561" t="n">
        <v>1.7</v>
      </c>
      <c r="H561" t="n">
        <v>0</v>
      </c>
      <c r="I561" t="n">
        <v>0</v>
      </c>
      <c r="J561" t="n">
        <v>0</v>
      </c>
      <c r="K561" t="n">
        <v>0</v>
      </c>
      <c r="L561" t="n">
        <v>0</v>
      </c>
      <c r="M561" t="n">
        <v>0</v>
      </c>
      <c r="N561" t="n">
        <v>0</v>
      </c>
      <c r="O561" t="n">
        <v>0</v>
      </c>
      <c r="P561" t="n">
        <v>0</v>
      </c>
      <c r="Q561" t="n">
        <v>0</v>
      </c>
      <c r="R561" s="2" t="inlineStr"/>
    </row>
    <row r="562" ht="15" customHeight="1">
      <c r="A562" t="inlineStr">
        <is>
          <t>A 55056-2024</t>
        </is>
      </c>
      <c r="B562" s="1" t="n">
        <v>45621.40034722222</v>
      </c>
      <c r="C562" s="1" t="n">
        <v>45937</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39069-2024</t>
        </is>
      </c>
      <c r="B563" s="1" t="n">
        <v>45548.53166666667</v>
      </c>
      <c r="C563" s="1" t="n">
        <v>45937</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9312-2025</t>
        </is>
      </c>
      <c r="B564" s="1" t="n">
        <v>45714.68869212963</v>
      </c>
      <c r="C564" s="1" t="n">
        <v>45937</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49267-2024</t>
        </is>
      </c>
      <c r="B565" s="1" t="n">
        <v>45595</v>
      </c>
      <c r="C565" s="1" t="n">
        <v>45937</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29294-2023</t>
        </is>
      </c>
      <c r="B566" s="1" t="n">
        <v>45098</v>
      </c>
      <c r="C566" s="1" t="n">
        <v>45937</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33015-2022</t>
        </is>
      </c>
      <c r="B567" s="1" t="n">
        <v>44784</v>
      </c>
      <c r="C567" s="1" t="n">
        <v>45937</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12288-2023</t>
        </is>
      </c>
      <c r="B568" s="1" t="n">
        <v>44998.73143518518</v>
      </c>
      <c r="C568" s="1" t="n">
        <v>45937</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61978-2023</t>
        </is>
      </c>
      <c r="B569" s="1" t="n">
        <v>45266.59711805556</v>
      </c>
      <c r="C569" s="1" t="n">
        <v>45937</v>
      </c>
      <c r="D569" t="inlineStr">
        <is>
          <t>JÄMTLANDS LÄN</t>
        </is>
      </c>
      <c r="E569" t="inlineStr">
        <is>
          <t>ÅRE</t>
        </is>
      </c>
      <c r="G569" t="n">
        <v>5.5</v>
      </c>
      <c r="H569" t="n">
        <v>0</v>
      </c>
      <c r="I569" t="n">
        <v>0</v>
      </c>
      <c r="J569" t="n">
        <v>0</v>
      </c>
      <c r="K569" t="n">
        <v>0</v>
      </c>
      <c r="L569" t="n">
        <v>0</v>
      </c>
      <c r="M569" t="n">
        <v>0</v>
      </c>
      <c r="N569" t="n">
        <v>0</v>
      </c>
      <c r="O569" t="n">
        <v>0</v>
      </c>
      <c r="P569" t="n">
        <v>0</v>
      </c>
      <c r="Q569" t="n">
        <v>0</v>
      </c>
      <c r="R569" s="2" t="inlineStr"/>
    </row>
    <row r="570" ht="15" customHeight="1">
      <c r="A570" t="inlineStr">
        <is>
          <t>A 33117-2023</t>
        </is>
      </c>
      <c r="B570" s="1" t="n">
        <v>45126</v>
      </c>
      <c r="C570" s="1" t="n">
        <v>45937</v>
      </c>
      <c r="D570" t="inlineStr">
        <is>
          <t>JÄMTLANDS LÄN</t>
        </is>
      </c>
      <c r="E570" t="inlineStr">
        <is>
          <t>ÅRE</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376-2024</t>
        </is>
      </c>
      <c r="B571" s="1" t="n">
        <v>45296</v>
      </c>
      <c r="C571" s="1" t="n">
        <v>45937</v>
      </c>
      <c r="D571" t="inlineStr">
        <is>
          <t>JÄMTLANDS LÄN</t>
        </is>
      </c>
      <c r="E571" t="inlineStr">
        <is>
          <t>ÅRE</t>
        </is>
      </c>
      <c r="F571" t="inlineStr">
        <is>
          <t>Kyrkan</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69592-2021</t>
        </is>
      </c>
      <c r="B572" s="1" t="n">
        <v>44531</v>
      </c>
      <c r="C572" s="1" t="n">
        <v>45937</v>
      </c>
      <c r="D572" t="inlineStr">
        <is>
          <t>JÄMTLANDS LÄN</t>
        </is>
      </c>
      <c r="E572" t="inlineStr">
        <is>
          <t>ÅRE</t>
        </is>
      </c>
      <c r="G572" t="n">
        <v>4.7</v>
      </c>
      <c r="H572" t="n">
        <v>0</v>
      </c>
      <c r="I572" t="n">
        <v>0</v>
      </c>
      <c r="J572" t="n">
        <v>0</v>
      </c>
      <c r="K572" t="n">
        <v>0</v>
      </c>
      <c r="L572" t="n">
        <v>0</v>
      </c>
      <c r="M572" t="n">
        <v>0</v>
      </c>
      <c r="N572" t="n">
        <v>0</v>
      </c>
      <c r="O572" t="n">
        <v>0</v>
      </c>
      <c r="P572" t="n">
        <v>0</v>
      </c>
      <c r="Q572" t="n">
        <v>0</v>
      </c>
      <c r="R572" s="2" t="inlineStr"/>
    </row>
    <row r="573" ht="15" customHeight="1">
      <c r="A573" t="inlineStr">
        <is>
          <t>A 54250-2024</t>
        </is>
      </c>
      <c r="B573" s="1" t="n">
        <v>45616</v>
      </c>
      <c r="C573" s="1" t="n">
        <v>45937</v>
      </c>
      <c r="D573" t="inlineStr">
        <is>
          <t>JÄMTLANDS LÄN</t>
        </is>
      </c>
      <c r="E573" t="inlineStr">
        <is>
          <t>ÅRE</t>
        </is>
      </c>
      <c r="G573" t="n">
        <v>2.8</v>
      </c>
      <c r="H573" t="n">
        <v>0</v>
      </c>
      <c r="I573" t="n">
        <v>0</v>
      </c>
      <c r="J573" t="n">
        <v>0</v>
      </c>
      <c r="K573" t="n">
        <v>0</v>
      </c>
      <c r="L573" t="n">
        <v>0</v>
      </c>
      <c r="M573" t="n">
        <v>0</v>
      </c>
      <c r="N573" t="n">
        <v>0</v>
      </c>
      <c r="O573" t="n">
        <v>0</v>
      </c>
      <c r="P573" t="n">
        <v>0</v>
      </c>
      <c r="Q573" t="n">
        <v>0</v>
      </c>
      <c r="R573" s="2" t="inlineStr"/>
    </row>
    <row r="574" ht="15" customHeight="1">
      <c r="A574" t="inlineStr">
        <is>
          <t>A 9126-2025</t>
        </is>
      </c>
      <c r="B574" s="1" t="n">
        <v>45713</v>
      </c>
      <c r="C574" s="1" t="n">
        <v>45937</v>
      </c>
      <c r="D574" t="inlineStr">
        <is>
          <t>JÄMTLANDS LÄN</t>
        </is>
      </c>
      <c r="E574" t="inlineStr">
        <is>
          <t>ÅRE</t>
        </is>
      </c>
      <c r="G574" t="n">
        <v>2</v>
      </c>
      <c r="H574" t="n">
        <v>0</v>
      </c>
      <c r="I574" t="n">
        <v>0</v>
      </c>
      <c r="J574" t="n">
        <v>0</v>
      </c>
      <c r="K574" t="n">
        <v>0</v>
      </c>
      <c r="L574" t="n">
        <v>0</v>
      </c>
      <c r="M574" t="n">
        <v>0</v>
      </c>
      <c r="N574" t="n">
        <v>0</v>
      </c>
      <c r="O574" t="n">
        <v>0</v>
      </c>
      <c r="P574" t="n">
        <v>0</v>
      </c>
      <c r="Q574" t="n">
        <v>0</v>
      </c>
      <c r="R574" s="2" t="inlineStr"/>
    </row>
    <row r="575" ht="15" customHeight="1">
      <c r="A575" t="inlineStr">
        <is>
          <t>A 2376-2023</t>
        </is>
      </c>
      <c r="B575" s="1" t="n">
        <v>44942</v>
      </c>
      <c r="C575" s="1" t="n">
        <v>45937</v>
      </c>
      <c r="D575" t="inlineStr">
        <is>
          <t>JÄMTLANDS LÄN</t>
        </is>
      </c>
      <c r="E575" t="inlineStr">
        <is>
          <t>ÅRE</t>
        </is>
      </c>
      <c r="G575" t="n">
        <v>0.1</v>
      </c>
      <c r="H575" t="n">
        <v>0</v>
      </c>
      <c r="I575" t="n">
        <v>0</v>
      </c>
      <c r="J575" t="n">
        <v>0</v>
      </c>
      <c r="K575" t="n">
        <v>0</v>
      </c>
      <c r="L575" t="n">
        <v>0</v>
      </c>
      <c r="M575" t="n">
        <v>0</v>
      </c>
      <c r="N575" t="n">
        <v>0</v>
      </c>
      <c r="O575" t="n">
        <v>0</v>
      </c>
      <c r="P575" t="n">
        <v>0</v>
      </c>
      <c r="Q575" t="n">
        <v>0</v>
      </c>
      <c r="R575" s="2" t="inlineStr"/>
    </row>
    <row r="576" ht="15" customHeight="1">
      <c r="A576" t="inlineStr">
        <is>
          <t>A 51452-2024</t>
        </is>
      </c>
      <c r="B576" s="1" t="n">
        <v>45604.49045138889</v>
      </c>
      <c r="C576" s="1" t="n">
        <v>45937</v>
      </c>
      <c r="D576" t="inlineStr">
        <is>
          <t>JÄMTLANDS LÄN</t>
        </is>
      </c>
      <c r="E576" t="inlineStr">
        <is>
          <t>ÅRE</t>
        </is>
      </c>
      <c r="G576" t="n">
        <v>8</v>
      </c>
      <c r="H576" t="n">
        <v>0</v>
      </c>
      <c r="I576" t="n">
        <v>0</v>
      </c>
      <c r="J576" t="n">
        <v>0</v>
      </c>
      <c r="K576" t="n">
        <v>0</v>
      </c>
      <c r="L576" t="n">
        <v>0</v>
      </c>
      <c r="M576" t="n">
        <v>0</v>
      </c>
      <c r="N576" t="n">
        <v>0</v>
      </c>
      <c r="O576" t="n">
        <v>0</v>
      </c>
      <c r="P576" t="n">
        <v>0</v>
      </c>
      <c r="Q576" t="n">
        <v>0</v>
      </c>
      <c r="R576" s="2" t="inlineStr"/>
    </row>
    <row r="577" ht="15" customHeight="1">
      <c r="A577" t="inlineStr">
        <is>
          <t>A 20999-2024</t>
        </is>
      </c>
      <c r="B577" s="1" t="n">
        <v>45439</v>
      </c>
      <c r="C577" s="1" t="n">
        <v>45937</v>
      </c>
      <c r="D577" t="inlineStr">
        <is>
          <t>JÄMTLANDS LÄN</t>
        </is>
      </c>
      <c r="E577" t="inlineStr">
        <is>
          <t>ÅRE</t>
        </is>
      </c>
      <c r="G577" t="n">
        <v>5.7</v>
      </c>
      <c r="H577" t="n">
        <v>0</v>
      </c>
      <c r="I577" t="n">
        <v>0</v>
      </c>
      <c r="J577" t="n">
        <v>0</v>
      </c>
      <c r="K577" t="n">
        <v>0</v>
      </c>
      <c r="L577" t="n">
        <v>0</v>
      </c>
      <c r="M577" t="n">
        <v>0</v>
      </c>
      <c r="N577" t="n">
        <v>0</v>
      </c>
      <c r="O577" t="n">
        <v>0</v>
      </c>
      <c r="P577" t="n">
        <v>0</v>
      </c>
      <c r="Q577" t="n">
        <v>0</v>
      </c>
      <c r="R577" s="2" t="inlineStr"/>
    </row>
    <row r="578" ht="15" customHeight="1">
      <c r="A578" t="inlineStr">
        <is>
          <t>A 45113-2024</t>
        </is>
      </c>
      <c r="B578" s="1" t="n">
        <v>45575.59709490741</v>
      </c>
      <c r="C578" s="1" t="n">
        <v>45937</v>
      </c>
      <c r="D578" t="inlineStr">
        <is>
          <t>JÄMTLANDS LÄN</t>
        </is>
      </c>
      <c r="E578" t="inlineStr">
        <is>
          <t>ÅRE</t>
        </is>
      </c>
      <c r="G578" t="n">
        <v>3.7</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45937</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37734-2023</t>
        </is>
      </c>
      <c r="B580" s="1" t="n">
        <v>45159.61971064815</v>
      </c>
      <c r="C580" s="1" t="n">
        <v>45937</v>
      </c>
      <c r="D580" t="inlineStr">
        <is>
          <t>JÄMTLANDS LÄN</t>
        </is>
      </c>
      <c r="E580" t="inlineStr">
        <is>
          <t>ÅRE</t>
        </is>
      </c>
      <c r="G580" t="n">
        <v>3.4</v>
      </c>
      <c r="H580" t="n">
        <v>0</v>
      </c>
      <c r="I580" t="n">
        <v>0</v>
      </c>
      <c r="J580" t="n">
        <v>0</v>
      </c>
      <c r="K580" t="n">
        <v>0</v>
      </c>
      <c r="L580" t="n">
        <v>0</v>
      </c>
      <c r="M580" t="n">
        <v>0</v>
      </c>
      <c r="N580" t="n">
        <v>0</v>
      </c>
      <c r="O580" t="n">
        <v>0</v>
      </c>
      <c r="P580" t="n">
        <v>0</v>
      </c>
      <c r="Q580" t="n">
        <v>0</v>
      </c>
      <c r="R580" s="2" t="inlineStr"/>
    </row>
    <row r="581" ht="15" customHeight="1">
      <c r="A581" t="inlineStr">
        <is>
          <t>A 57770-2023</t>
        </is>
      </c>
      <c r="B581" s="1" t="n">
        <v>45246.92542824074</v>
      </c>
      <c r="C581" s="1" t="n">
        <v>45937</v>
      </c>
      <c r="D581" t="inlineStr">
        <is>
          <t>JÄMTLANDS LÄN</t>
        </is>
      </c>
      <c r="E581" t="inlineStr">
        <is>
          <t>ÅRE</t>
        </is>
      </c>
      <c r="G581" t="n">
        <v>0.9</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45937</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393-2024</t>
        </is>
      </c>
      <c r="B583" s="1" t="n">
        <v>45296.43614583334</v>
      </c>
      <c r="C583" s="1" t="n">
        <v>45937</v>
      </c>
      <c r="D583" t="inlineStr">
        <is>
          <t>JÄMTLANDS LÄN</t>
        </is>
      </c>
      <c r="E583" t="inlineStr">
        <is>
          <t>ÅRE</t>
        </is>
      </c>
      <c r="G583" t="n">
        <v>6.5</v>
      </c>
      <c r="H583" t="n">
        <v>0</v>
      </c>
      <c r="I583" t="n">
        <v>0</v>
      </c>
      <c r="J583" t="n">
        <v>0</v>
      </c>
      <c r="K583" t="n">
        <v>0</v>
      </c>
      <c r="L583" t="n">
        <v>0</v>
      </c>
      <c r="M583" t="n">
        <v>0</v>
      </c>
      <c r="N583" t="n">
        <v>0</v>
      </c>
      <c r="O583" t="n">
        <v>0</v>
      </c>
      <c r="P583" t="n">
        <v>0</v>
      </c>
      <c r="Q583" t="n">
        <v>0</v>
      </c>
      <c r="R583" s="2" t="inlineStr"/>
    </row>
    <row r="584" ht="15" customHeight="1">
      <c r="A584" t="inlineStr">
        <is>
          <t>A 13033-2024</t>
        </is>
      </c>
      <c r="B584" s="1" t="n">
        <v>45385</v>
      </c>
      <c r="C584" s="1" t="n">
        <v>45937</v>
      </c>
      <c r="D584" t="inlineStr">
        <is>
          <t>JÄMTLANDS LÄN</t>
        </is>
      </c>
      <c r="E584" t="inlineStr">
        <is>
          <t>ÅRE</t>
        </is>
      </c>
      <c r="G584" t="n">
        <v>7.3</v>
      </c>
      <c r="H584" t="n">
        <v>0</v>
      </c>
      <c r="I584" t="n">
        <v>0</v>
      </c>
      <c r="J584" t="n">
        <v>0</v>
      </c>
      <c r="K584" t="n">
        <v>0</v>
      </c>
      <c r="L584" t="n">
        <v>0</v>
      </c>
      <c r="M584" t="n">
        <v>0</v>
      </c>
      <c r="N584" t="n">
        <v>0</v>
      </c>
      <c r="O584" t="n">
        <v>0</v>
      </c>
      <c r="P584" t="n">
        <v>0</v>
      </c>
      <c r="Q584" t="n">
        <v>0</v>
      </c>
      <c r="R584" s="2" t="inlineStr"/>
    </row>
    <row r="585" ht="15" customHeight="1">
      <c r="A585" t="inlineStr">
        <is>
          <t>A 12227-2023</t>
        </is>
      </c>
      <c r="B585" s="1" t="n">
        <v>44998.60261574074</v>
      </c>
      <c r="C585" s="1" t="n">
        <v>45937</v>
      </c>
      <c r="D585" t="inlineStr">
        <is>
          <t>JÄMTLANDS LÄN</t>
        </is>
      </c>
      <c r="E585" t="inlineStr">
        <is>
          <t>ÅRE</t>
        </is>
      </c>
      <c r="G585" t="n">
        <v>2.9</v>
      </c>
      <c r="H585" t="n">
        <v>0</v>
      </c>
      <c r="I585" t="n">
        <v>0</v>
      </c>
      <c r="J585" t="n">
        <v>0</v>
      </c>
      <c r="K585" t="n">
        <v>0</v>
      </c>
      <c r="L585" t="n">
        <v>0</v>
      </c>
      <c r="M585" t="n">
        <v>0</v>
      </c>
      <c r="N585" t="n">
        <v>0</v>
      </c>
      <c r="O585" t="n">
        <v>0</v>
      </c>
      <c r="P585" t="n">
        <v>0</v>
      </c>
      <c r="Q585" t="n">
        <v>0</v>
      </c>
      <c r="R585" s="2" t="inlineStr"/>
    </row>
    <row r="586" ht="15" customHeight="1">
      <c r="A586" t="inlineStr">
        <is>
          <t>A 7573-2023</t>
        </is>
      </c>
      <c r="B586" s="1" t="n">
        <v>44967</v>
      </c>
      <c r="C586" s="1" t="n">
        <v>45937</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45242-2023</t>
        </is>
      </c>
      <c r="B587" s="1" t="n">
        <v>45187</v>
      </c>
      <c r="C587" s="1" t="n">
        <v>45937</v>
      </c>
      <c r="D587" t="inlineStr">
        <is>
          <t>JÄMTLANDS LÄN</t>
        </is>
      </c>
      <c r="E587" t="inlineStr">
        <is>
          <t>ÅRE</t>
        </is>
      </c>
      <c r="G587" t="n">
        <v>2.9</v>
      </c>
      <c r="H587" t="n">
        <v>0</v>
      </c>
      <c r="I587" t="n">
        <v>0</v>
      </c>
      <c r="J587" t="n">
        <v>0</v>
      </c>
      <c r="K587" t="n">
        <v>0</v>
      </c>
      <c r="L587" t="n">
        <v>0</v>
      </c>
      <c r="M587" t="n">
        <v>0</v>
      </c>
      <c r="N587" t="n">
        <v>0</v>
      </c>
      <c r="O587" t="n">
        <v>0</v>
      </c>
      <c r="P587" t="n">
        <v>0</v>
      </c>
      <c r="Q587" t="n">
        <v>0</v>
      </c>
      <c r="R587" s="2" t="inlineStr"/>
    </row>
    <row r="588" ht="15" customHeight="1">
      <c r="A588" t="inlineStr">
        <is>
          <t>A 1491-2024</t>
        </is>
      </c>
      <c r="B588" s="1" t="n">
        <v>45305</v>
      </c>
      <c r="C588" s="1" t="n">
        <v>45937</v>
      </c>
      <c r="D588" t="inlineStr">
        <is>
          <t>JÄMTLANDS LÄN</t>
        </is>
      </c>
      <c r="E588" t="inlineStr">
        <is>
          <t>ÅRE</t>
        </is>
      </c>
      <c r="G588" t="n">
        <v>31.4</v>
      </c>
      <c r="H588" t="n">
        <v>0</v>
      </c>
      <c r="I588" t="n">
        <v>0</v>
      </c>
      <c r="J588" t="n">
        <v>0</v>
      </c>
      <c r="K588" t="n">
        <v>0</v>
      </c>
      <c r="L588" t="n">
        <v>0</v>
      </c>
      <c r="M588" t="n">
        <v>0</v>
      </c>
      <c r="N588" t="n">
        <v>0</v>
      </c>
      <c r="O588" t="n">
        <v>0</v>
      </c>
      <c r="P588" t="n">
        <v>0</v>
      </c>
      <c r="Q588" t="n">
        <v>0</v>
      </c>
      <c r="R588" s="2" t="inlineStr"/>
    </row>
    <row r="589" ht="15" customHeight="1">
      <c r="A589" t="inlineStr">
        <is>
          <t>A 12287-2023</t>
        </is>
      </c>
      <c r="B589" s="1" t="n">
        <v>44998.72736111111</v>
      </c>
      <c r="C589" s="1" t="n">
        <v>45937</v>
      </c>
      <c r="D589" t="inlineStr">
        <is>
          <t>JÄMTLANDS LÄN</t>
        </is>
      </c>
      <c r="E589" t="inlineStr">
        <is>
          <t>ÅRE</t>
        </is>
      </c>
      <c r="G589" t="n">
        <v>3.1</v>
      </c>
      <c r="H589" t="n">
        <v>0</v>
      </c>
      <c r="I589" t="n">
        <v>0</v>
      </c>
      <c r="J589" t="n">
        <v>0</v>
      </c>
      <c r="K589" t="n">
        <v>0</v>
      </c>
      <c r="L589" t="n">
        <v>0</v>
      </c>
      <c r="M589" t="n">
        <v>0</v>
      </c>
      <c r="N589" t="n">
        <v>0</v>
      </c>
      <c r="O589" t="n">
        <v>0</v>
      </c>
      <c r="P589" t="n">
        <v>0</v>
      </c>
      <c r="Q589" t="n">
        <v>0</v>
      </c>
      <c r="R589" s="2" t="inlineStr"/>
    </row>
    <row r="590" ht="15" customHeight="1">
      <c r="A590" t="inlineStr">
        <is>
          <t>A 12290-2023</t>
        </is>
      </c>
      <c r="B590" s="1" t="n">
        <v>44998.73545138889</v>
      </c>
      <c r="C590" s="1" t="n">
        <v>45937</v>
      </c>
      <c r="D590" t="inlineStr">
        <is>
          <t>JÄMTLANDS LÄN</t>
        </is>
      </c>
      <c r="E590" t="inlineStr">
        <is>
          <t>ÅRE</t>
        </is>
      </c>
      <c r="G590" t="n">
        <v>2.8</v>
      </c>
      <c r="H590" t="n">
        <v>0</v>
      </c>
      <c r="I590" t="n">
        <v>0</v>
      </c>
      <c r="J590" t="n">
        <v>0</v>
      </c>
      <c r="K590" t="n">
        <v>0</v>
      </c>
      <c r="L590" t="n">
        <v>0</v>
      </c>
      <c r="M590" t="n">
        <v>0</v>
      </c>
      <c r="N590" t="n">
        <v>0</v>
      </c>
      <c r="O590" t="n">
        <v>0</v>
      </c>
      <c r="P590" t="n">
        <v>0</v>
      </c>
      <c r="Q590" t="n">
        <v>0</v>
      </c>
      <c r="R590" s="2" t="inlineStr"/>
    </row>
    <row r="591" ht="15" customHeight="1">
      <c r="A591" t="inlineStr">
        <is>
          <t>A 12291-2023</t>
        </is>
      </c>
      <c r="B591" s="1" t="n">
        <v>44998.74140046296</v>
      </c>
      <c r="C591" s="1" t="n">
        <v>45937</v>
      </c>
      <c r="D591" t="inlineStr">
        <is>
          <t>JÄMTLANDS LÄN</t>
        </is>
      </c>
      <c r="E591" t="inlineStr">
        <is>
          <t>ÅRE</t>
        </is>
      </c>
      <c r="G591" t="n">
        <v>6</v>
      </c>
      <c r="H591" t="n">
        <v>0</v>
      </c>
      <c r="I591" t="n">
        <v>0</v>
      </c>
      <c r="J591" t="n">
        <v>0</v>
      </c>
      <c r="K591" t="n">
        <v>0</v>
      </c>
      <c r="L591" t="n">
        <v>0</v>
      </c>
      <c r="M591" t="n">
        <v>0</v>
      </c>
      <c r="N591" t="n">
        <v>0</v>
      </c>
      <c r="O591" t="n">
        <v>0</v>
      </c>
      <c r="P591" t="n">
        <v>0</v>
      </c>
      <c r="Q591" t="n">
        <v>0</v>
      </c>
      <c r="R591" s="2" t="inlineStr"/>
    </row>
    <row r="592" ht="15" customHeight="1">
      <c r="A592" t="inlineStr">
        <is>
          <t>A 44609-2024</t>
        </is>
      </c>
      <c r="B592" s="1" t="n">
        <v>45574.51212962963</v>
      </c>
      <c r="C592" s="1" t="n">
        <v>45937</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41677-2024</t>
        </is>
      </c>
      <c r="B593" s="1" t="n">
        <v>45560.66037037037</v>
      </c>
      <c r="C593" s="1" t="n">
        <v>45937</v>
      </c>
      <c r="D593" t="inlineStr">
        <is>
          <t>JÄMTLANDS LÄN</t>
        </is>
      </c>
      <c r="E593" t="inlineStr">
        <is>
          <t>ÅRE</t>
        </is>
      </c>
      <c r="G593" t="n">
        <v>0.5</v>
      </c>
      <c r="H593" t="n">
        <v>0</v>
      </c>
      <c r="I593" t="n">
        <v>0</v>
      </c>
      <c r="J593" t="n">
        <v>0</v>
      </c>
      <c r="K593" t="n">
        <v>0</v>
      </c>
      <c r="L593" t="n">
        <v>0</v>
      </c>
      <c r="M593" t="n">
        <v>0</v>
      </c>
      <c r="N593" t="n">
        <v>0</v>
      </c>
      <c r="O593" t="n">
        <v>0</v>
      </c>
      <c r="P593" t="n">
        <v>0</v>
      </c>
      <c r="Q593" t="n">
        <v>0</v>
      </c>
      <c r="R593" s="2" t="inlineStr"/>
    </row>
    <row r="594" ht="15" customHeight="1">
      <c r="A594" t="inlineStr">
        <is>
          <t>A 41688-2024</t>
        </is>
      </c>
      <c r="B594" s="1" t="n">
        <v>45560.67542824074</v>
      </c>
      <c r="C594" s="1" t="n">
        <v>45937</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4218-2025</t>
        </is>
      </c>
      <c r="B595" s="1" t="n">
        <v>45685</v>
      </c>
      <c r="C595" s="1" t="n">
        <v>45937</v>
      </c>
      <c r="D595" t="inlineStr">
        <is>
          <t>JÄMTLANDS LÄN</t>
        </is>
      </c>
      <c r="E595" t="inlineStr">
        <is>
          <t>ÅRE</t>
        </is>
      </c>
      <c r="F595" t="inlineStr">
        <is>
          <t>Övriga Aktiebolag</t>
        </is>
      </c>
      <c r="G595" t="n">
        <v>10.1</v>
      </c>
      <c r="H595" t="n">
        <v>0</v>
      </c>
      <c r="I595" t="n">
        <v>0</v>
      </c>
      <c r="J595" t="n">
        <v>0</v>
      </c>
      <c r="K595" t="n">
        <v>0</v>
      </c>
      <c r="L595" t="n">
        <v>0</v>
      </c>
      <c r="M595" t="n">
        <v>0</v>
      </c>
      <c r="N595" t="n">
        <v>0</v>
      </c>
      <c r="O595" t="n">
        <v>0</v>
      </c>
      <c r="P595" t="n">
        <v>0</v>
      </c>
      <c r="Q595" t="n">
        <v>0</v>
      </c>
      <c r="R595" s="2" t="inlineStr"/>
    </row>
    <row r="596">
      <c r="A596" t="inlineStr">
        <is>
          <t>A 15692-2025</t>
        </is>
      </c>
      <c r="B596" s="1" t="n">
        <v>45748</v>
      </c>
      <c r="C596" s="1" t="n">
        <v>45937</v>
      </c>
      <c r="D596" t="inlineStr">
        <is>
          <t>JÄMTLANDS LÄN</t>
        </is>
      </c>
      <c r="E596" t="inlineStr">
        <is>
          <t>ÅRE</t>
        </is>
      </c>
      <c r="G596" t="n">
        <v>2.7</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2025-10-07T12:32:48Z</dcterms:created>
  <dcterms:modified xmlns:dcterms="http://purl.org/dc/terms/" xmlns:xsi="http://www.w3.org/2001/XMLSchema-instance" xsi:type="dcterms:W3CDTF">2025-10-07T12:32:49Z</dcterms:modified>
</cp:coreProperties>
</file>