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46032</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46032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46032</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46032</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46032</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46032</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46032</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46032</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46032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46032</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44883.49158564815</v>
      </c>
      <c r="C23" s="1" t="n">
        <v>46032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46032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46032</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46032</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46032</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6089-2025</t>
        </is>
      </c>
      <c r="B28" s="1" t="n">
        <v>45697.72040509259</v>
      </c>
      <c r="C28" s="1" t="n">
        <v>46032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46032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46032</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46032</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46032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46032</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46032</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46032</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46032</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46032</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17095-2025</t>
        </is>
      </c>
      <c r="B38" s="1" t="n">
        <v>45755</v>
      </c>
      <c r="C38" s="1" t="n">
        <v>46032</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46032</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63339-2025</t>
        </is>
      </c>
      <c r="B40" s="1" t="n">
        <v>46010.65328703704</v>
      </c>
      <c r="C40" s="1" t="n">
        <v>46032</v>
      </c>
      <c r="D40" t="inlineStr">
        <is>
          <t>JÄMTLANDS LÄN</t>
        </is>
      </c>
      <c r="E40" t="inlineStr">
        <is>
          <t>ÅRE</t>
        </is>
      </c>
      <c r="G40" t="n">
        <v>25.2</v>
      </c>
      <c r="H40" t="n">
        <v>1</v>
      </c>
      <c r="I40" t="n">
        <v>0</v>
      </c>
      <c r="J40" t="n">
        <v>8</v>
      </c>
      <c r="K40" t="n">
        <v>2</v>
      </c>
      <c r="L40" t="n">
        <v>0</v>
      </c>
      <c r="M40" t="n">
        <v>0</v>
      </c>
      <c r="N40" t="n">
        <v>0</v>
      </c>
      <c r="O40" t="n">
        <v>10</v>
      </c>
      <c r="P40" t="n">
        <v>2</v>
      </c>
      <c r="Q40" t="n">
        <v>10</v>
      </c>
      <c r="R40" s="2" t="inlineStr">
        <is>
          <t>Knärot
Sprickporing
Garnlav
Granticka
Liten svartspik
Lunglav
Skrovellav
Stjärntagging
Ullticka
Vitgrynig nållav</t>
        </is>
      </c>
      <c r="S40">
        <f>HYPERLINK("https://klasma.github.io/Logging_2321/artfynd/A 63339-2025 artfynd.xlsx", "A 63339-2025")</f>
        <v/>
      </c>
      <c r="T40">
        <f>HYPERLINK("https://klasma.github.io/Logging_2321/kartor/A 63339-2025 karta.png", "A 63339-2025")</f>
        <v/>
      </c>
      <c r="U40">
        <f>HYPERLINK("https://klasma.github.io/Logging_2321/knärot/A 63339-2025 karta knärot.png", "A 63339-2025")</f>
        <v/>
      </c>
      <c r="V40">
        <f>HYPERLINK("https://klasma.github.io/Logging_2321/klagomål/A 63339-2025 FSC-klagomål.docx", "A 63339-2025")</f>
        <v/>
      </c>
      <c r="W40">
        <f>HYPERLINK("https://klasma.github.io/Logging_2321/klagomålsmail/A 63339-2025 FSC-klagomål mail.docx", "A 63339-2025")</f>
        <v/>
      </c>
      <c r="X40">
        <f>HYPERLINK("https://klasma.github.io/Logging_2321/tillsyn/A 63339-2025 tillsynsbegäran.docx", "A 63339-2025")</f>
        <v/>
      </c>
      <c r="Y40">
        <f>HYPERLINK("https://klasma.github.io/Logging_2321/tillsynsmail/A 63339-2025 tillsynsbegäran mail.docx", "A 63339-2025")</f>
        <v/>
      </c>
    </row>
    <row r="41" ht="15" customHeight="1">
      <c r="A41" t="inlineStr">
        <is>
          <t>A 40788-2023</t>
        </is>
      </c>
      <c r="B41" s="1" t="n">
        <v>45170</v>
      </c>
      <c r="C41" s="1" t="n">
        <v>46032</v>
      </c>
      <c r="D41" t="inlineStr">
        <is>
          <t>JÄMTLANDS LÄN</t>
        </is>
      </c>
      <c r="E41" t="inlineStr">
        <is>
          <t>ÅRE</t>
        </is>
      </c>
      <c r="G41" t="n">
        <v>15.3</v>
      </c>
      <c r="H41" t="n">
        <v>2</v>
      </c>
      <c r="I41" t="n">
        <v>2</v>
      </c>
      <c r="J41" t="n">
        <v>6</v>
      </c>
      <c r="K41" t="n">
        <v>1</v>
      </c>
      <c r="L41" t="n">
        <v>0</v>
      </c>
      <c r="M41" t="n">
        <v>0</v>
      </c>
      <c r="N41" t="n">
        <v>0</v>
      </c>
      <c r="O41" t="n">
        <v>7</v>
      </c>
      <c r="P41" t="n">
        <v>1</v>
      </c>
      <c r="Q41" t="n">
        <v>10</v>
      </c>
      <c r="R41" s="2" t="inlineStr">
        <is>
          <t>Liten sotlav
Dofttaggsvamp
Garnlav
Granticka
Harticka
Tretåig hackspett
Ullticka
Kamjordstjärna
Trådticka
Lavskrika</t>
        </is>
      </c>
      <c r="S41">
        <f>HYPERLINK("https://klasma.github.io/Logging_2321/artfynd/A 40788-2023 artfynd.xlsx", "A 40788-2023")</f>
        <v/>
      </c>
      <c r="T41">
        <f>HYPERLINK("https://klasma.github.io/Logging_2321/kartor/A 40788-2023 karta.png", "A 40788-2023")</f>
        <v/>
      </c>
      <c r="V41">
        <f>HYPERLINK("https://klasma.github.io/Logging_2321/klagomål/A 40788-2023 FSC-klagomål.docx", "A 40788-2023")</f>
        <v/>
      </c>
      <c r="W41">
        <f>HYPERLINK("https://klasma.github.io/Logging_2321/klagomålsmail/A 40788-2023 FSC-klagomål mail.docx", "A 40788-2023")</f>
        <v/>
      </c>
      <c r="X41">
        <f>HYPERLINK("https://klasma.github.io/Logging_2321/tillsyn/A 40788-2023 tillsynsbegäran.docx", "A 40788-2023")</f>
        <v/>
      </c>
      <c r="Y41">
        <f>HYPERLINK("https://klasma.github.io/Logging_2321/tillsynsmail/A 40788-2023 tillsynsbegäran mail.docx", "A 40788-2023")</f>
        <v/>
      </c>
      <c r="Z41">
        <f>HYPERLINK("https://klasma.github.io/Logging_2321/fåglar/A 40788-2023 prioriterade fågelarter.docx", "A 40788-2023")</f>
        <v/>
      </c>
    </row>
    <row r="42" ht="15" customHeight="1">
      <c r="A42" t="inlineStr">
        <is>
          <t>A 45111-2022</t>
        </is>
      </c>
      <c r="B42" s="1" t="n">
        <v>44843.82278935185</v>
      </c>
      <c r="C42" s="1" t="n">
        <v>46032</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46032</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46032</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10763-2021</t>
        </is>
      </c>
      <c r="B45" s="1" t="n">
        <v>44259</v>
      </c>
      <c r="C45" s="1" t="n">
        <v>46032</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27805-2022</t>
        </is>
      </c>
      <c r="B46" s="1" t="n">
        <v>44743</v>
      </c>
      <c r="C46" s="1" t="n">
        <v>46032</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46032</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47944-2025</t>
        </is>
      </c>
      <c r="B48" s="1" t="n">
        <v>45931</v>
      </c>
      <c r="C48" s="1" t="n">
        <v>46032</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46032</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16681-2025</t>
        </is>
      </c>
      <c r="B50" s="1" t="n">
        <v>45754</v>
      </c>
      <c r="C50" s="1" t="n">
        <v>46032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46032</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43910-2024</t>
        </is>
      </c>
      <c r="B52" s="1" t="n">
        <v>45572</v>
      </c>
      <c r="C52" s="1" t="n">
        <v>46032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46032</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46032</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10619-2023</t>
        </is>
      </c>
      <c r="B55" s="1" t="n">
        <v>44984</v>
      </c>
      <c r="C55" s="1" t="n">
        <v>46032</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46032</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52119-2025</t>
        </is>
      </c>
      <c r="B57" s="1" t="n">
        <v>45952.71653935185</v>
      </c>
      <c r="C57" s="1" t="n">
        <v>46032</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16667-2025</t>
        </is>
      </c>
      <c r="B58" s="1" t="n">
        <v>45754</v>
      </c>
      <c r="C58" s="1" t="n">
        <v>46032</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46032</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46032</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54988-2025</t>
        </is>
      </c>
      <c r="B61" s="1" t="n">
        <v>45967.57096064815</v>
      </c>
      <c r="C61" s="1" t="n">
        <v>46032</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46032</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46032</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46032</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4938-2025</t>
        </is>
      </c>
      <c r="B65" s="1" t="n">
        <v>45688</v>
      </c>
      <c r="C65" s="1" t="n">
        <v>46032</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43942-2024</t>
        </is>
      </c>
      <c r="B66" s="1" t="n">
        <v>45572</v>
      </c>
      <c r="C66" s="1" t="n">
        <v>46032</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14205-2021</t>
        </is>
      </c>
      <c r="B67" s="1" t="n">
        <v>44278</v>
      </c>
      <c r="C67" s="1" t="n">
        <v>46032</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30035-2024</t>
        </is>
      </c>
      <c r="B68" s="1" t="n">
        <v>45485</v>
      </c>
      <c r="C68" s="1" t="n">
        <v>46032</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46259-2024</t>
        </is>
      </c>
      <c r="B69" s="1" t="n">
        <v>45581</v>
      </c>
      <c r="C69" s="1" t="n">
        <v>46032</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37891-2025</t>
        </is>
      </c>
      <c r="B70" s="1" t="n">
        <v>45881.54024305556</v>
      </c>
      <c r="C70" s="1" t="n">
        <v>46032</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57417-2025</t>
        </is>
      </c>
      <c r="B71" s="1" t="n">
        <v>45980.45195601852</v>
      </c>
      <c r="C71" s="1" t="n">
        <v>46032</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58238-2021</t>
        </is>
      </c>
      <c r="B72" s="1" t="n">
        <v>44487</v>
      </c>
      <c r="C72" s="1" t="n">
        <v>46032</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46032</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46032</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42565-2024</t>
        </is>
      </c>
      <c r="B75" s="1" t="n">
        <v>45565</v>
      </c>
      <c r="C75" s="1" t="n">
        <v>46032</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46032</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53436-2025</t>
        </is>
      </c>
      <c r="B77" s="1" t="n">
        <v>45959.63353009259</v>
      </c>
      <c r="C77" s="1" t="n">
        <v>46032</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4775-2025</t>
        </is>
      </c>
      <c r="B78" s="1" t="n">
        <v>45688</v>
      </c>
      <c r="C78" s="1" t="n">
        <v>46032</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54374-2025</t>
        </is>
      </c>
      <c r="B79" s="1" t="n">
        <v>45965.41842592593</v>
      </c>
      <c r="C79" s="1" t="n">
        <v>46032</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32097-2025</t>
        </is>
      </c>
      <c r="B80" s="1" t="n">
        <v>45835.4641087963</v>
      </c>
      <c r="C80" s="1" t="n">
        <v>46032</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30034-2024</t>
        </is>
      </c>
      <c r="B81" s="1" t="n">
        <v>45485</v>
      </c>
      <c r="C81" s="1" t="n">
        <v>46032</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46032</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17855-2024</t>
        </is>
      </c>
      <c r="B83" s="1" t="n">
        <v>45419</v>
      </c>
      <c r="C83" s="1" t="n">
        <v>46032</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12988-2021</t>
        </is>
      </c>
      <c r="B84" s="1" t="n">
        <v>44271</v>
      </c>
      <c r="C84" s="1" t="n">
        <v>46032</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14195-2021</t>
        </is>
      </c>
      <c r="B85" s="1" t="n">
        <v>44278</v>
      </c>
      <c r="C85" s="1" t="n">
        <v>46032</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19925-2025</t>
        </is>
      </c>
      <c r="B86" s="1" t="n">
        <v>45771.634375</v>
      </c>
      <c r="C86" s="1" t="n">
        <v>46032</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46032</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46032</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20035-2024</t>
        </is>
      </c>
      <c r="B89" s="1" t="n">
        <v>45434</v>
      </c>
      <c r="C89" s="1" t="n">
        <v>46032</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46032</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19277-2021</t>
        </is>
      </c>
      <c r="B91" s="1" t="n">
        <v>44309</v>
      </c>
      <c r="C91" s="1" t="n">
        <v>46032</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46032</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22601-2024</t>
        </is>
      </c>
      <c r="B93" s="1" t="n">
        <v>45447</v>
      </c>
      <c r="C93" s="1" t="n">
        <v>46032</v>
      </c>
      <c r="D93" t="inlineStr">
        <is>
          <t>JÄMTLANDS LÄN</t>
        </is>
      </c>
      <c r="E93" t="inlineStr">
        <is>
          <t>ÅRE</t>
        </is>
      </c>
      <c r="G93" t="n">
        <v>14.7</v>
      </c>
      <c r="H93" t="n">
        <v>0</v>
      </c>
      <c r="I93" t="n">
        <v>2</v>
      </c>
      <c r="J93" t="n">
        <v>1</v>
      </c>
      <c r="K93" t="n">
        <v>0</v>
      </c>
      <c r="L93" t="n">
        <v>0</v>
      </c>
      <c r="M93" t="n">
        <v>0</v>
      </c>
      <c r="N93" t="n">
        <v>0</v>
      </c>
      <c r="O93" t="n">
        <v>1</v>
      </c>
      <c r="P93" t="n">
        <v>0</v>
      </c>
      <c r="Q93" t="n">
        <v>3</v>
      </c>
      <c r="R93" s="2" t="inlineStr">
        <is>
          <t>Granticka
Nordlig tuffmossa
Svavelriska</t>
        </is>
      </c>
      <c r="S93">
        <f>HYPERLINK("https://klasma.github.io/Logging_2321/artfynd/A 22601-2024 artfynd.xlsx", "A 22601-2024")</f>
        <v/>
      </c>
      <c r="T93">
        <f>HYPERLINK("https://klasma.github.io/Logging_2321/kartor/A 22601-2024 karta.png", "A 22601-2024")</f>
        <v/>
      </c>
      <c r="V93">
        <f>HYPERLINK("https://klasma.github.io/Logging_2321/klagomål/A 22601-2024 FSC-klagomål.docx", "A 22601-2024")</f>
        <v/>
      </c>
      <c r="W93">
        <f>HYPERLINK("https://klasma.github.io/Logging_2321/klagomålsmail/A 22601-2024 FSC-klagomål mail.docx", "A 22601-2024")</f>
        <v/>
      </c>
      <c r="X93">
        <f>HYPERLINK("https://klasma.github.io/Logging_2321/tillsyn/A 22601-2024 tillsynsbegäran.docx", "A 22601-2024")</f>
        <v/>
      </c>
      <c r="Y93">
        <f>HYPERLINK("https://klasma.github.io/Logging_2321/tillsynsmail/A 22601-2024 tillsynsbegäran mail.docx", "A 22601-2024")</f>
        <v/>
      </c>
    </row>
    <row r="94" ht="15" customHeight="1">
      <c r="A94" t="inlineStr">
        <is>
          <t>A 22692-2025</t>
        </is>
      </c>
      <c r="B94" s="1" t="n">
        <v>45789.53834490741</v>
      </c>
      <c r="C94" s="1" t="n">
        <v>46032</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23729-2023</t>
        </is>
      </c>
      <c r="B95" s="1" t="n">
        <v>45072</v>
      </c>
      <c r="C95" s="1" t="n">
        <v>46032</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23638-2023</t>
        </is>
      </c>
      <c r="B96" s="1" t="n">
        <v>45072</v>
      </c>
      <c r="C96" s="1" t="n">
        <v>46032</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46032</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59776-2025</t>
        </is>
      </c>
      <c r="B98" s="1" t="n">
        <v>45992.60733796296</v>
      </c>
      <c r="C98" s="1" t="n">
        <v>46032</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58387-2023</t>
        </is>
      </c>
      <c r="B99" s="1" t="n">
        <v>45250</v>
      </c>
      <c r="C99" s="1" t="n">
        <v>46032</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46032</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10501-2024</t>
        </is>
      </c>
      <c r="B101" s="1" t="n">
        <v>45366</v>
      </c>
      <c r="C101" s="1" t="n">
        <v>46032</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54376-2025</t>
        </is>
      </c>
      <c r="B102" s="1" t="n">
        <v>45965.42515046296</v>
      </c>
      <c r="C102" s="1" t="n">
        <v>46032</v>
      </c>
      <c r="D102" t="inlineStr">
        <is>
          <t>JÄMTLANDS LÄN</t>
        </is>
      </c>
      <c r="E102" t="inlineStr">
        <is>
          <t>ÅRE</t>
        </is>
      </c>
      <c r="G102" t="n">
        <v>5.3</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54376-2025 artfynd.xlsx", "A 54376-2025")</f>
        <v/>
      </c>
      <c r="T102">
        <f>HYPERLINK("https://klasma.github.io/Logging_2321/kartor/A 54376-2025 karta.png", "A 54376-2025")</f>
        <v/>
      </c>
      <c r="V102">
        <f>HYPERLINK("https://klasma.github.io/Logging_2321/klagomål/A 54376-2025 FSC-klagomål.docx", "A 54376-2025")</f>
        <v/>
      </c>
      <c r="W102">
        <f>HYPERLINK("https://klasma.github.io/Logging_2321/klagomålsmail/A 54376-2025 FSC-klagomål mail.docx", "A 54376-2025")</f>
        <v/>
      </c>
      <c r="X102">
        <f>HYPERLINK("https://klasma.github.io/Logging_2321/tillsyn/A 54376-2025 tillsynsbegäran.docx", "A 54376-2025")</f>
        <v/>
      </c>
      <c r="Y102">
        <f>HYPERLINK("https://klasma.github.io/Logging_2321/tillsynsmail/A 54376-2025 tillsynsbegäran mail.docx", "A 54376-2025")</f>
        <v/>
      </c>
    </row>
    <row r="103" ht="15" customHeight="1">
      <c r="A103" t="inlineStr">
        <is>
          <t>A 20124-2023</t>
        </is>
      </c>
      <c r="B103" s="1" t="n">
        <v>45055</v>
      </c>
      <c r="C103" s="1" t="n">
        <v>46032</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14198-2021</t>
        </is>
      </c>
      <c r="B104" s="1" t="n">
        <v>44278</v>
      </c>
      <c r="C104" s="1" t="n">
        <v>46032</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46032</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57918-2024</t>
        </is>
      </c>
      <c r="B106" s="1" t="n">
        <v>45631</v>
      </c>
      <c r="C106" s="1" t="n">
        <v>46032</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46032</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21006-2022</t>
        </is>
      </c>
      <c r="B108" s="1" t="n">
        <v>44701</v>
      </c>
      <c r="C108" s="1" t="n">
        <v>46032</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10627-2023</t>
        </is>
      </c>
      <c r="B109" s="1" t="n">
        <v>44984</v>
      </c>
      <c r="C109" s="1" t="n">
        <v>46032</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46032</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12269-2022</t>
        </is>
      </c>
      <c r="B111" s="1" t="n">
        <v>44637</v>
      </c>
      <c r="C111" s="1" t="n">
        <v>46032</v>
      </c>
      <c r="D111" t="inlineStr">
        <is>
          <t>JÄMTLANDS LÄN</t>
        </is>
      </c>
      <c r="E111" t="inlineStr">
        <is>
          <t>ÅRE</t>
        </is>
      </c>
      <c r="G111" t="n">
        <v>16.6</v>
      </c>
      <c r="H111" t="n">
        <v>0</v>
      </c>
      <c r="I111" t="n">
        <v>0</v>
      </c>
      <c r="J111" t="n">
        <v>3</v>
      </c>
      <c r="K111" t="n">
        <v>0</v>
      </c>
      <c r="L111" t="n">
        <v>0</v>
      </c>
      <c r="M111" t="n">
        <v>0</v>
      </c>
      <c r="N111" t="n">
        <v>0</v>
      </c>
      <c r="O111" t="n">
        <v>3</v>
      </c>
      <c r="P111" t="n">
        <v>0</v>
      </c>
      <c r="Q111" t="n">
        <v>3</v>
      </c>
      <c r="R111" s="2" t="inlineStr">
        <is>
          <t>Gammelgransskål
Granticka
Knottrig blåslav</t>
        </is>
      </c>
      <c r="S111">
        <f>HYPERLINK("https://klasma.github.io/Logging_2321/artfynd/A 12269-2022 artfynd.xlsx", "A 12269-2022")</f>
        <v/>
      </c>
      <c r="T111">
        <f>HYPERLINK("https://klasma.github.io/Logging_2321/kartor/A 12269-2022 karta.png", "A 12269-2022")</f>
        <v/>
      </c>
      <c r="V111">
        <f>HYPERLINK("https://klasma.github.io/Logging_2321/klagomål/A 12269-2022 FSC-klagomål.docx", "A 12269-2022")</f>
        <v/>
      </c>
      <c r="W111">
        <f>HYPERLINK("https://klasma.github.io/Logging_2321/klagomålsmail/A 12269-2022 FSC-klagomål mail.docx", "A 12269-2022")</f>
        <v/>
      </c>
      <c r="X111">
        <f>HYPERLINK("https://klasma.github.io/Logging_2321/tillsyn/A 12269-2022 tillsynsbegäran.docx", "A 12269-2022")</f>
        <v/>
      </c>
      <c r="Y111">
        <f>HYPERLINK("https://klasma.github.io/Logging_2321/tillsynsmail/A 12269-2022 tillsynsbegäran mail.docx", "A 12269-2022")</f>
        <v/>
      </c>
    </row>
    <row r="112" ht="15" customHeight="1">
      <c r="A112" t="inlineStr">
        <is>
          <t>A 40245-2023</t>
        </is>
      </c>
      <c r="B112" s="1" t="n">
        <v>45167</v>
      </c>
      <c r="C112" s="1" t="n">
        <v>46032</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56549-2025</t>
        </is>
      </c>
      <c r="B113" s="1" t="n">
        <v>45975.48099537037</v>
      </c>
      <c r="C113" s="1" t="n">
        <v>46032</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58082-2022</t>
        </is>
      </c>
      <c r="B114" s="1" t="n">
        <v>44900</v>
      </c>
      <c r="C114" s="1" t="n">
        <v>46032</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47988-2025</t>
        </is>
      </c>
      <c r="B115" s="1" t="n">
        <v>45931</v>
      </c>
      <c r="C115" s="1" t="n">
        <v>46032</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10773-2021</t>
        </is>
      </c>
      <c r="B116" s="1" t="n">
        <v>44259</v>
      </c>
      <c r="C116" s="1" t="n">
        <v>46032</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52588-2024</t>
        </is>
      </c>
      <c r="B117" s="1" t="n">
        <v>45609.69825231482</v>
      </c>
      <c r="C117" s="1" t="n">
        <v>46032</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23572-2021</t>
        </is>
      </c>
      <c r="B118" s="1" t="n">
        <v>44334</v>
      </c>
      <c r="C118" s="1" t="n">
        <v>46032</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13625-2023</t>
        </is>
      </c>
      <c r="B119" s="1" t="n">
        <v>45006</v>
      </c>
      <c r="C119" s="1" t="n">
        <v>46032</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72934-2021</t>
        </is>
      </c>
      <c r="B120" s="1" t="n">
        <v>44547</v>
      </c>
      <c r="C120" s="1" t="n">
        <v>46032</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23706-2023</t>
        </is>
      </c>
      <c r="B121" s="1" t="n">
        <v>45072</v>
      </c>
      <c r="C121" s="1" t="n">
        <v>46032</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46032</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32114-2025</t>
        </is>
      </c>
      <c r="B123" s="1" t="n">
        <v>45835.48488425926</v>
      </c>
      <c r="C123" s="1" t="n">
        <v>46032</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18851-2022</t>
        </is>
      </c>
      <c r="B124" s="1" t="n">
        <v>44690</v>
      </c>
      <c r="C124" s="1" t="n">
        <v>46032</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23625-2024</t>
        </is>
      </c>
      <c r="B125" s="1" t="n">
        <v>45454</v>
      </c>
      <c r="C125" s="1" t="n">
        <v>46032</v>
      </c>
      <c r="D125" t="inlineStr">
        <is>
          <t>JÄMTLANDS LÄN</t>
        </is>
      </c>
      <c r="E125" t="inlineStr">
        <is>
          <t>ÅRE</t>
        </is>
      </c>
      <c r="G125" t="n">
        <v>15.2</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HYPERLINK("https://klasma.github.io/Logging_2321/artfynd/A 23625-2024 artfynd.xlsx", "A 23625-2024")</f>
        <v/>
      </c>
      <c r="T125">
        <f>HYPERLINK("https://klasma.github.io/Logging_2321/kartor/A 23625-2024 karta.png", "A 23625-2024")</f>
        <v/>
      </c>
      <c r="V125">
        <f>HYPERLINK("https://klasma.github.io/Logging_2321/klagomål/A 23625-2024 FSC-klagomål.docx", "A 23625-2024")</f>
        <v/>
      </c>
      <c r="W125">
        <f>HYPERLINK("https://klasma.github.io/Logging_2321/klagomålsmail/A 23625-2024 FSC-klagomål mail.docx", "A 23625-2024")</f>
        <v/>
      </c>
      <c r="X125">
        <f>HYPERLINK("https://klasma.github.io/Logging_2321/tillsyn/A 23625-2024 tillsynsbegäran.docx", "A 23625-2024")</f>
        <v/>
      </c>
      <c r="Y125">
        <f>HYPERLINK("https://klasma.github.io/Logging_2321/tillsynsmail/A 23625-2024 tillsynsbegäran mail.docx", "A 23625-2024")</f>
        <v/>
      </c>
      <c r="Z125">
        <f>HYPERLINK("https://klasma.github.io/Logging_2321/fåglar/A 23625-2024 prioriterade fågelarter.docx", "A 23625-2024")</f>
        <v/>
      </c>
    </row>
    <row r="126" ht="15" customHeight="1">
      <c r="A126" t="inlineStr">
        <is>
          <t>A 17489-2024</t>
        </is>
      </c>
      <c r="B126" s="1" t="n">
        <v>45415</v>
      </c>
      <c r="C126" s="1" t="n">
        <v>46032</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23566-2021</t>
        </is>
      </c>
      <c r="B127" s="1" t="n">
        <v>44334</v>
      </c>
      <c r="C127" s="1" t="n">
        <v>46032</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60533-2022</t>
        </is>
      </c>
      <c r="B128" s="1" t="n">
        <v>44904</v>
      </c>
      <c r="C128" s="1" t="n">
        <v>46032</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36395-2025</t>
        </is>
      </c>
      <c r="B129" s="1" t="n">
        <v>45868.6211574074</v>
      </c>
      <c r="C129" s="1" t="n">
        <v>46032</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46032</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46032</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18719-2024</t>
        </is>
      </c>
      <c r="B132" s="1" t="n">
        <v>45426</v>
      </c>
      <c r="C132" s="1" t="n">
        <v>46032</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62173-2025</t>
        </is>
      </c>
      <c r="B133" s="1" t="n">
        <v>46006.51138888889</v>
      </c>
      <c r="C133" s="1" t="n">
        <v>46032</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5388-2021</t>
        </is>
      </c>
      <c r="B134" s="1" t="n">
        <v>44229</v>
      </c>
      <c r="C134" s="1" t="n">
        <v>46032</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5418-2023</t>
        </is>
      </c>
      <c r="B135" s="1" t="n">
        <v>44957</v>
      </c>
      <c r="C135" s="1" t="n">
        <v>46032</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54055-2023</t>
        </is>
      </c>
      <c r="B136" s="1" t="n">
        <v>45231</v>
      </c>
      <c r="C136" s="1" t="n">
        <v>46032</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22974-2022</t>
        </is>
      </c>
      <c r="B137" s="1" t="n">
        <v>44716</v>
      </c>
      <c r="C137" s="1" t="n">
        <v>46032</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47993-2025</t>
        </is>
      </c>
      <c r="B138" s="1" t="n">
        <v>45931</v>
      </c>
      <c r="C138" s="1" t="n">
        <v>46032</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54128-2023</t>
        </is>
      </c>
      <c r="B139" s="1" t="n">
        <v>45232</v>
      </c>
      <c r="C139" s="1" t="n">
        <v>46032</v>
      </c>
      <c r="D139" t="inlineStr">
        <is>
          <t>JÄMTLANDS LÄN</t>
        </is>
      </c>
      <c r="E139" t="inlineStr">
        <is>
          <t>ÅRE</t>
        </is>
      </c>
      <c r="G139" t="n">
        <v>3.9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54128-2023 artfynd.xlsx", "A 54128-2023")</f>
        <v/>
      </c>
      <c r="T139">
        <f>HYPERLINK("https://klasma.github.io/Logging_2321/kartor/A 54128-2023 karta.png", "A 54128-2023")</f>
        <v/>
      </c>
      <c r="V139">
        <f>HYPERLINK("https://klasma.github.io/Logging_2321/klagomål/A 54128-2023 FSC-klagomål.docx", "A 54128-2023")</f>
        <v/>
      </c>
      <c r="W139">
        <f>HYPERLINK("https://klasma.github.io/Logging_2321/klagomålsmail/A 54128-2023 FSC-klagomål mail.docx", "A 54128-2023")</f>
        <v/>
      </c>
      <c r="X139">
        <f>HYPERLINK("https://klasma.github.io/Logging_2321/tillsyn/A 54128-2023 tillsynsbegäran.docx", "A 54128-2023")</f>
        <v/>
      </c>
      <c r="Y139">
        <f>HYPERLINK("https://klasma.github.io/Logging_2321/tillsynsmail/A 54128-2023 tillsynsbegäran mail.docx", "A 54128-2023")</f>
        <v/>
      </c>
      <c r="Z139">
        <f>HYPERLINK("https://klasma.github.io/Logging_2321/fåglar/A 54128-2023 prioriterade fågelarter.docx", "A 54128-2023")</f>
        <v/>
      </c>
    </row>
    <row r="140" ht="15" customHeight="1">
      <c r="A140" t="inlineStr">
        <is>
          <t>A 64668-2021</t>
        </is>
      </c>
      <c r="B140" s="1" t="n">
        <v>44512</v>
      </c>
      <c r="C140" s="1" t="n">
        <v>46032</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32207-2022</t>
        </is>
      </c>
      <c r="B141" s="1" t="n">
        <v>44781</v>
      </c>
      <c r="C141" s="1" t="n">
        <v>46032</v>
      </c>
      <c r="D141" t="inlineStr">
        <is>
          <t>JÄMTLANDS LÄN</t>
        </is>
      </c>
      <c r="E141" t="inlineStr">
        <is>
          <t>ÅRE</t>
        </is>
      </c>
      <c r="G141" t="n">
        <v>5.5</v>
      </c>
      <c r="H141" t="n">
        <v>1</v>
      </c>
      <c r="I141" t="n">
        <v>2</v>
      </c>
      <c r="J141" t="n">
        <v>0</v>
      </c>
      <c r="K141" t="n">
        <v>0</v>
      </c>
      <c r="L141" t="n">
        <v>0</v>
      </c>
      <c r="M141" t="n">
        <v>0</v>
      </c>
      <c r="N141" t="n">
        <v>0</v>
      </c>
      <c r="O141" t="n">
        <v>0</v>
      </c>
      <c r="P141" t="n">
        <v>0</v>
      </c>
      <c r="Q141" t="n">
        <v>2</v>
      </c>
      <c r="R141" s="2" t="inlineStr">
        <is>
          <t>Korallrot
Ögonpyrola</t>
        </is>
      </c>
      <c r="S141">
        <f>HYPERLINK("https://klasma.github.io/Logging_2321/artfynd/A 32207-2022 artfynd.xlsx", "A 32207-2022")</f>
        <v/>
      </c>
      <c r="T141">
        <f>HYPERLINK("https://klasma.github.io/Logging_2321/kartor/A 32207-2022 karta.png", "A 32207-2022")</f>
        <v/>
      </c>
      <c r="V141">
        <f>HYPERLINK("https://klasma.github.io/Logging_2321/klagomål/A 32207-2022 FSC-klagomål.docx", "A 32207-2022")</f>
        <v/>
      </c>
      <c r="W141">
        <f>HYPERLINK("https://klasma.github.io/Logging_2321/klagomålsmail/A 32207-2022 FSC-klagomål mail.docx", "A 32207-2022")</f>
        <v/>
      </c>
      <c r="X141">
        <f>HYPERLINK("https://klasma.github.io/Logging_2321/tillsyn/A 32207-2022 tillsynsbegäran.docx", "A 32207-2022")</f>
        <v/>
      </c>
      <c r="Y141">
        <f>HYPERLINK("https://klasma.github.io/Logging_2321/tillsynsmail/A 32207-2022 tillsynsbegäran mail.docx", "A 32207-2022")</f>
        <v/>
      </c>
    </row>
    <row r="142" ht="15" customHeight="1">
      <c r="A142" t="inlineStr">
        <is>
          <t>A 5531-2023</t>
        </is>
      </c>
      <c r="B142" s="1" t="n">
        <v>44957</v>
      </c>
      <c r="C142" s="1" t="n">
        <v>46032</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46984-2021</t>
        </is>
      </c>
      <c r="B143" s="1" t="n">
        <v>44446</v>
      </c>
      <c r="C143" s="1" t="n">
        <v>46032</v>
      </c>
      <c r="D143" t="inlineStr">
        <is>
          <t>JÄMTLANDS LÄN</t>
        </is>
      </c>
      <c r="E143" t="inlineStr">
        <is>
          <t>ÅRE</t>
        </is>
      </c>
      <c r="G143" t="n">
        <v>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46984-2021 artfynd.xlsx", "A 46984-2021")</f>
        <v/>
      </c>
      <c r="T143">
        <f>HYPERLINK("https://klasma.github.io/Logging_2321/kartor/A 46984-2021 karta.png", "A 46984-2021")</f>
        <v/>
      </c>
      <c r="V143">
        <f>HYPERLINK("https://klasma.github.io/Logging_2321/klagomål/A 46984-2021 FSC-klagomål.docx", "A 46984-2021")</f>
        <v/>
      </c>
      <c r="W143">
        <f>HYPERLINK("https://klasma.github.io/Logging_2321/klagomålsmail/A 46984-2021 FSC-klagomål mail.docx", "A 46984-2021")</f>
        <v/>
      </c>
      <c r="X143">
        <f>HYPERLINK("https://klasma.github.io/Logging_2321/tillsyn/A 46984-2021 tillsynsbegäran.docx", "A 46984-2021")</f>
        <v/>
      </c>
      <c r="Y143">
        <f>HYPERLINK("https://klasma.github.io/Logging_2321/tillsynsmail/A 46984-2021 tillsynsbegäran mail.docx", "A 46984-2021")</f>
        <v/>
      </c>
      <c r="Z143">
        <f>HYPERLINK("https://klasma.github.io/Logging_2321/fåglar/A 46984-2021 prioriterade fågelarter.docx", "A 46984-2021")</f>
        <v/>
      </c>
    </row>
    <row r="144" ht="15" customHeight="1">
      <c r="A144" t="inlineStr">
        <is>
          <t>A 6108-2023</t>
        </is>
      </c>
      <c r="B144" s="1" t="n">
        <v>44964</v>
      </c>
      <c r="C144" s="1" t="n">
        <v>46032</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3152-2023</t>
        </is>
      </c>
      <c r="B145" s="1" t="n">
        <v>44946</v>
      </c>
      <c r="C145" s="1" t="n">
        <v>46032</v>
      </c>
      <c r="D145" t="inlineStr">
        <is>
          <t>JÄMTLANDS LÄN</t>
        </is>
      </c>
      <c r="E145" t="inlineStr">
        <is>
          <t>ÅRE</t>
        </is>
      </c>
      <c r="G145" t="n">
        <v>1.9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HYPERLINK("https://klasma.github.io/Logging_2321/artfynd/A 3152-2023 artfynd.xlsx", "A 3152-2023")</f>
        <v/>
      </c>
      <c r="T145">
        <f>HYPERLINK("https://klasma.github.io/Logging_2321/kartor/A 3152-2023 karta.png", "A 3152-2023")</f>
        <v/>
      </c>
      <c r="V145">
        <f>HYPERLINK("https://klasma.github.io/Logging_2321/klagomål/A 3152-2023 FSC-klagomål.docx", "A 3152-2023")</f>
        <v/>
      </c>
      <c r="W145">
        <f>HYPERLINK("https://klasma.github.io/Logging_2321/klagomålsmail/A 3152-2023 FSC-klagomål mail.docx", "A 3152-2023")</f>
        <v/>
      </c>
      <c r="X145">
        <f>HYPERLINK("https://klasma.github.io/Logging_2321/tillsyn/A 3152-2023 tillsynsbegäran.docx", "A 3152-2023")</f>
        <v/>
      </c>
      <c r="Y145">
        <f>HYPERLINK("https://klasma.github.io/Logging_2321/tillsynsmail/A 3152-2023 tillsynsbegäran mail.docx", "A 3152-2023")</f>
        <v/>
      </c>
      <c r="Z145">
        <f>HYPERLINK("https://klasma.github.io/Logging_2321/fåglar/A 3152-2023 prioriterade fågelarter.docx", "A 3152-2023")</f>
        <v/>
      </c>
    </row>
    <row r="146" ht="15" customHeight="1">
      <c r="A146" t="inlineStr">
        <is>
          <t>A 52427-2021</t>
        </is>
      </c>
      <c r="B146" s="1" t="n">
        <v>44466.34178240741</v>
      </c>
      <c r="C146" s="1" t="n">
        <v>46032</v>
      </c>
      <c r="D146" t="inlineStr">
        <is>
          <t>JÄMTLANDS LÄN</t>
        </is>
      </c>
      <c r="E146" t="inlineStr">
        <is>
          <t>ÅRE</t>
        </is>
      </c>
      <c r="G146" t="n">
        <v>4</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HYPERLINK("https://klasma.github.io/Logging_2321/artfynd/A 52427-2021 artfynd.xlsx", "A 52427-2021")</f>
        <v/>
      </c>
      <c r="T146">
        <f>HYPERLINK("https://klasma.github.io/Logging_2321/kartor/A 52427-2021 karta.png", "A 52427-2021")</f>
        <v/>
      </c>
      <c r="V146">
        <f>HYPERLINK("https://klasma.github.io/Logging_2321/klagomål/A 52427-2021 FSC-klagomål.docx", "A 52427-2021")</f>
        <v/>
      </c>
      <c r="W146">
        <f>HYPERLINK("https://klasma.github.io/Logging_2321/klagomålsmail/A 52427-2021 FSC-klagomål mail.docx", "A 52427-2021")</f>
        <v/>
      </c>
      <c r="X146">
        <f>HYPERLINK("https://klasma.github.io/Logging_2321/tillsyn/A 52427-2021 tillsynsbegäran.docx", "A 52427-2021")</f>
        <v/>
      </c>
      <c r="Y146">
        <f>HYPERLINK("https://klasma.github.io/Logging_2321/tillsynsmail/A 52427-2021 tillsynsbegäran mail.docx", "A 52427-2021")</f>
        <v/>
      </c>
      <c r="Z146">
        <f>HYPERLINK("https://klasma.github.io/Logging_2321/fåglar/A 52427-2021 prioriterade fågelarter.docx", "A 52427-2021")</f>
        <v/>
      </c>
    </row>
    <row r="147" ht="15" customHeight="1">
      <c r="A147" t="inlineStr">
        <is>
          <t>A 20501-2021</t>
        </is>
      </c>
      <c r="B147" s="1" t="n">
        <v>44315.68802083333</v>
      </c>
      <c r="C147" s="1" t="n">
        <v>46032</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46032</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46032</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46032</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46032</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46032</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8131-2024</t>
        </is>
      </c>
      <c r="B153" s="1" t="n">
        <v>45351</v>
      </c>
      <c r="C153" s="1" t="n">
        <v>46032</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23818-2025</t>
        </is>
      </c>
      <c r="B154" s="1" t="n">
        <v>45793.58469907408</v>
      </c>
      <c r="C154" s="1" t="n">
        <v>46032</v>
      </c>
      <c r="D154" t="inlineStr">
        <is>
          <t>JÄMTLANDS LÄN</t>
        </is>
      </c>
      <c r="E154" t="inlineStr">
        <is>
          <t>ÅRE</t>
        </is>
      </c>
      <c r="G154" t="n">
        <v>7.5</v>
      </c>
      <c r="H154" t="n">
        <v>1</v>
      </c>
      <c r="I154" t="n">
        <v>0</v>
      </c>
      <c r="J154" t="n">
        <v>0</v>
      </c>
      <c r="K154" t="n">
        <v>0</v>
      </c>
      <c r="L154" t="n">
        <v>0</v>
      </c>
      <c r="M154" t="n">
        <v>0</v>
      </c>
      <c r="N154" t="n">
        <v>0</v>
      </c>
      <c r="O154" t="n">
        <v>0</v>
      </c>
      <c r="P154" t="n">
        <v>0</v>
      </c>
      <c r="Q154" t="n">
        <v>1</v>
      </c>
      <c r="R154" s="2" t="inlineStr">
        <is>
          <t>Tjäder</t>
        </is>
      </c>
      <c r="S154">
        <f>HYPERLINK("https://klasma.github.io/Logging_2321/artfynd/A 23818-2025 artfynd.xlsx", "A 23818-2025")</f>
        <v/>
      </c>
      <c r="T154">
        <f>HYPERLINK("https://klasma.github.io/Logging_2321/kartor/A 23818-2025 karta.png", "A 23818-2025")</f>
        <v/>
      </c>
      <c r="V154">
        <f>HYPERLINK("https://klasma.github.io/Logging_2321/klagomål/A 23818-2025 FSC-klagomål.docx", "A 23818-2025")</f>
        <v/>
      </c>
      <c r="W154">
        <f>HYPERLINK("https://klasma.github.io/Logging_2321/klagomålsmail/A 23818-2025 FSC-klagomål mail.docx", "A 23818-2025")</f>
        <v/>
      </c>
      <c r="X154">
        <f>HYPERLINK("https://klasma.github.io/Logging_2321/tillsyn/A 23818-2025 tillsynsbegäran.docx", "A 23818-2025")</f>
        <v/>
      </c>
      <c r="Y154">
        <f>HYPERLINK("https://klasma.github.io/Logging_2321/tillsynsmail/A 23818-2025 tillsynsbegäran mail.docx", "A 23818-2025")</f>
        <v/>
      </c>
      <c r="Z154">
        <f>HYPERLINK("https://klasma.github.io/Logging_2321/fåglar/A 23818-2025 prioriterade fågelarter.docx", "A 23818-2025")</f>
        <v/>
      </c>
    </row>
    <row r="155" ht="15" customHeight="1">
      <c r="A155" t="inlineStr">
        <is>
          <t>A 14245-2025</t>
        </is>
      </c>
      <c r="B155" s="1" t="n">
        <v>45740</v>
      </c>
      <c r="C155" s="1" t="n">
        <v>46032</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61471-2023</t>
        </is>
      </c>
      <c r="B156" s="1" t="n">
        <v>45264</v>
      </c>
      <c r="C156" s="1" t="n">
        <v>46032</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46032</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50321-2024</t>
        </is>
      </c>
      <c r="B158" s="1" t="n">
        <v>45600</v>
      </c>
      <c r="C158" s="1" t="n">
        <v>46032</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46032</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15909-2025</t>
        </is>
      </c>
      <c r="B160" s="1" t="n">
        <v>45749</v>
      </c>
      <c r="C160" s="1" t="n">
        <v>46032</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53462-2024</t>
        </is>
      </c>
      <c r="B161" s="1" t="n">
        <v>45614.55241898148</v>
      </c>
      <c r="C161" s="1" t="n">
        <v>46032</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55194-2022</t>
        </is>
      </c>
      <c r="B162" s="1" t="n">
        <v>44886</v>
      </c>
      <c r="C162" s="1" t="n">
        <v>46032</v>
      </c>
      <c r="D162" t="inlineStr">
        <is>
          <t>JÄMTLANDS LÄN</t>
        </is>
      </c>
      <c r="E162" t="inlineStr">
        <is>
          <t>ÅRE</t>
        </is>
      </c>
      <c r="F162" t="inlineStr">
        <is>
          <t>Övriga Aktiebolag</t>
        </is>
      </c>
      <c r="G162" t="n">
        <v>1.7</v>
      </c>
      <c r="H162" t="n">
        <v>0</v>
      </c>
      <c r="I162" t="n">
        <v>0</v>
      </c>
      <c r="J162" t="n">
        <v>1</v>
      </c>
      <c r="K162" t="n">
        <v>0</v>
      </c>
      <c r="L162" t="n">
        <v>0</v>
      </c>
      <c r="M162" t="n">
        <v>0</v>
      </c>
      <c r="N162" t="n">
        <v>0</v>
      </c>
      <c r="O162" t="n">
        <v>1</v>
      </c>
      <c r="P162" t="n">
        <v>0</v>
      </c>
      <c r="Q162" t="n">
        <v>1</v>
      </c>
      <c r="R162" s="2" t="inlineStr">
        <is>
          <t>Vitskaftad svartspik</t>
        </is>
      </c>
      <c r="S162">
        <f>HYPERLINK("https://klasma.github.io/Logging_2321/artfynd/A 55194-2022 artfynd.xlsx", "A 55194-2022")</f>
        <v/>
      </c>
      <c r="T162">
        <f>HYPERLINK("https://klasma.github.io/Logging_2321/kartor/A 55194-2022 karta.png", "A 55194-2022")</f>
        <v/>
      </c>
      <c r="V162">
        <f>HYPERLINK("https://klasma.github.io/Logging_2321/klagomål/A 55194-2022 FSC-klagomål.docx", "A 55194-2022")</f>
        <v/>
      </c>
      <c r="W162">
        <f>HYPERLINK("https://klasma.github.io/Logging_2321/klagomålsmail/A 55194-2022 FSC-klagomål mail.docx", "A 55194-2022")</f>
        <v/>
      </c>
      <c r="X162">
        <f>HYPERLINK("https://klasma.github.io/Logging_2321/tillsyn/A 55194-2022 tillsynsbegäran.docx", "A 55194-2022")</f>
        <v/>
      </c>
      <c r="Y162">
        <f>HYPERLINK("https://klasma.github.io/Logging_2321/tillsynsmail/A 55194-2022 tillsynsbegäran mail.docx", "A 55194-2022")</f>
        <v/>
      </c>
    </row>
    <row r="163" ht="15" customHeight="1">
      <c r="A163" t="inlineStr">
        <is>
          <t>A 57493-2025</t>
        </is>
      </c>
      <c r="B163" s="1" t="n">
        <v>45980.58540509259</v>
      </c>
      <c r="C163" s="1" t="n">
        <v>46032</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5611-2023</t>
        </is>
      </c>
      <c r="B164" s="1" t="n">
        <v>44958</v>
      </c>
      <c r="C164" s="1" t="n">
        <v>46032</v>
      </c>
      <c r="D164" t="inlineStr">
        <is>
          <t>JÄMTLANDS LÄN</t>
        </is>
      </c>
      <c r="E164" t="inlineStr">
        <is>
          <t>ÅRE</t>
        </is>
      </c>
      <c r="G164" t="n">
        <v>10.5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5611-2023 artfynd.xlsx", "A 5611-2023")</f>
        <v/>
      </c>
      <c r="T164">
        <f>HYPERLINK("https://klasma.github.io/Logging_2321/kartor/A 5611-2023 karta.png", "A 5611-2023")</f>
        <v/>
      </c>
      <c r="V164">
        <f>HYPERLINK("https://klasma.github.io/Logging_2321/klagomål/A 5611-2023 FSC-klagomål.docx", "A 5611-2023")</f>
        <v/>
      </c>
      <c r="W164">
        <f>HYPERLINK("https://klasma.github.io/Logging_2321/klagomålsmail/A 5611-2023 FSC-klagomål mail.docx", "A 5611-2023")</f>
        <v/>
      </c>
      <c r="X164">
        <f>HYPERLINK("https://klasma.github.io/Logging_2321/tillsyn/A 5611-2023 tillsynsbegäran.docx", "A 5611-2023")</f>
        <v/>
      </c>
      <c r="Y164">
        <f>HYPERLINK("https://klasma.github.io/Logging_2321/tillsynsmail/A 5611-2023 tillsynsbegäran mail.docx", "A 5611-2023")</f>
        <v/>
      </c>
      <c r="Z164">
        <f>HYPERLINK("https://klasma.github.io/Logging_2321/fåglar/A 5611-2023 prioriterade fågelarter.docx", "A 5611-2023")</f>
        <v/>
      </c>
    </row>
    <row r="165" ht="15" customHeight="1">
      <c r="A165" t="inlineStr">
        <is>
          <t>A 12970-2021</t>
        </is>
      </c>
      <c r="B165" s="1" t="n">
        <v>44271</v>
      </c>
      <c r="C165" s="1" t="n">
        <v>46032</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12970-2021 artfynd.xlsx", "A 12970-2021")</f>
        <v/>
      </c>
      <c r="T165">
        <f>HYPERLINK("https://klasma.github.io/Logging_2321/kartor/A 12970-2021 karta.png", "A 12970-2021")</f>
        <v/>
      </c>
      <c r="V165">
        <f>HYPERLINK("https://klasma.github.io/Logging_2321/klagomål/A 12970-2021 FSC-klagomål.docx", "A 12970-2021")</f>
        <v/>
      </c>
      <c r="W165">
        <f>HYPERLINK("https://klasma.github.io/Logging_2321/klagomålsmail/A 12970-2021 FSC-klagomål mail.docx", "A 12970-2021")</f>
        <v/>
      </c>
      <c r="X165">
        <f>HYPERLINK("https://klasma.github.io/Logging_2321/tillsyn/A 12970-2021 tillsynsbegäran.docx", "A 12970-2021")</f>
        <v/>
      </c>
      <c r="Y165">
        <f>HYPERLINK("https://klasma.github.io/Logging_2321/tillsynsmail/A 12970-2021 tillsynsbegäran mail.docx", "A 12970-2021")</f>
        <v/>
      </c>
    </row>
    <row r="166" ht="15" customHeight="1">
      <c r="A166" t="inlineStr">
        <is>
          <t>A 30032-2024</t>
        </is>
      </c>
      <c r="B166" s="1" t="n">
        <v>45485</v>
      </c>
      <c r="C166" s="1" t="n">
        <v>46032</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21939-2025</t>
        </is>
      </c>
      <c r="B167" s="1" t="n">
        <v>45784.58445601852</v>
      </c>
      <c r="C167" s="1" t="n">
        <v>46032</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12242-2022</t>
        </is>
      </c>
      <c r="B168" s="1" t="n">
        <v>44637</v>
      </c>
      <c r="C168" s="1" t="n">
        <v>46032</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46032</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46032</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46032</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37082-2021</t>
        </is>
      </c>
      <c r="B172" s="1" t="n">
        <v>44395</v>
      </c>
      <c r="C172" s="1" t="n">
        <v>46032</v>
      </c>
      <c r="D172" t="inlineStr">
        <is>
          <t>JÄMTLANDS LÄN</t>
        </is>
      </c>
      <c r="E172" t="inlineStr">
        <is>
          <t>ÅRE</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37082-2021 artfynd.xlsx", "A 37082-2021")</f>
        <v/>
      </c>
      <c r="T172">
        <f>HYPERLINK("https://klasma.github.io/Logging_2321/kartor/A 37082-2021 karta.png", "A 37082-2021")</f>
        <v/>
      </c>
      <c r="V172">
        <f>HYPERLINK("https://klasma.github.io/Logging_2321/klagomål/A 37082-2021 FSC-klagomål.docx", "A 37082-2021")</f>
        <v/>
      </c>
      <c r="W172">
        <f>HYPERLINK("https://klasma.github.io/Logging_2321/klagomålsmail/A 37082-2021 FSC-klagomål mail.docx", "A 37082-2021")</f>
        <v/>
      </c>
      <c r="X172">
        <f>HYPERLINK("https://klasma.github.io/Logging_2321/tillsyn/A 37082-2021 tillsynsbegäran.docx", "A 37082-2021")</f>
        <v/>
      </c>
      <c r="Y172">
        <f>HYPERLINK("https://klasma.github.io/Logging_2321/tillsynsmail/A 37082-2021 tillsynsbegäran mail.docx", "A 37082-2021")</f>
        <v/>
      </c>
      <c r="Z172">
        <f>HYPERLINK("https://klasma.github.io/Logging_2321/fåglar/A 37082-2021 prioriterade fågelarter.docx", "A 37082-2021")</f>
        <v/>
      </c>
    </row>
    <row r="173" ht="15" customHeight="1">
      <c r="A173" t="inlineStr">
        <is>
          <t>A 55718-2025</t>
        </is>
      </c>
      <c r="B173" s="1" t="n">
        <v>45972.49988425926</v>
      </c>
      <c r="C173" s="1" t="n">
        <v>46032</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2422-2021</t>
        </is>
      </c>
      <c r="B174" s="1" t="n">
        <v>44214</v>
      </c>
      <c r="C174" s="1" t="n">
        <v>46032</v>
      </c>
      <c r="D174" t="inlineStr">
        <is>
          <t>JÄMTLANDS LÄN</t>
        </is>
      </c>
      <c r="E174" t="inlineStr">
        <is>
          <t>ÅRE</t>
        </is>
      </c>
      <c r="G174" t="n">
        <v>3.3</v>
      </c>
      <c r="H174" t="n">
        <v>1</v>
      </c>
      <c r="I174" t="n">
        <v>0</v>
      </c>
      <c r="J174" t="n">
        <v>0</v>
      </c>
      <c r="K174" t="n">
        <v>0</v>
      </c>
      <c r="L174" t="n">
        <v>0</v>
      </c>
      <c r="M174" t="n">
        <v>0</v>
      </c>
      <c r="N174" t="n">
        <v>0</v>
      </c>
      <c r="O174" t="n">
        <v>0</v>
      </c>
      <c r="P174" t="n">
        <v>0</v>
      </c>
      <c r="Q174" t="n">
        <v>1</v>
      </c>
      <c r="R174" s="2" t="inlineStr">
        <is>
          <t>Fläcknycklar</t>
        </is>
      </c>
      <c r="S174">
        <f>HYPERLINK("https://klasma.github.io/Logging_2321/artfynd/A 2422-2021 artfynd.xlsx", "A 2422-2021")</f>
        <v/>
      </c>
      <c r="T174">
        <f>HYPERLINK("https://klasma.github.io/Logging_2321/kartor/A 2422-2021 karta.png", "A 2422-2021")</f>
        <v/>
      </c>
      <c r="V174">
        <f>HYPERLINK("https://klasma.github.io/Logging_2321/klagomål/A 2422-2021 FSC-klagomål.docx", "A 2422-2021")</f>
        <v/>
      </c>
      <c r="W174">
        <f>HYPERLINK("https://klasma.github.io/Logging_2321/klagomålsmail/A 2422-2021 FSC-klagomål mail.docx", "A 2422-2021")</f>
        <v/>
      </c>
      <c r="X174">
        <f>HYPERLINK("https://klasma.github.io/Logging_2321/tillsyn/A 2422-2021 tillsynsbegäran.docx", "A 2422-2021")</f>
        <v/>
      </c>
      <c r="Y174">
        <f>HYPERLINK("https://klasma.github.io/Logging_2321/tillsynsmail/A 2422-2021 tillsynsbegäran mail.docx", "A 2422-2021")</f>
        <v/>
      </c>
    </row>
    <row r="175" ht="15" customHeight="1">
      <c r="A175" t="inlineStr">
        <is>
          <t>A 17692-2022</t>
        </is>
      </c>
      <c r="B175" s="1" t="n">
        <v>44680</v>
      </c>
      <c r="C175" s="1" t="n">
        <v>46032</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58226-2021</t>
        </is>
      </c>
      <c r="B176" s="1" t="n">
        <v>44487</v>
      </c>
      <c r="C176" s="1" t="n">
        <v>46032</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32216-2022</t>
        </is>
      </c>
      <c r="B177" s="1" t="n">
        <v>44781</v>
      </c>
      <c r="C177" s="1" t="n">
        <v>46032</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46032</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23556-2021</t>
        </is>
      </c>
      <c r="B179" s="1" t="n">
        <v>44334</v>
      </c>
      <c r="C179" s="1" t="n">
        <v>46032</v>
      </c>
      <c r="D179" t="inlineStr">
        <is>
          <t>JÄMTLANDS LÄN</t>
        </is>
      </c>
      <c r="E179" t="inlineStr">
        <is>
          <t>ÅRE</t>
        </is>
      </c>
      <c r="G179" t="n">
        <v>11.1</v>
      </c>
      <c r="H179" t="n">
        <v>1</v>
      </c>
      <c r="I179" t="n">
        <v>1</v>
      </c>
      <c r="J179" t="n">
        <v>0</v>
      </c>
      <c r="K179" t="n">
        <v>0</v>
      </c>
      <c r="L179" t="n">
        <v>0</v>
      </c>
      <c r="M179" t="n">
        <v>0</v>
      </c>
      <c r="N179" t="n">
        <v>0</v>
      </c>
      <c r="O179" t="n">
        <v>0</v>
      </c>
      <c r="P179" t="n">
        <v>0</v>
      </c>
      <c r="Q179" t="n">
        <v>1</v>
      </c>
      <c r="R179" s="2" t="inlineStr">
        <is>
          <t>Tvåblad</t>
        </is>
      </c>
      <c r="S179">
        <f>HYPERLINK("https://klasma.github.io/Logging_2321/artfynd/A 23556-2021 artfynd.xlsx", "A 23556-2021")</f>
        <v/>
      </c>
      <c r="T179">
        <f>HYPERLINK("https://klasma.github.io/Logging_2321/kartor/A 23556-2021 karta.png", "A 23556-2021")</f>
        <v/>
      </c>
      <c r="V179">
        <f>HYPERLINK("https://klasma.github.io/Logging_2321/klagomål/A 23556-2021 FSC-klagomål.docx", "A 23556-2021")</f>
        <v/>
      </c>
      <c r="W179">
        <f>HYPERLINK("https://klasma.github.io/Logging_2321/klagomålsmail/A 23556-2021 FSC-klagomål mail.docx", "A 23556-2021")</f>
        <v/>
      </c>
      <c r="X179">
        <f>HYPERLINK("https://klasma.github.io/Logging_2321/tillsyn/A 23556-2021 tillsynsbegäran.docx", "A 23556-2021")</f>
        <v/>
      </c>
      <c r="Y179">
        <f>HYPERLINK("https://klasma.github.io/Logging_2321/tillsynsmail/A 23556-2021 tillsynsbegäran mail.docx", "A 23556-2021")</f>
        <v/>
      </c>
    </row>
    <row r="180" ht="15" customHeight="1">
      <c r="A180" t="inlineStr">
        <is>
          <t>A 74392-2021</t>
        </is>
      </c>
      <c r="B180" s="1" t="n">
        <v>44559</v>
      </c>
      <c r="C180" s="1" t="n">
        <v>46032</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17636-2024</t>
        </is>
      </c>
      <c r="B181" s="1" t="n">
        <v>45418</v>
      </c>
      <c r="C181" s="1" t="n">
        <v>46032</v>
      </c>
      <c r="D181" t="inlineStr">
        <is>
          <t>JÄMTLANDS LÄN</t>
        </is>
      </c>
      <c r="E181" t="inlineStr">
        <is>
          <t>ÅRE</t>
        </is>
      </c>
      <c r="F181" t="inlineStr">
        <is>
          <t>Övriga Aktiebolag</t>
        </is>
      </c>
      <c r="G181" t="n">
        <v>12.4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17636-2024 artfynd.xlsx", "A 17636-2024")</f>
        <v/>
      </c>
      <c r="T181">
        <f>HYPERLINK("https://klasma.github.io/Logging_2321/kartor/A 17636-2024 karta.png", "A 17636-2024")</f>
        <v/>
      </c>
      <c r="V181">
        <f>HYPERLINK("https://klasma.github.io/Logging_2321/klagomål/A 17636-2024 FSC-klagomål.docx", "A 17636-2024")</f>
        <v/>
      </c>
      <c r="W181">
        <f>HYPERLINK("https://klasma.github.io/Logging_2321/klagomålsmail/A 17636-2024 FSC-klagomål mail.docx", "A 17636-2024")</f>
        <v/>
      </c>
      <c r="X181">
        <f>HYPERLINK("https://klasma.github.io/Logging_2321/tillsyn/A 17636-2024 tillsynsbegäran.docx", "A 17636-2024")</f>
        <v/>
      </c>
      <c r="Y181">
        <f>HYPERLINK("https://klasma.github.io/Logging_2321/tillsynsmail/A 17636-2024 tillsynsbegäran mail.docx", "A 17636-2024")</f>
        <v/>
      </c>
      <c r="Z181">
        <f>HYPERLINK("https://klasma.github.io/Logging_2321/fåglar/A 17636-2024 prioriterade fågelarter.docx", "A 17636-2024")</f>
        <v/>
      </c>
    </row>
    <row r="182" ht="15" customHeight="1">
      <c r="A182" t="inlineStr">
        <is>
          <t>A 10632-2023</t>
        </is>
      </c>
      <c r="B182" s="1" t="n">
        <v>44984</v>
      </c>
      <c r="C182" s="1" t="n">
        <v>46032</v>
      </c>
      <c r="D182" t="inlineStr">
        <is>
          <t>JÄMTLANDS LÄN</t>
        </is>
      </c>
      <c r="E182" t="inlineStr">
        <is>
          <t>ÅRE</t>
        </is>
      </c>
      <c r="G182" t="n">
        <v>5.4</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10632-2023 artfynd.xlsx", "A 10632-2023")</f>
        <v/>
      </c>
      <c r="T182">
        <f>HYPERLINK("https://klasma.github.io/Logging_2321/kartor/A 10632-2023 karta.png", "A 10632-2023")</f>
        <v/>
      </c>
      <c r="V182">
        <f>HYPERLINK("https://klasma.github.io/Logging_2321/klagomål/A 10632-2023 FSC-klagomål.docx", "A 10632-2023")</f>
        <v/>
      </c>
      <c r="W182">
        <f>HYPERLINK("https://klasma.github.io/Logging_2321/klagomålsmail/A 10632-2023 FSC-klagomål mail.docx", "A 10632-2023")</f>
        <v/>
      </c>
      <c r="X182">
        <f>HYPERLINK("https://klasma.github.io/Logging_2321/tillsyn/A 10632-2023 tillsynsbegäran.docx", "A 10632-2023")</f>
        <v/>
      </c>
      <c r="Y182">
        <f>HYPERLINK("https://klasma.github.io/Logging_2321/tillsynsmail/A 10632-2023 tillsynsbegäran mail.docx", "A 10632-2023")</f>
        <v/>
      </c>
      <c r="Z182">
        <f>HYPERLINK("https://klasma.github.io/Logging_2321/fåglar/A 10632-2023 prioriterade fågelarter.docx", "A 10632-2023")</f>
        <v/>
      </c>
    </row>
    <row r="183" ht="15" customHeight="1">
      <c r="A183" t="inlineStr">
        <is>
          <t>A 14826-2021</t>
        </is>
      </c>
      <c r="B183" s="1" t="n">
        <v>44280</v>
      </c>
      <c r="C183" s="1" t="n">
        <v>46032</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46032</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46032</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46032</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46032</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46032</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46032</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46032</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46032</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46032</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46032</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46032</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46032</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46032</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46032</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46032</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46032</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46032</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46032</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46032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46032</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46032</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46032</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46032</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46032</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46032</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46032</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46032</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46032</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46032</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46032</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46032</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46032</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46032</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46032</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46032</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46032</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46032</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46032</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46032</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46032</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46032</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46032</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46032</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46032</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46032</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46032</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46032</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2376-2023</t>
        </is>
      </c>
      <c r="B231" s="1" t="n">
        <v>44942</v>
      </c>
      <c r="C231" s="1" t="n">
        <v>46032</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33230-2024</t>
        </is>
      </c>
      <c r="B232" s="1" t="n">
        <v>45518.57418981481</v>
      </c>
      <c r="C232" s="1" t="n">
        <v>46032</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41653-2024</t>
        </is>
      </c>
      <c r="B233" s="1" t="n">
        <v>45560.64059027778</v>
      </c>
      <c r="C233" s="1" t="n">
        <v>46032</v>
      </c>
      <c r="D233" t="inlineStr">
        <is>
          <t>JÄMTLANDS LÄN</t>
        </is>
      </c>
      <c r="E233" t="inlineStr">
        <is>
          <t>ÅRE</t>
        </is>
      </c>
      <c r="G233" t="n">
        <v>0.5</v>
      </c>
      <c r="H233" t="n">
        <v>0</v>
      </c>
      <c r="I233" t="n">
        <v>0</v>
      </c>
      <c r="J233" t="n">
        <v>0</v>
      </c>
      <c r="K233" t="n">
        <v>0</v>
      </c>
      <c r="L233" t="n">
        <v>0</v>
      </c>
      <c r="M233" t="n">
        <v>0</v>
      </c>
      <c r="N233" t="n">
        <v>0</v>
      </c>
      <c r="O233" t="n">
        <v>0</v>
      </c>
      <c r="P233" t="n">
        <v>0</v>
      </c>
      <c r="Q233" t="n">
        <v>0</v>
      </c>
      <c r="R233" s="2" t="inlineStr"/>
    </row>
    <row r="234" ht="15" customHeight="1">
      <c r="A234" t="inlineStr">
        <is>
          <t>A 18253-2023</t>
        </is>
      </c>
      <c r="B234" s="1" t="n">
        <v>45041.48034722222</v>
      </c>
      <c r="C234" s="1" t="n">
        <v>46032</v>
      </c>
      <c r="D234" t="inlineStr">
        <is>
          <t>JÄMTLANDS LÄN</t>
        </is>
      </c>
      <c r="E234" t="inlineStr">
        <is>
          <t>ÅRE</t>
        </is>
      </c>
      <c r="G234" t="n">
        <v>1.3</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46032</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46032</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46032</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46032</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46032</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23118-2022</t>
        </is>
      </c>
      <c r="B240" s="1" t="n">
        <v>44719.5662037037</v>
      </c>
      <c r="C240" s="1" t="n">
        <v>46032</v>
      </c>
      <c r="D240" t="inlineStr">
        <is>
          <t>JÄMTLANDS LÄN</t>
        </is>
      </c>
      <c r="E240" t="inlineStr">
        <is>
          <t>ÅRE</t>
        </is>
      </c>
      <c r="G240" t="n">
        <v>3.5</v>
      </c>
      <c r="H240" t="n">
        <v>0</v>
      </c>
      <c r="I240" t="n">
        <v>0</v>
      </c>
      <c r="J240" t="n">
        <v>0</v>
      </c>
      <c r="K240" t="n">
        <v>0</v>
      </c>
      <c r="L240" t="n">
        <v>0</v>
      </c>
      <c r="M240" t="n">
        <v>0</v>
      </c>
      <c r="N240" t="n">
        <v>0</v>
      </c>
      <c r="O240" t="n">
        <v>0</v>
      </c>
      <c r="P240" t="n">
        <v>0</v>
      </c>
      <c r="Q240" t="n">
        <v>0</v>
      </c>
      <c r="R240" s="2" t="inlineStr"/>
    </row>
    <row r="241" ht="15" customHeight="1">
      <c r="A241" t="inlineStr">
        <is>
          <t>A 31388-2021</t>
        </is>
      </c>
      <c r="B241" s="1" t="n">
        <v>44369</v>
      </c>
      <c r="C241" s="1" t="n">
        <v>46032</v>
      </c>
      <c r="D241" t="inlineStr">
        <is>
          <t>JÄMTLANDS LÄN</t>
        </is>
      </c>
      <c r="E241" t="inlineStr">
        <is>
          <t>ÅRE</t>
        </is>
      </c>
      <c r="G241" t="n">
        <v>2</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46032</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55944-2022</t>
        </is>
      </c>
      <c r="B243" s="1" t="n">
        <v>44889</v>
      </c>
      <c r="C243" s="1" t="n">
        <v>46032</v>
      </c>
      <c r="D243" t="inlineStr">
        <is>
          <t>JÄMTLANDS LÄN</t>
        </is>
      </c>
      <c r="E243" t="inlineStr">
        <is>
          <t>ÅRE</t>
        </is>
      </c>
      <c r="G243" t="n">
        <v>11.1</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46032</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13561-2025</t>
        </is>
      </c>
      <c r="B245" s="1" t="n">
        <v>45736.5587037037</v>
      </c>
      <c r="C245" s="1" t="n">
        <v>46032</v>
      </c>
      <c r="D245" t="inlineStr">
        <is>
          <t>JÄMTLANDS LÄN</t>
        </is>
      </c>
      <c r="E245" t="inlineStr">
        <is>
          <t>ÅRE</t>
        </is>
      </c>
      <c r="F245" t="inlineStr">
        <is>
          <t>Övriga statliga verk och myndigheter</t>
        </is>
      </c>
      <c r="G245" t="n">
        <v>3.8</v>
      </c>
      <c r="H245" t="n">
        <v>0</v>
      </c>
      <c r="I245" t="n">
        <v>0</v>
      </c>
      <c r="J245" t="n">
        <v>0</v>
      </c>
      <c r="K245" t="n">
        <v>0</v>
      </c>
      <c r="L245" t="n">
        <v>0</v>
      </c>
      <c r="M245" t="n">
        <v>0</v>
      </c>
      <c r="N245" t="n">
        <v>0</v>
      </c>
      <c r="O245" t="n">
        <v>0</v>
      </c>
      <c r="P245" t="n">
        <v>0</v>
      </c>
      <c r="Q245" t="n">
        <v>0</v>
      </c>
      <c r="R245" s="2" t="inlineStr"/>
    </row>
    <row r="246" ht="15" customHeight="1">
      <c r="A246" t="inlineStr">
        <is>
          <t>A 65239-2021</t>
        </is>
      </c>
      <c r="B246" s="1" t="n">
        <v>44515</v>
      </c>
      <c r="C246" s="1" t="n">
        <v>46032</v>
      </c>
      <c r="D246" t="inlineStr">
        <is>
          <t>JÄMTLANDS LÄN</t>
        </is>
      </c>
      <c r="E246" t="inlineStr">
        <is>
          <t>ÅRE</t>
        </is>
      </c>
      <c r="G246" t="n">
        <v>0</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46032</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13301-2024</t>
        </is>
      </c>
      <c r="B248" s="1" t="n">
        <v>45386</v>
      </c>
      <c r="C248" s="1" t="n">
        <v>46032</v>
      </c>
      <c r="D248" t="inlineStr">
        <is>
          <t>JÄMTLANDS LÄN</t>
        </is>
      </c>
      <c r="E248" t="inlineStr">
        <is>
          <t>ÅRE</t>
        </is>
      </c>
      <c r="G248" t="n">
        <v>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46032</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45453-2024</t>
        </is>
      </c>
      <c r="B250" s="1" t="n">
        <v>45576.66674768519</v>
      </c>
      <c r="C250" s="1" t="n">
        <v>46032</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46032</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46032</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46559-2024</t>
        </is>
      </c>
      <c r="B253" s="1" t="n">
        <v>45582</v>
      </c>
      <c r="C253" s="1" t="n">
        <v>46032</v>
      </c>
      <c r="D253" t="inlineStr">
        <is>
          <t>JÄMTLANDS LÄN</t>
        </is>
      </c>
      <c r="E253" t="inlineStr">
        <is>
          <t>ÅRE</t>
        </is>
      </c>
      <c r="G253" t="n">
        <v>6.2</v>
      </c>
      <c r="H253" t="n">
        <v>0</v>
      </c>
      <c r="I253" t="n">
        <v>0</v>
      </c>
      <c r="J253" t="n">
        <v>0</v>
      </c>
      <c r="K253" t="n">
        <v>0</v>
      </c>
      <c r="L253" t="n">
        <v>0</v>
      </c>
      <c r="M253" t="n">
        <v>0</v>
      </c>
      <c r="N253" t="n">
        <v>0</v>
      </c>
      <c r="O253" t="n">
        <v>0</v>
      </c>
      <c r="P253" t="n">
        <v>0</v>
      </c>
      <c r="Q253" t="n">
        <v>0</v>
      </c>
      <c r="R253" s="2" t="inlineStr"/>
    </row>
    <row r="254" ht="15" customHeight="1">
      <c r="A254" t="inlineStr">
        <is>
          <t>A 44889-2023</t>
        </is>
      </c>
      <c r="B254" s="1" t="n">
        <v>45190</v>
      </c>
      <c r="C254" s="1" t="n">
        <v>46032</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49296-2024</t>
        </is>
      </c>
      <c r="B255" s="1" t="n">
        <v>45595</v>
      </c>
      <c r="C255" s="1" t="n">
        <v>46032</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48599-2023</t>
        </is>
      </c>
      <c r="B256" s="1" t="n">
        <v>45208</v>
      </c>
      <c r="C256" s="1" t="n">
        <v>46032</v>
      </c>
      <c r="D256" t="inlineStr">
        <is>
          <t>JÄMTLANDS LÄN</t>
        </is>
      </c>
      <c r="E256" t="inlineStr">
        <is>
          <t>ÅRE</t>
        </is>
      </c>
      <c r="G256" t="n">
        <v>1.1</v>
      </c>
      <c r="H256" t="n">
        <v>0</v>
      </c>
      <c r="I256" t="n">
        <v>0</v>
      </c>
      <c r="J256" t="n">
        <v>0</v>
      </c>
      <c r="K256" t="n">
        <v>0</v>
      </c>
      <c r="L256" t="n">
        <v>0</v>
      </c>
      <c r="M256" t="n">
        <v>0</v>
      </c>
      <c r="N256" t="n">
        <v>0</v>
      </c>
      <c r="O256" t="n">
        <v>0</v>
      </c>
      <c r="P256" t="n">
        <v>0</v>
      </c>
      <c r="Q256" t="n">
        <v>0</v>
      </c>
      <c r="R256" s="2" t="inlineStr"/>
    </row>
    <row r="257" ht="15" customHeight="1">
      <c r="A257" t="inlineStr">
        <is>
          <t>A 57710-2021</t>
        </is>
      </c>
      <c r="B257" s="1" t="n">
        <v>44484</v>
      </c>
      <c r="C257" s="1" t="n">
        <v>46032</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12193-2023</t>
        </is>
      </c>
      <c r="B258" s="1" t="n">
        <v>44998</v>
      </c>
      <c r="C258" s="1" t="n">
        <v>46032</v>
      </c>
      <c r="D258" t="inlineStr">
        <is>
          <t>JÄMTLANDS LÄN</t>
        </is>
      </c>
      <c r="E258" t="inlineStr">
        <is>
          <t>ÅRE</t>
        </is>
      </c>
      <c r="G258" t="n">
        <v>14.7</v>
      </c>
      <c r="H258" t="n">
        <v>0</v>
      </c>
      <c r="I258" t="n">
        <v>0</v>
      </c>
      <c r="J258" t="n">
        <v>0</v>
      </c>
      <c r="K258" t="n">
        <v>0</v>
      </c>
      <c r="L258" t="n">
        <v>0</v>
      </c>
      <c r="M258" t="n">
        <v>0</v>
      </c>
      <c r="N258" t="n">
        <v>0</v>
      </c>
      <c r="O258" t="n">
        <v>0</v>
      </c>
      <c r="P258" t="n">
        <v>0</v>
      </c>
      <c r="Q258" t="n">
        <v>0</v>
      </c>
      <c r="R258" s="2" t="inlineStr"/>
    </row>
    <row r="259" ht="15" customHeight="1">
      <c r="A259" t="inlineStr">
        <is>
          <t>A 6232-2021</t>
        </is>
      </c>
      <c r="B259" s="1" t="n">
        <v>44231</v>
      </c>
      <c r="C259" s="1" t="n">
        <v>46032</v>
      </c>
      <c r="D259" t="inlineStr">
        <is>
          <t>JÄMTLANDS LÄN</t>
        </is>
      </c>
      <c r="E259" t="inlineStr">
        <is>
          <t>ÅRE</t>
        </is>
      </c>
      <c r="G259" t="n">
        <v>4.8</v>
      </c>
      <c r="H259" t="n">
        <v>0</v>
      </c>
      <c r="I259" t="n">
        <v>0</v>
      </c>
      <c r="J259" t="n">
        <v>0</v>
      </c>
      <c r="K259" t="n">
        <v>0</v>
      </c>
      <c r="L259" t="n">
        <v>0</v>
      </c>
      <c r="M259" t="n">
        <v>0</v>
      </c>
      <c r="N259" t="n">
        <v>0</v>
      </c>
      <c r="O259" t="n">
        <v>0</v>
      </c>
      <c r="P259" t="n">
        <v>0</v>
      </c>
      <c r="Q259" t="n">
        <v>0</v>
      </c>
      <c r="R259" s="2" t="inlineStr"/>
    </row>
    <row r="260" ht="15" customHeight="1">
      <c r="A260" t="inlineStr">
        <is>
          <t>A 57770-2023</t>
        </is>
      </c>
      <c r="B260" s="1" t="n">
        <v>45246.92542824074</v>
      </c>
      <c r="C260" s="1" t="n">
        <v>46032</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60122-2021</t>
        </is>
      </c>
      <c r="B261" s="1" t="n">
        <v>44495</v>
      </c>
      <c r="C261" s="1" t="n">
        <v>46032</v>
      </c>
      <c r="D261" t="inlineStr">
        <is>
          <t>JÄMTLANDS LÄN</t>
        </is>
      </c>
      <c r="E261" t="inlineStr">
        <is>
          <t>ÅRE</t>
        </is>
      </c>
      <c r="G261" t="n">
        <v>46.7</v>
      </c>
      <c r="H261" t="n">
        <v>0</v>
      </c>
      <c r="I261" t="n">
        <v>0</v>
      </c>
      <c r="J261" t="n">
        <v>0</v>
      </c>
      <c r="K261" t="n">
        <v>0</v>
      </c>
      <c r="L261" t="n">
        <v>0</v>
      </c>
      <c r="M261" t="n">
        <v>0</v>
      </c>
      <c r="N261" t="n">
        <v>0</v>
      </c>
      <c r="O261" t="n">
        <v>0</v>
      </c>
      <c r="P261" t="n">
        <v>0</v>
      </c>
      <c r="Q261" t="n">
        <v>0</v>
      </c>
      <c r="R261" s="2" t="inlineStr"/>
    </row>
    <row r="262" ht="15" customHeight="1">
      <c r="A262" t="inlineStr">
        <is>
          <t>A 59823-2025</t>
        </is>
      </c>
      <c r="B262" s="1" t="n">
        <v>45992.64878472222</v>
      </c>
      <c r="C262" s="1" t="n">
        <v>46032</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59653-2025</t>
        </is>
      </c>
      <c r="B263" s="1" t="n">
        <v>45992.43616898148</v>
      </c>
      <c r="C263" s="1" t="n">
        <v>46032</v>
      </c>
      <c r="D263" t="inlineStr">
        <is>
          <t>JÄMTLANDS LÄN</t>
        </is>
      </c>
      <c r="E263" t="inlineStr">
        <is>
          <t>ÅRE</t>
        </is>
      </c>
      <c r="G263" t="n">
        <v>3.6</v>
      </c>
      <c r="H263" t="n">
        <v>0</v>
      </c>
      <c r="I263" t="n">
        <v>0</v>
      </c>
      <c r="J263" t="n">
        <v>0</v>
      </c>
      <c r="K263" t="n">
        <v>0</v>
      </c>
      <c r="L263" t="n">
        <v>0</v>
      </c>
      <c r="M263" t="n">
        <v>0</v>
      </c>
      <c r="N263" t="n">
        <v>0</v>
      </c>
      <c r="O263" t="n">
        <v>0</v>
      </c>
      <c r="P263" t="n">
        <v>0</v>
      </c>
      <c r="Q263" t="n">
        <v>0</v>
      </c>
      <c r="R263" s="2" t="inlineStr"/>
    </row>
    <row r="264" ht="15" customHeight="1">
      <c r="A264" t="inlineStr">
        <is>
          <t>A 9126-2025</t>
        </is>
      </c>
      <c r="B264" s="1" t="n">
        <v>45713</v>
      </c>
      <c r="C264" s="1" t="n">
        <v>46032</v>
      </c>
      <c r="D264" t="inlineStr">
        <is>
          <t>JÄMTLANDS LÄN</t>
        </is>
      </c>
      <c r="E264" t="inlineStr">
        <is>
          <t>ÅRE</t>
        </is>
      </c>
      <c r="G264" t="n">
        <v>2</v>
      </c>
      <c r="H264" t="n">
        <v>0</v>
      </c>
      <c r="I264" t="n">
        <v>0</v>
      </c>
      <c r="J264" t="n">
        <v>0</v>
      </c>
      <c r="K264" t="n">
        <v>0</v>
      </c>
      <c r="L264" t="n">
        <v>0</v>
      </c>
      <c r="M264" t="n">
        <v>0</v>
      </c>
      <c r="N264" t="n">
        <v>0</v>
      </c>
      <c r="O264" t="n">
        <v>0</v>
      </c>
      <c r="P264" t="n">
        <v>0</v>
      </c>
      <c r="Q264" t="n">
        <v>0</v>
      </c>
      <c r="R264" s="2" t="inlineStr"/>
    </row>
    <row r="265" ht="15" customHeight="1">
      <c r="A265" t="inlineStr">
        <is>
          <t>A 17703-2023</t>
        </is>
      </c>
      <c r="B265" s="1" t="n">
        <v>45037.35443287037</v>
      </c>
      <c r="C265" s="1" t="n">
        <v>46032</v>
      </c>
      <c r="D265" t="inlineStr">
        <is>
          <t>JÄMTLANDS LÄN</t>
        </is>
      </c>
      <c r="E265" t="inlineStr">
        <is>
          <t>ÅRE</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11914-2024</t>
        </is>
      </c>
      <c r="B266" s="1" t="n">
        <v>45376.58467592593</v>
      </c>
      <c r="C266" s="1" t="n">
        <v>46032</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13559-2025</t>
        </is>
      </c>
      <c r="B267" s="1" t="n">
        <v>45736.55288194444</v>
      </c>
      <c r="C267" s="1" t="n">
        <v>46032</v>
      </c>
      <c r="D267" t="inlineStr">
        <is>
          <t>JÄMTLANDS LÄN</t>
        </is>
      </c>
      <c r="E267" t="inlineStr">
        <is>
          <t>ÅRE</t>
        </is>
      </c>
      <c r="F267" t="inlineStr">
        <is>
          <t>Övriga statliga verk och myndigheter</t>
        </is>
      </c>
      <c r="G267" t="n">
        <v>0.4</v>
      </c>
      <c r="H267" t="n">
        <v>0</v>
      </c>
      <c r="I267" t="n">
        <v>0</v>
      </c>
      <c r="J267" t="n">
        <v>0</v>
      </c>
      <c r="K267" t="n">
        <v>0</v>
      </c>
      <c r="L267" t="n">
        <v>0</v>
      </c>
      <c r="M267" t="n">
        <v>0</v>
      </c>
      <c r="N267" t="n">
        <v>0</v>
      </c>
      <c r="O267" t="n">
        <v>0</v>
      </c>
      <c r="P267" t="n">
        <v>0</v>
      </c>
      <c r="Q267" t="n">
        <v>0</v>
      </c>
      <c r="R267" s="2" t="inlineStr"/>
    </row>
    <row r="268" ht="15" customHeight="1">
      <c r="A268" t="inlineStr">
        <is>
          <t>A 59784-2024</t>
        </is>
      </c>
      <c r="B268" s="1" t="n">
        <v>45639.57988425926</v>
      </c>
      <c r="C268" s="1" t="n">
        <v>46032</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59690-2025</t>
        </is>
      </c>
      <c r="B269" s="1" t="n">
        <v>45992.48541666667</v>
      </c>
      <c r="C269" s="1" t="n">
        <v>46032</v>
      </c>
      <c r="D269" t="inlineStr">
        <is>
          <t>JÄMTLANDS LÄN</t>
        </is>
      </c>
      <c r="E269" t="inlineStr">
        <is>
          <t>ÅRE</t>
        </is>
      </c>
      <c r="G269" t="n">
        <v>2.5</v>
      </c>
      <c r="H269" t="n">
        <v>0</v>
      </c>
      <c r="I269" t="n">
        <v>0</v>
      </c>
      <c r="J269" t="n">
        <v>0</v>
      </c>
      <c r="K269" t="n">
        <v>0</v>
      </c>
      <c r="L269" t="n">
        <v>0</v>
      </c>
      <c r="M269" t="n">
        <v>0</v>
      </c>
      <c r="N269" t="n">
        <v>0</v>
      </c>
      <c r="O269" t="n">
        <v>0</v>
      </c>
      <c r="P269" t="n">
        <v>0</v>
      </c>
      <c r="Q269" t="n">
        <v>0</v>
      </c>
      <c r="R269" s="2" t="inlineStr"/>
    </row>
    <row r="270" ht="15" customHeight="1">
      <c r="A270" t="inlineStr">
        <is>
          <t>A 14204-2021</t>
        </is>
      </c>
      <c r="B270" s="1" t="n">
        <v>44278</v>
      </c>
      <c r="C270" s="1" t="n">
        <v>46032</v>
      </c>
      <c r="D270" t="inlineStr">
        <is>
          <t>JÄMTLANDS LÄN</t>
        </is>
      </c>
      <c r="E270" t="inlineStr">
        <is>
          <t>ÅRE</t>
        </is>
      </c>
      <c r="G270" t="n">
        <v>24.6</v>
      </c>
      <c r="H270" t="n">
        <v>0</v>
      </c>
      <c r="I270" t="n">
        <v>0</v>
      </c>
      <c r="J270" t="n">
        <v>0</v>
      </c>
      <c r="K270" t="n">
        <v>0</v>
      </c>
      <c r="L270" t="n">
        <v>0</v>
      </c>
      <c r="M270" t="n">
        <v>0</v>
      </c>
      <c r="N270" t="n">
        <v>0</v>
      </c>
      <c r="O270" t="n">
        <v>0</v>
      </c>
      <c r="P270" t="n">
        <v>0</v>
      </c>
      <c r="Q270" t="n">
        <v>0</v>
      </c>
      <c r="R270" s="2" t="inlineStr"/>
    </row>
    <row r="271" ht="15" customHeight="1">
      <c r="A271" t="inlineStr">
        <is>
          <t>A 54175-2023</t>
        </is>
      </c>
      <c r="B271" s="1" t="n">
        <v>45232</v>
      </c>
      <c r="C271" s="1" t="n">
        <v>46032</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46789-2024</t>
        </is>
      </c>
      <c r="B272" s="1" t="n">
        <v>45583.53219907408</v>
      </c>
      <c r="C272" s="1" t="n">
        <v>46032</v>
      </c>
      <c r="D272" t="inlineStr">
        <is>
          <t>JÄMTLANDS LÄN</t>
        </is>
      </c>
      <c r="E272" t="inlineStr">
        <is>
          <t>ÅRE</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393-2024</t>
        </is>
      </c>
      <c r="B273" s="1" t="n">
        <v>45296.43614583334</v>
      </c>
      <c r="C273" s="1" t="n">
        <v>46032</v>
      </c>
      <c r="D273" t="inlineStr">
        <is>
          <t>JÄMTLANDS LÄN</t>
        </is>
      </c>
      <c r="E273" t="inlineStr">
        <is>
          <t>ÅRE</t>
        </is>
      </c>
      <c r="G273" t="n">
        <v>6.5</v>
      </c>
      <c r="H273" t="n">
        <v>0</v>
      </c>
      <c r="I273" t="n">
        <v>0</v>
      </c>
      <c r="J273" t="n">
        <v>0</v>
      </c>
      <c r="K273" t="n">
        <v>0</v>
      </c>
      <c r="L273" t="n">
        <v>0</v>
      </c>
      <c r="M273" t="n">
        <v>0</v>
      </c>
      <c r="N273" t="n">
        <v>0</v>
      </c>
      <c r="O273" t="n">
        <v>0</v>
      </c>
      <c r="P273" t="n">
        <v>0</v>
      </c>
      <c r="Q273" t="n">
        <v>0</v>
      </c>
      <c r="R273" s="2" t="inlineStr"/>
    </row>
    <row r="274" ht="15" customHeight="1">
      <c r="A274" t="inlineStr">
        <is>
          <t>A 25224-2025</t>
        </is>
      </c>
      <c r="B274" s="1" t="n">
        <v>45800.48087962963</v>
      </c>
      <c r="C274" s="1" t="n">
        <v>46032</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46032</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25208-2025</t>
        </is>
      </c>
      <c r="B276" s="1" t="n">
        <v>45800.46927083333</v>
      </c>
      <c r="C276" s="1" t="n">
        <v>46032</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50574-2025</t>
        </is>
      </c>
      <c r="B277" s="1" t="n">
        <v>45945</v>
      </c>
      <c r="C277" s="1" t="n">
        <v>46032</v>
      </c>
      <c r="D277" t="inlineStr">
        <is>
          <t>JÄMTLANDS LÄN</t>
        </is>
      </c>
      <c r="E277" t="inlineStr">
        <is>
          <t>ÅRE</t>
        </is>
      </c>
      <c r="G277" t="n">
        <v>16.1</v>
      </c>
      <c r="H277" t="n">
        <v>0</v>
      </c>
      <c r="I277" t="n">
        <v>0</v>
      </c>
      <c r="J277" t="n">
        <v>0</v>
      </c>
      <c r="K277" t="n">
        <v>0</v>
      </c>
      <c r="L277" t="n">
        <v>0</v>
      </c>
      <c r="M277" t="n">
        <v>0</v>
      </c>
      <c r="N277" t="n">
        <v>0</v>
      </c>
      <c r="O277" t="n">
        <v>0</v>
      </c>
      <c r="P277" t="n">
        <v>0</v>
      </c>
      <c r="Q277" t="n">
        <v>0</v>
      </c>
      <c r="R277" s="2" t="inlineStr"/>
    </row>
    <row r="278" ht="15" customHeight="1">
      <c r="A278" t="inlineStr">
        <is>
          <t>A 33625-2022</t>
        </is>
      </c>
      <c r="B278" s="1" t="n">
        <v>44789</v>
      </c>
      <c r="C278" s="1" t="n">
        <v>46032</v>
      </c>
      <c r="D278" t="inlineStr">
        <is>
          <t>JÄMTLANDS LÄN</t>
        </is>
      </c>
      <c r="E278" t="inlineStr">
        <is>
          <t>ÅRE</t>
        </is>
      </c>
      <c r="G278" t="n">
        <v>20.7</v>
      </c>
      <c r="H278" t="n">
        <v>0</v>
      </c>
      <c r="I278" t="n">
        <v>0</v>
      </c>
      <c r="J278" t="n">
        <v>0</v>
      </c>
      <c r="K278" t="n">
        <v>0</v>
      </c>
      <c r="L278" t="n">
        <v>0</v>
      </c>
      <c r="M278" t="n">
        <v>0</v>
      </c>
      <c r="N278" t="n">
        <v>0</v>
      </c>
      <c r="O278" t="n">
        <v>0</v>
      </c>
      <c r="P278" t="n">
        <v>0</v>
      </c>
      <c r="Q278" t="n">
        <v>0</v>
      </c>
      <c r="R278" s="2" t="inlineStr"/>
    </row>
    <row r="279" ht="15" customHeight="1">
      <c r="A279" t="inlineStr">
        <is>
          <t>A 21464-2022</t>
        </is>
      </c>
      <c r="B279" s="1" t="n">
        <v>44706</v>
      </c>
      <c r="C279" s="1" t="n">
        <v>46032</v>
      </c>
      <c r="D279" t="inlineStr">
        <is>
          <t>JÄMTLANDS LÄN</t>
        </is>
      </c>
      <c r="E279" t="inlineStr">
        <is>
          <t>ÅRE</t>
        </is>
      </c>
      <c r="G279" t="n">
        <v>10.9</v>
      </c>
      <c r="H279" t="n">
        <v>0</v>
      </c>
      <c r="I279" t="n">
        <v>0</v>
      </c>
      <c r="J279" t="n">
        <v>0</v>
      </c>
      <c r="K279" t="n">
        <v>0</v>
      </c>
      <c r="L279" t="n">
        <v>0</v>
      </c>
      <c r="M279" t="n">
        <v>0</v>
      </c>
      <c r="N279" t="n">
        <v>0</v>
      </c>
      <c r="O279" t="n">
        <v>0</v>
      </c>
      <c r="P279" t="n">
        <v>0</v>
      </c>
      <c r="Q279" t="n">
        <v>0</v>
      </c>
      <c r="R279" s="2" t="inlineStr"/>
    </row>
    <row r="280" ht="15" customHeight="1">
      <c r="A280" t="inlineStr">
        <is>
          <t>A 15884-2023</t>
        </is>
      </c>
      <c r="B280" s="1" t="n">
        <v>45022</v>
      </c>
      <c r="C280" s="1" t="n">
        <v>46032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51183-2025</t>
        </is>
      </c>
      <c r="B281" s="1" t="n">
        <v>45947.62087962963</v>
      </c>
      <c r="C281" s="1" t="n">
        <v>46032</v>
      </c>
      <c r="D281" t="inlineStr">
        <is>
          <t>JÄMTLANDS LÄN</t>
        </is>
      </c>
      <c r="E281" t="inlineStr">
        <is>
          <t>ÅRE</t>
        </is>
      </c>
      <c r="F281" t="inlineStr">
        <is>
          <t>Övriga statliga verk och myndigheter</t>
        </is>
      </c>
      <c r="G281" t="n">
        <v>2</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46032</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6049-2025</t>
        </is>
      </c>
      <c r="B283" s="1" t="n">
        <v>45695</v>
      </c>
      <c r="C283" s="1" t="n">
        <v>46032</v>
      </c>
      <c r="D283" t="inlineStr">
        <is>
          <t>JÄMTLANDS LÄN</t>
        </is>
      </c>
      <c r="E283" t="inlineStr">
        <is>
          <t>ÅRE</t>
        </is>
      </c>
      <c r="G283" t="n">
        <v>58.3</v>
      </c>
      <c r="H283" t="n">
        <v>0</v>
      </c>
      <c r="I283" t="n">
        <v>0</v>
      </c>
      <c r="J283" t="n">
        <v>0</v>
      </c>
      <c r="K283" t="n">
        <v>0</v>
      </c>
      <c r="L283" t="n">
        <v>0</v>
      </c>
      <c r="M283" t="n">
        <v>0</v>
      </c>
      <c r="N283" t="n">
        <v>0</v>
      </c>
      <c r="O283" t="n">
        <v>0</v>
      </c>
      <c r="P283" t="n">
        <v>0</v>
      </c>
      <c r="Q283" t="n">
        <v>0</v>
      </c>
      <c r="R283" s="2" t="inlineStr"/>
    </row>
    <row r="284" ht="15" customHeight="1">
      <c r="A284" t="inlineStr">
        <is>
          <t>A 59659-2025</t>
        </is>
      </c>
      <c r="B284" s="1" t="n">
        <v>45992.44748842593</v>
      </c>
      <c r="C284" s="1" t="n">
        <v>46032</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59698-2025</t>
        </is>
      </c>
      <c r="B285" s="1" t="n">
        <v>45992.49357638889</v>
      </c>
      <c r="C285" s="1" t="n">
        <v>46032</v>
      </c>
      <c r="D285" t="inlineStr">
        <is>
          <t>JÄMTLANDS LÄN</t>
        </is>
      </c>
      <c r="E285" t="inlineStr">
        <is>
          <t>ÅRE</t>
        </is>
      </c>
      <c r="F285" t="inlineStr">
        <is>
          <t>Övriga Aktiebolag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25275-2025</t>
        </is>
      </c>
      <c r="B286" s="1" t="n">
        <v>45800.55372685185</v>
      </c>
      <c r="C286" s="1" t="n">
        <v>46032</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45834-2024</t>
        </is>
      </c>
      <c r="B287" s="1" t="n">
        <v>45579.91509259259</v>
      </c>
      <c r="C287" s="1" t="n">
        <v>46032</v>
      </c>
      <c r="D287" t="inlineStr">
        <is>
          <t>JÄMTLANDS LÄN</t>
        </is>
      </c>
      <c r="E287" t="inlineStr">
        <is>
          <t>ÅRE</t>
        </is>
      </c>
      <c r="G287" t="n">
        <v>3.9</v>
      </c>
      <c r="H287" t="n">
        <v>0</v>
      </c>
      <c r="I287" t="n">
        <v>0</v>
      </c>
      <c r="J287" t="n">
        <v>0</v>
      </c>
      <c r="K287" t="n">
        <v>0</v>
      </c>
      <c r="L287" t="n">
        <v>0</v>
      </c>
      <c r="M287" t="n">
        <v>0</v>
      </c>
      <c r="N287" t="n">
        <v>0</v>
      </c>
      <c r="O287" t="n">
        <v>0</v>
      </c>
      <c r="P287" t="n">
        <v>0</v>
      </c>
      <c r="Q287" t="n">
        <v>0</v>
      </c>
      <c r="R287" s="2" t="inlineStr"/>
    </row>
    <row r="288" ht="15" customHeight="1">
      <c r="A288" t="inlineStr">
        <is>
          <t>A 51452-2024</t>
        </is>
      </c>
      <c r="B288" s="1" t="n">
        <v>45604.49045138889</v>
      </c>
      <c r="C288" s="1" t="n">
        <v>46032</v>
      </c>
      <c r="D288" t="inlineStr">
        <is>
          <t>JÄMTLANDS LÄN</t>
        </is>
      </c>
      <c r="E288" t="inlineStr">
        <is>
          <t>ÅRE</t>
        </is>
      </c>
      <c r="G288" t="n">
        <v>8</v>
      </c>
      <c r="H288" t="n">
        <v>0</v>
      </c>
      <c r="I288" t="n">
        <v>0</v>
      </c>
      <c r="J288" t="n">
        <v>0</v>
      </c>
      <c r="K288" t="n">
        <v>0</v>
      </c>
      <c r="L288" t="n">
        <v>0</v>
      </c>
      <c r="M288" t="n">
        <v>0</v>
      </c>
      <c r="N288" t="n">
        <v>0</v>
      </c>
      <c r="O288" t="n">
        <v>0</v>
      </c>
      <c r="P288" t="n">
        <v>0</v>
      </c>
      <c r="Q288" t="n">
        <v>0</v>
      </c>
      <c r="R288" s="2" t="inlineStr"/>
    </row>
    <row r="289" ht="15" customHeight="1">
      <c r="A289" t="inlineStr">
        <is>
          <t>A 5651-2023</t>
        </is>
      </c>
      <c r="B289" s="1" t="n">
        <v>44958</v>
      </c>
      <c r="C289" s="1" t="n">
        <v>46032</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60398-2025</t>
        </is>
      </c>
      <c r="B290" s="1" t="n">
        <v>45995.3990162037</v>
      </c>
      <c r="C290" s="1" t="n">
        <v>46032</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47963-2025</t>
        </is>
      </c>
      <c r="B291" s="1" t="n">
        <v>45931</v>
      </c>
      <c r="C291" s="1" t="n">
        <v>46032</v>
      </c>
      <c r="D291" t="inlineStr">
        <is>
          <t>JÄMTLANDS LÄN</t>
        </is>
      </c>
      <c r="E291" t="inlineStr">
        <is>
          <t>ÅRE</t>
        </is>
      </c>
      <c r="G291" t="n">
        <v>0.3</v>
      </c>
      <c r="H291" t="n">
        <v>0</v>
      </c>
      <c r="I291" t="n">
        <v>0</v>
      </c>
      <c r="J291" t="n">
        <v>0</v>
      </c>
      <c r="K291" t="n">
        <v>0</v>
      </c>
      <c r="L291" t="n">
        <v>0</v>
      </c>
      <c r="M291" t="n">
        <v>0</v>
      </c>
      <c r="N291" t="n">
        <v>0</v>
      </c>
      <c r="O291" t="n">
        <v>0</v>
      </c>
      <c r="P291" t="n">
        <v>0</v>
      </c>
      <c r="Q291" t="n">
        <v>0</v>
      </c>
      <c r="R291" s="2" t="inlineStr"/>
    </row>
    <row r="292" ht="15" customHeight="1">
      <c r="A292" t="inlineStr">
        <is>
          <t>A 44251-2025</t>
        </is>
      </c>
      <c r="B292" s="1" t="n">
        <v>45915.69837962963</v>
      </c>
      <c r="C292" s="1" t="n">
        <v>46032</v>
      </c>
      <c r="D292" t="inlineStr">
        <is>
          <t>JÄMTLANDS LÄN</t>
        </is>
      </c>
      <c r="E292" t="inlineStr">
        <is>
          <t>ÅRE</t>
        </is>
      </c>
      <c r="G292" t="n">
        <v>0.2</v>
      </c>
      <c r="H292" t="n">
        <v>0</v>
      </c>
      <c r="I292" t="n">
        <v>0</v>
      </c>
      <c r="J292" t="n">
        <v>0</v>
      </c>
      <c r="K292" t="n">
        <v>0</v>
      </c>
      <c r="L292" t="n">
        <v>0</v>
      </c>
      <c r="M292" t="n">
        <v>0</v>
      </c>
      <c r="N292" t="n">
        <v>0</v>
      </c>
      <c r="O292" t="n">
        <v>0</v>
      </c>
      <c r="P292" t="n">
        <v>0</v>
      </c>
      <c r="Q292" t="n">
        <v>0</v>
      </c>
      <c r="R292" s="2" t="inlineStr"/>
    </row>
    <row r="293" ht="15" customHeight="1">
      <c r="A293" t="inlineStr">
        <is>
          <t>A 58232-2021</t>
        </is>
      </c>
      <c r="B293" s="1" t="n">
        <v>44487</v>
      </c>
      <c r="C293" s="1" t="n">
        <v>46032</v>
      </c>
      <c r="D293" t="inlineStr">
        <is>
          <t>JÄMTLANDS LÄN</t>
        </is>
      </c>
      <c r="E293" t="inlineStr">
        <is>
          <t>ÅRE</t>
        </is>
      </c>
      <c r="G293" t="n">
        <v>43.7</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46032</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20485-2024</t>
        </is>
      </c>
      <c r="B295" s="1" t="n">
        <v>45435.7403125</v>
      </c>
      <c r="C295" s="1" t="n">
        <v>46032</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43767-2025</t>
        </is>
      </c>
      <c r="B296" s="1" t="n">
        <v>45912.49256944445</v>
      </c>
      <c r="C296" s="1" t="n">
        <v>46032</v>
      </c>
      <c r="D296" t="inlineStr">
        <is>
          <t>JÄMTLANDS LÄN</t>
        </is>
      </c>
      <c r="E296" t="inlineStr">
        <is>
          <t>ÅRE</t>
        </is>
      </c>
      <c r="G296" t="n">
        <v>7.1</v>
      </c>
      <c r="H296" t="n">
        <v>0</v>
      </c>
      <c r="I296" t="n">
        <v>0</v>
      </c>
      <c r="J296" t="n">
        <v>0</v>
      </c>
      <c r="K296" t="n">
        <v>0</v>
      </c>
      <c r="L296" t="n">
        <v>0</v>
      </c>
      <c r="M296" t="n">
        <v>0</v>
      </c>
      <c r="N296" t="n">
        <v>0</v>
      </c>
      <c r="O296" t="n">
        <v>0</v>
      </c>
      <c r="P296" t="n">
        <v>0</v>
      </c>
      <c r="Q296" t="n">
        <v>0</v>
      </c>
      <c r="R296" s="2" t="inlineStr"/>
    </row>
    <row r="297" ht="15" customHeight="1">
      <c r="A297" t="inlineStr">
        <is>
          <t>A 51876-2025</t>
        </is>
      </c>
      <c r="B297" s="1" t="n">
        <v>45952.39850694445</v>
      </c>
      <c r="C297" s="1" t="n">
        <v>46032</v>
      </c>
      <c r="D297" t="inlineStr">
        <is>
          <t>JÄMTLANDS LÄN</t>
        </is>
      </c>
      <c r="E297" t="inlineStr">
        <is>
          <t>ÅRE</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43768-2025</t>
        </is>
      </c>
      <c r="B298" s="1" t="n">
        <v>45912.49289351852</v>
      </c>
      <c r="C298" s="1" t="n">
        <v>46032</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46032</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15305-2021</t>
        </is>
      </c>
      <c r="B300" s="1" t="n">
        <v>44284</v>
      </c>
      <c r="C300" s="1" t="n">
        <v>46032</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46032</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4777-2025</t>
        </is>
      </c>
      <c r="B302" s="1" t="n">
        <v>45688</v>
      </c>
      <c r="C302" s="1" t="n">
        <v>46032</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44418-2025</t>
        </is>
      </c>
      <c r="B303" s="1" t="n">
        <v>45916.54578703704</v>
      </c>
      <c r="C303" s="1" t="n">
        <v>46032</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44644-2025</t>
        </is>
      </c>
      <c r="B304" s="1" t="n">
        <v>45917.53284722222</v>
      </c>
      <c r="C304" s="1" t="n">
        <v>46032</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44668-2025</t>
        </is>
      </c>
      <c r="B305" s="1" t="n">
        <v>45917.56306712963</v>
      </c>
      <c r="C305" s="1" t="n">
        <v>46032</v>
      </c>
      <c r="D305" t="inlineStr">
        <is>
          <t>JÄMTLANDS LÄN</t>
        </is>
      </c>
      <c r="E305" t="inlineStr">
        <is>
          <t>ÅRE</t>
        </is>
      </c>
      <c r="G305" t="n">
        <v>3.6</v>
      </c>
      <c r="H305" t="n">
        <v>0</v>
      </c>
      <c r="I305" t="n">
        <v>0</v>
      </c>
      <c r="J305" t="n">
        <v>0</v>
      </c>
      <c r="K305" t="n">
        <v>0</v>
      </c>
      <c r="L305" t="n">
        <v>0</v>
      </c>
      <c r="M305" t="n">
        <v>0</v>
      </c>
      <c r="N305" t="n">
        <v>0</v>
      </c>
      <c r="O305" t="n">
        <v>0</v>
      </c>
      <c r="P305" t="n">
        <v>0</v>
      </c>
      <c r="Q305" t="n">
        <v>0</v>
      </c>
      <c r="R305" s="2" t="inlineStr"/>
    </row>
    <row r="306" ht="15" customHeight="1">
      <c r="A306" t="inlineStr">
        <is>
          <t>A 44685-2025</t>
        </is>
      </c>
      <c r="B306" s="1" t="n">
        <v>45917.58569444445</v>
      </c>
      <c r="C306" s="1" t="n">
        <v>46032</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46032</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23651-2025</t>
        </is>
      </c>
      <c r="B308" s="1" t="n">
        <v>45792</v>
      </c>
      <c r="C308" s="1" t="n">
        <v>46032</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45605-2025</t>
        </is>
      </c>
      <c r="B309" s="1" t="n">
        <v>45922.69826388889</v>
      </c>
      <c r="C309" s="1" t="n">
        <v>46032</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54225-2025</t>
        </is>
      </c>
      <c r="B310" s="1" t="n">
        <v>45964.60839120371</v>
      </c>
      <c r="C310" s="1" t="n">
        <v>46032</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45796-2025</t>
        </is>
      </c>
      <c r="B311" s="1" t="n">
        <v>45923.57418981481</v>
      </c>
      <c r="C311" s="1" t="n">
        <v>46032</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60473-2025</t>
        </is>
      </c>
      <c r="B312" s="1" t="n">
        <v>45995.57738425926</v>
      </c>
      <c r="C312" s="1" t="n">
        <v>46032</v>
      </c>
      <c r="D312" t="inlineStr">
        <is>
          <t>JÄMTLANDS LÄN</t>
        </is>
      </c>
      <c r="E312" t="inlineStr">
        <is>
          <t>ÅRE</t>
        </is>
      </c>
      <c r="G312" t="n">
        <v>7.7</v>
      </c>
      <c r="H312" t="n">
        <v>0</v>
      </c>
      <c r="I312" t="n">
        <v>0</v>
      </c>
      <c r="J312" t="n">
        <v>0</v>
      </c>
      <c r="K312" t="n">
        <v>0</v>
      </c>
      <c r="L312" t="n">
        <v>0</v>
      </c>
      <c r="M312" t="n">
        <v>0</v>
      </c>
      <c r="N312" t="n">
        <v>0</v>
      </c>
      <c r="O312" t="n">
        <v>0</v>
      </c>
      <c r="P312" t="n">
        <v>0</v>
      </c>
      <c r="Q312" t="n">
        <v>0</v>
      </c>
      <c r="R312" s="2" t="inlineStr"/>
    </row>
    <row r="313" ht="15" customHeight="1">
      <c r="A313" t="inlineStr">
        <is>
          <t>A 40653-2022</t>
        </is>
      </c>
      <c r="B313" s="1" t="n">
        <v>44818</v>
      </c>
      <c r="C313" s="1" t="n">
        <v>46032</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45614-2025</t>
        </is>
      </c>
      <c r="B314" s="1" t="n">
        <v>45922.719375</v>
      </c>
      <c r="C314" s="1" t="n">
        <v>46032</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37758-2023</t>
        </is>
      </c>
      <c r="B315" s="1" t="n">
        <v>45159</v>
      </c>
      <c r="C315" s="1" t="n">
        <v>46032</v>
      </c>
      <c r="D315" t="inlineStr">
        <is>
          <t>JÄMTLANDS LÄN</t>
        </is>
      </c>
      <c r="E315" t="inlineStr">
        <is>
          <t>ÅRE</t>
        </is>
      </c>
      <c r="G315" t="n">
        <v>20.1</v>
      </c>
      <c r="H315" t="n">
        <v>0</v>
      </c>
      <c r="I315" t="n">
        <v>0</v>
      </c>
      <c r="J315" t="n">
        <v>0</v>
      </c>
      <c r="K315" t="n">
        <v>0</v>
      </c>
      <c r="L315" t="n">
        <v>0</v>
      </c>
      <c r="M315" t="n">
        <v>0</v>
      </c>
      <c r="N315" t="n">
        <v>0</v>
      </c>
      <c r="O315" t="n">
        <v>0</v>
      </c>
      <c r="P315" t="n">
        <v>0</v>
      </c>
      <c r="Q315" t="n">
        <v>0</v>
      </c>
      <c r="R315" s="2" t="inlineStr"/>
    </row>
    <row r="316" ht="15" customHeight="1">
      <c r="A316" t="inlineStr">
        <is>
          <t>A 24655-2023</t>
        </is>
      </c>
      <c r="B316" s="1" t="n">
        <v>45084.47790509259</v>
      </c>
      <c r="C316" s="1" t="n">
        <v>46032</v>
      </c>
      <c r="D316" t="inlineStr">
        <is>
          <t>JÄMTLANDS LÄN</t>
        </is>
      </c>
      <c r="E316" t="inlineStr">
        <is>
          <t>ÅRE</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56910-2022</t>
        </is>
      </c>
      <c r="B317" s="1" t="n">
        <v>44894.59936342593</v>
      </c>
      <c r="C317" s="1" t="n">
        <v>46032</v>
      </c>
      <c r="D317" t="inlineStr">
        <is>
          <t>JÄMTLANDS LÄN</t>
        </is>
      </c>
      <c r="E317" t="inlineStr">
        <is>
          <t>ÅRE</t>
        </is>
      </c>
      <c r="F317" t="inlineStr">
        <is>
          <t>Övriga Aktiebolag</t>
        </is>
      </c>
      <c r="G317" t="n">
        <v>4.9</v>
      </c>
      <c r="H317" t="n">
        <v>0</v>
      </c>
      <c r="I317" t="n">
        <v>0</v>
      </c>
      <c r="J317" t="n">
        <v>0</v>
      </c>
      <c r="K317" t="n">
        <v>0</v>
      </c>
      <c r="L317" t="n">
        <v>0</v>
      </c>
      <c r="M317" t="n">
        <v>0</v>
      </c>
      <c r="N317" t="n">
        <v>0</v>
      </c>
      <c r="O317" t="n">
        <v>0</v>
      </c>
      <c r="P317" t="n">
        <v>0</v>
      </c>
      <c r="Q317" t="n">
        <v>0</v>
      </c>
      <c r="R317" s="2" t="inlineStr"/>
    </row>
    <row r="318" ht="15" customHeight="1">
      <c r="A318" t="inlineStr">
        <is>
          <t>A 46041-2025</t>
        </is>
      </c>
      <c r="B318" s="1" t="n">
        <v>45924</v>
      </c>
      <c r="C318" s="1" t="n">
        <v>46032</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18264-2023</t>
        </is>
      </c>
      <c r="B319" s="1" t="n">
        <v>45041</v>
      </c>
      <c r="C319" s="1" t="n">
        <v>46032</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52677-2024</t>
        </is>
      </c>
      <c r="B320" s="1" t="n">
        <v>45610.38560185185</v>
      </c>
      <c r="C320" s="1" t="n">
        <v>46032</v>
      </c>
      <c r="D320" t="inlineStr">
        <is>
          <t>JÄMTLANDS LÄN</t>
        </is>
      </c>
      <c r="E320" t="inlineStr">
        <is>
          <t>ÅRE</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39509-2025</t>
        </is>
      </c>
      <c r="B321" s="1" t="n">
        <v>45890.40737268519</v>
      </c>
      <c r="C321" s="1" t="n">
        <v>46032</v>
      </c>
      <c r="D321" t="inlineStr">
        <is>
          <t>JÄMTLANDS LÄN</t>
        </is>
      </c>
      <c r="E321" t="inlineStr">
        <is>
          <t>ÅRE</t>
        </is>
      </c>
      <c r="G321" t="n">
        <v>5.6</v>
      </c>
      <c r="H321" t="n">
        <v>0</v>
      </c>
      <c r="I321" t="n">
        <v>0</v>
      </c>
      <c r="J321" t="n">
        <v>0</v>
      </c>
      <c r="K321" t="n">
        <v>0</v>
      </c>
      <c r="L321" t="n">
        <v>0</v>
      </c>
      <c r="M321" t="n">
        <v>0</v>
      </c>
      <c r="N321" t="n">
        <v>0</v>
      </c>
      <c r="O321" t="n">
        <v>0</v>
      </c>
      <c r="P321" t="n">
        <v>0</v>
      </c>
      <c r="Q321" t="n">
        <v>0</v>
      </c>
      <c r="R321" s="2" t="inlineStr"/>
    </row>
    <row r="322" ht="15" customHeight="1">
      <c r="A322" t="inlineStr">
        <is>
          <t>A 43307-2024</t>
        </is>
      </c>
      <c r="B322" s="1" t="n">
        <v>45568.44303240741</v>
      </c>
      <c r="C322" s="1" t="n">
        <v>46032</v>
      </c>
      <c r="D322" t="inlineStr">
        <is>
          <t>JÄMTLANDS LÄN</t>
        </is>
      </c>
      <c r="E322" t="inlineStr">
        <is>
          <t>ÅRE</t>
        </is>
      </c>
      <c r="F322" t="inlineStr">
        <is>
          <t>Övriga Aktiebolag</t>
        </is>
      </c>
      <c r="G322" t="n">
        <v>1.1</v>
      </c>
      <c r="H322" t="n">
        <v>0</v>
      </c>
      <c r="I322" t="n">
        <v>0</v>
      </c>
      <c r="J322" t="n">
        <v>0</v>
      </c>
      <c r="K322" t="n">
        <v>0</v>
      </c>
      <c r="L322" t="n">
        <v>0</v>
      </c>
      <c r="M322" t="n">
        <v>0</v>
      </c>
      <c r="N322" t="n">
        <v>0</v>
      </c>
      <c r="O322" t="n">
        <v>0</v>
      </c>
      <c r="P322" t="n">
        <v>0</v>
      </c>
      <c r="Q322" t="n">
        <v>0</v>
      </c>
      <c r="R322" s="2" t="inlineStr"/>
    </row>
    <row r="323" ht="15" customHeight="1">
      <c r="A323" t="inlineStr">
        <is>
          <t>A 13370-2024</t>
        </is>
      </c>
      <c r="B323" s="1" t="n">
        <v>45387</v>
      </c>
      <c r="C323" s="1" t="n">
        <v>46032</v>
      </c>
      <c r="D323" t="inlineStr">
        <is>
          <t>JÄMTLANDS LÄN</t>
        </is>
      </c>
      <c r="E323" t="inlineStr">
        <is>
          <t>ÅRE</t>
        </is>
      </c>
      <c r="G323" t="n">
        <v>8.5</v>
      </c>
      <c r="H323" t="n">
        <v>0</v>
      </c>
      <c r="I323" t="n">
        <v>0</v>
      </c>
      <c r="J323" t="n">
        <v>0</v>
      </c>
      <c r="K323" t="n">
        <v>0</v>
      </c>
      <c r="L323" t="n">
        <v>0</v>
      </c>
      <c r="M323" t="n">
        <v>0</v>
      </c>
      <c r="N323" t="n">
        <v>0</v>
      </c>
      <c r="O323" t="n">
        <v>0</v>
      </c>
      <c r="P323" t="n">
        <v>0</v>
      </c>
      <c r="Q323" t="n">
        <v>0</v>
      </c>
      <c r="R323" s="2" t="inlineStr"/>
    </row>
    <row r="324" ht="15" customHeight="1">
      <c r="A324" t="inlineStr">
        <is>
          <t>A 54116-2023</t>
        </is>
      </c>
      <c r="B324" s="1" t="n">
        <v>45232</v>
      </c>
      <c r="C324" s="1" t="n">
        <v>46032</v>
      </c>
      <c r="D324" t="inlineStr">
        <is>
          <t>JÄMTLANDS LÄN</t>
        </is>
      </c>
      <c r="E324" t="inlineStr">
        <is>
          <t>ÅRE</t>
        </is>
      </c>
      <c r="G324" t="n">
        <v>3.8</v>
      </c>
      <c r="H324" t="n">
        <v>0</v>
      </c>
      <c r="I324" t="n">
        <v>0</v>
      </c>
      <c r="J324" t="n">
        <v>0</v>
      </c>
      <c r="K324" t="n">
        <v>0</v>
      </c>
      <c r="L324" t="n">
        <v>0</v>
      </c>
      <c r="M324" t="n">
        <v>0</v>
      </c>
      <c r="N324" t="n">
        <v>0</v>
      </c>
      <c r="O324" t="n">
        <v>0</v>
      </c>
      <c r="P324" t="n">
        <v>0</v>
      </c>
      <c r="Q324" t="n">
        <v>0</v>
      </c>
      <c r="R324" s="2" t="inlineStr"/>
    </row>
    <row r="325" ht="15" customHeight="1">
      <c r="A325" t="inlineStr">
        <is>
          <t>A 12292-2023</t>
        </is>
      </c>
      <c r="B325" s="1" t="n">
        <v>44998</v>
      </c>
      <c r="C325" s="1" t="n">
        <v>46032</v>
      </c>
      <c r="D325" t="inlineStr">
        <is>
          <t>JÄMTLANDS LÄN</t>
        </is>
      </c>
      <c r="E325" t="inlineStr">
        <is>
          <t>ÅRE</t>
        </is>
      </c>
      <c r="G325" t="n">
        <v>3.5</v>
      </c>
      <c r="H325" t="n">
        <v>0</v>
      </c>
      <c r="I325" t="n">
        <v>0</v>
      </c>
      <c r="J325" t="n">
        <v>0</v>
      </c>
      <c r="K325" t="n">
        <v>0</v>
      </c>
      <c r="L325" t="n">
        <v>0</v>
      </c>
      <c r="M325" t="n">
        <v>0</v>
      </c>
      <c r="N325" t="n">
        <v>0</v>
      </c>
      <c r="O325" t="n">
        <v>0</v>
      </c>
      <c r="P325" t="n">
        <v>0</v>
      </c>
      <c r="Q325" t="n">
        <v>0</v>
      </c>
      <c r="R325" s="2" t="inlineStr"/>
    </row>
    <row r="326" ht="15" customHeight="1">
      <c r="A326" t="inlineStr">
        <is>
          <t>A 12294-2023</t>
        </is>
      </c>
      <c r="B326" s="1" t="n">
        <v>44998.75266203703</v>
      </c>
      <c r="C326" s="1" t="n">
        <v>46032</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4870-2021</t>
        </is>
      </c>
      <c r="B327" s="1" t="n">
        <v>44225</v>
      </c>
      <c r="C327" s="1" t="n">
        <v>46032</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18531-2021</t>
        </is>
      </c>
      <c r="B328" s="1" t="n">
        <v>44306</v>
      </c>
      <c r="C328" s="1" t="n">
        <v>46032</v>
      </c>
      <c r="D328" t="inlineStr">
        <is>
          <t>JÄMTLANDS LÄN</t>
        </is>
      </c>
      <c r="E328" t="inlineStr">
        <is>
          <t>ÅRE</t>
        </is>
      </c>
      <c r="G328" t="n">
        <v>4</v>
      </c>
      <c r="H328" t="n">
        <v>0</v>
      </c>
      <c r="I328" t="n">
        <v>0</v>
      </c>
      <c r="J328" t="n">
        <v>0</v>
      </c>
      <c r="K328" t="n">
        <v>0</v>
      </c>
      <c r="L328" t="n">
        <v>0</v>
      </c>
      <c r="M328" t="n">
        <v>0</v>
      </c>
      <c r="N328" t="n">
        <v>0</v>
      </c>
      <c r="O328" t="n">
        <v>0</v>
      </c>
      <c r="P328" t="n">
        <v>0</v>
      </c>
      <c r="Q328" t="n">
        <v>0</v>
      </c>
      <c r="R328" s="2" t="inlineStr"/>
    </row>
    <row r="329" ht="15" customHeight="1">
      <c r="A329" t="inlineStr">
        <is>
          <t>A 55129-2025</t>
        </is>
      </c>
      <c r="B329" s="1" t="n">
        <v>45968.41502314815</v>
      </c>
      <c r="C329" s="1" t="n">
        <v>46032</v>
      </c>
      <c r="D329" t="inlineStr">
        <is>
          <t>JÄMTLANDS LÄN</t>
        </is>
      </c>
      <c r="E329" t="inlineStr">
        <is>
          <t>ÅRE</t>
        </is>
      </c>
      <c r="F329" t="inlineStr">
        <is>
          <t>Övriga Aktiebolag</t>
        </is>
      </c>
      <c r="G329" t="n">
        <v>103.3</v>
      </c>
      <c r="H329" t="n">
        <v>0</v>
      </c>
      <c r="I329" t="n">
        <v>0</v>
      </c>
      <c r="J329" t="n">
        <v>0</v>
      </c>
      <c r="K329" t="n">
        <v>0</v>
      </c>
      <c r="L329" t="n">
        <v>0</v>
      </c>
      <c r="M329" t="n">
        <v>0</v>
      </c>
      <c r="N329" t="n">
        <v>0</v>
      </c>
      <c r="O329" t="n">
        <v>0</v>
      </c>
      <c r="P329" t="n">
        <v>0</v>
      </c>
      <c r="Q329" t="n">
        <v>0</v>
      </c>
      <c r="R329" s="2" t="inlineStr"/>
    </row>
    <row r="330" ht="15" customHeight="1">
      <c r="A330" t="inlineStr">
        <is>
          <t>A 49303-2024</t>
        </is>
      </c>
      <c r="B330" s="1" t="n">
        <v>45595</v>
      </c>
      <c r="C330" s="1" t="n">
        <v>46032</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64758-2023</t>
        </is>
      </c>
      <c r="B331" s="1" t="n">
        <v>45281</v>
      </c>
      <c r="C331" s="1" t="n">
        <v>46032</v>
      </c>
      <c r="D331" t="inlineStr">
        <is>
          <t>JÄMTLANDS LÄN</t>
        </is>
      </c>
      <c r="E331" t="inlineStr">
        <is>
          <t>ÅRE</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61978-2023</t>
        </is>
      </c>
      <c r="B332" s="1" t="n">
        <v>45266.59711805556</v>
      </c>
      <c r="C332" s="1" t="n">
        <v>46032</v>
      </c>
      <c r="D332" t="inlineStr">
        <is>
          <t>JÄMTLANDS LÄN</t>
        </is>
      </c>
      <c r="E332" t="inlineStr">
        <is>
          <t>ÅRE</t>
        </is>
      </c>
      <c r="G332" t="n">
        <v>5.5</v>
      </c>
      <c r="H332" t="n">
        <v>0</v>
      </c>
      <c r="I332" t="n">
        <v>0</v>
      </c>
      <c r="J332" t="n">
        <v>0</v>
      </c>
      <c r="K332" t="n">
        <v>0</v>
      </c>
      <c r="L332" t="n">
        <v>0</v>
      </c>
      <c r="M332" t="n">
        <v>0</v>
      </c>
      <c r="N332" t="n">
        <v>0</v>
      </c>
      <c r="O332" t="n">
        <v>0</v>
      </c>
      <c r="P332" t="n">
        <v>0</v>
      </c>
      <c r="Q332" t="n">
        <v>0</v>
      </c>
      <c r="R332" s="2" t="inlineStr"/>
    </row>
    <row r="333" ht="15" customHeight="1">
      <c r="A333" t="inlineStr">
        <is>
          <t>A 48211-2025</t>
        </is>
      </c>
      <c r="B333" s="1" t="n">
        <v>45931</v>
      </c>
      <c r="C333" s="1" t="n">
        <v>46032</v>
      </c>
      <c r="D333" t="inlineStr">
        <is>
          <t>JÄMTLANDS LÄN</t>
        </is>
      </c>
      <c r="E333" t="inlineStr">
        <is>
          <t>ÅRE</t>
        </is>
      </c>
      <c r="G333" t="n">
        <v>6.6</v>
      </c>
      <c r="H333" t="n">
        <v>0</v>
      </c>
      <c r="I333" t="n">
        <v>0</v>
      </c>
      <c r="J333" t="n">
        <v>0</v>
      </c>
      <c r="K333" t="n">
        <v>0</v>
      </c>
      <c r="L333" t="n">
        <v>0</v>
      </c>
      <c r="M333" t="n">
        <v>0</v>
      </c>
      <c r="N333" t="n">
        <v>0</v>
      </c>
      <c r="O333" t="n">
        <v>0</v>
      </c>
      <c r="P333" t="n">
        <v>0</v>
      </c>
      <c r="Q333" t="n">
        <v>0</v>
      </c>
      <c r="R333" s="2" t="inlineStr"/>
    </row>
    <row r="334" ht="15" customHeight="1">
      <c r="A334" t="inlineStr">
        <is>
          <t>A 12940-2024</t>
        </is>
      </c>
      <c r="B334" s="1" t="n">
        <v>45385.46263888889</v>
      </c>
      <c r="C334" s="1" t="n">
        <v>46032</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58508-2023</t>
        </is>
      </c>
      <c r="B335" s="1" t="n">
        <v>45246</v>
      </c>
      <c r="C335" s="1" t="n">
        <v>46032</v>
      </c>
      <c r="D335" t="inlineStr">
        <is>
          <t>JÄMTLANDS LÄN</t>
        </is>
      </c>
      <c r="E335" t="inlineStr">
        <is>
          <t>ÅRE</t>
        </is>
      </c>
      <c r="G335" t="n">
        <v>21.8</v>
      </c>
      <c r="H335" t="n">
        <v>0</v>
      </c>
      <c r="I335" t="n">
        <v>0</v>
      </c>
      <c r="J335" t="n">
        <v>0</v>
      </c>
      <c r="K335" t="n">
        <v>0</v>
      </c>
      <c r="L335" t="n">
        <v>0</v>
      </c>
      <c r="M335" t="n">
        <v>0</v>
      </c>
      <c r="N335" t="n">
        <v>0</v>
      </c>
      <c r="O335" t="n">
        <v>0</v>
      </c>
      <c r="P335" t="n">
        <v>0</v>
      </c>
      <c r="Q335" t="n">
        <v>0</v>
      </c>
      <c r="R335" s="2" t="inlineStr"/>
    </row>
    <row r="336" ht="15" customHeight="1">
      <c r="A336" t="inlineStr">
        <is>
          <t>A 52946-2025</t>
        </is>
      </c>
      <c r="B336" s="1" t="n">
        <v>45957.64819444445</v>
      </c>
      <c r="C336" s="1" t="n">
        <v>46032</v>
      </c>
      <c r="D336" t="inlineStr">
        <is>
          <t>JÄMTLANDS LÄN</t>
        </is>
      </c>
      <c r="E336" t="inlineStr">
        <is>
          <t>ÅRE</t>
        </is>
      </c>
      <c r="G336" t="n">
        <v>2.6</v>
      </c>
      <c r="H336" t="n">
        <v>0</v>
      </c>
      <c r="I336" t="n">
        <v>0</v>
      </c>
      <c r="J336" t="n">
        <v>0</v>
      </c>
      <c r="K336" t="n">
        <v>0</v>
      </c>
      <c r="L336" t="n">
        <v>0</v>
      </c>
      <c r="M336" t="n">
        <v>0</v>
      </c>
      <c r="N336" t="n">
        <v>0</v>
      </c>
      <c r="O336" t="n">
        <v>0</v>
      </c>
      <c r="P336" t="n">
        <v>0</v>
      </c>
      <c r="Q336" t="n">
        <v>0</v>
      </c>
      <c r="R336" s="2" t="inlineStr"/>
    </row>
    <row r="337" ht="15" customHeight="1">
      <c r="A337" t="inlineStr">
        <is>
          <t>A 39069-2024</t>
        </is>
      </c>
      <c r="B337" s="1" t="n">
        <v>45548.53166666667</v>
      </c>
      <c r="C337" s="1" t="n">
        <v>46032</v>
      </c>
      <c r="D337" t="inlineStr">
        <is>
          <t>JÄMTLANDS LÄN</t>
        </is>
      </c>
      <c r="E337" t="inlineStr">
        <is>
          <t>ÅRE</t>
        </is>
      </c>
      <c r="G337" t="n">
        <v>0.5</v>
      </c>
      <c r="H337" t="n">
        <v>0</v>
      </c>
      <c r="I337" t="n">
        <v>0</v>
      </c>
      <c r="J337" t="n">
        <v>0</v>
      </c>
      <c r="K337" t="n">
        <v>0</v>
      </c>
      <c r="L337" t="n">
        <v>0</v>
      </c>
      <c r="M337" t="n">
        <v>0</v>
      </c>
      <c r="N337" t="n">
        <v>0</v>
      </c>
      <c r="O337" t="n">
        <v>0</v>
      </c>
      <c r="P337" t="n">
        <v>0</v>
      </c>
      <c r="Q337" t="n">
        <v>0</v>
      </c>
      <c r="R337" s="2" t="inlineStr"/>
    </row>
    <row r="338" ht="15" customHeight="1">
      <c r="A338" t="inlineStr">
        <is>
          <t>A 12944-2024</t>
        </is>
      </c>
      <c r="B338" s="1" t="n">
        <v>45385</v>
      </c>
      <c r="C338" s="1" t="n">
        <v>46032</v>
      </c>
      <c r="D338" t="inlineStr">
        <is>
          <t>JÄMTLANDS LÄN</t>
        </is>
      </c>
      <c r="E338" t="inlineStr">
        <is>
          <t>ÅRE</t>
        </is>
      </c>
      <c r="G338" t="n">
        <v>1.9</v>
      </c>
      <c r="H338" t="n">
        <v>0</v>
      </c>
      <c r="I338" t="n">
        <v>0</v>
      </c>
      <c r="J338" t="n">
        <v>0</v>
      </c>
      <c r="K338" t="n">
        <v>0</v>
      </c>
      <c r="L338" t="n">
        <v>0</v>
      </c>
      <c r="M338" t="n">
        <v>0</v>
      </c>
      <c r="N338" t="n">
        <v>0</v>
      </c>
      <c r="O338" t="n">
        <v>0</v>
      </c>
      <c r="P338" t="n">
        <v>0</v>
      </c>
      <c r="Q338" t="n">
        <v>0</v>
      </c>
      <c r="R338" s="2" t="inlineStr"/>
    </row>
    <row r="339" ht="15" customHeight="1">
      <c r="A339" t="inlineStr">
        <is>
          <t>A 64237-2021</t>
        </is>
      </c>
      <c r="B339" s="1" t="n">
        <v>44510</v>
      </c>
      <c r="C339" s="1" t="n">
        <v>46032</v>
      </c>
      <c r="D339" t="inlineStr">
        <is>
          <t>JÄMTLANDS LÄN</t>
        </is>
      </c>
      <c r="E339" t="inlineStr">
        <is>
          <t>ÅRE</t>
        </is>
      </c>
      <c r="G339" t="n">
        <v>2.7</v>
      </c>
      <c r="H339" t="n">
        <v>0</v>
      </c>
      <c r="I339" t="n">
        <v>0</v>
      </c>
      <c r="J339" t="n">
        <v>0</v>
      </c>
      <c r="K339" t="n">
        <v>0</v>
      </c>
      <c r="L339" t="n">
        <v>0</v>
      </c>
      <c r="M339" t="n">
        <v>0</v>
      </c>
      <c r="N339" t="n">
        <v>0</v>
      </c>
      <c r="O339" t="n">
        <v>0</v>
      </c>
      <c r="P339" t="n">
        <v>0</v>
      </c>
      <c r="Q339" t="n">
        <v>0</v>
      </c>
      <c r="R339" s="2" t="inlineStr"/>
    </row>
    <row r="340" ht="15" customHeight="1">
      <c r="A340" t="inlineStr">
        <is>
          <t>A 60913-2025</t>
        </is>
      </c>
      <c r="B340" s="1" t="n">
        <v>45999.60133101852</v>
      </c>
      <c r="C340" s="1" t="n">
        <v>46032</v>
      </c>
      <c r="D340" t="inlineStr">
        <is>
          <t>JÄMTLANDS LÄN</t>
        </is>
      </c>
      <c r="E340" t="inlineStr">
        <is>
          <t>ÅRE</t>
        </is>
      </c>
      <c r="F340" t="inlineStr">
        <is>
          <t>Övriga Aktiebolag</t>
        </is>
      </c>
      <c r="G340" t="n">
        <v>19.9</v>
      </c>
      <c r="H340" t="n">
        <v>0</v>
      </c>
      <c r="I340" t="n">
        <v>0</v>
      </c>
      <c r="J340" t="n">
        <v>0</v>
      </c>
      <c r="K340" t="n">
        <v>0</v>
      </c>
      <c r="L340" t="n">
        <v>0</v>
      </c>
      <c r="M340" t="n">
        <v>0</v>
      </c>
      <c r="N340" t="n">
        <v>0</v>
      </c>
      <c r="O340" t="n">
        <v>0</v>
      </c>
      <c r="P340" t="n">
        <v>0</v>
      </c>
      <c r="Q340" t="n">
        <v>0</v>
      </c>
      <c r="R340" s="2" t="inlineStr"/>
    </row>
    <row r="341" ht="15" customHeight="1">
      <c r="A341" t="inlineStr">
        <is>
          <t>A 30263-2023</t>
        </is>
      </c>
      <c r="B341" s="1" t="n">
        <v>45099</v>
      </c>
      <c r="C341" s="1" t="n">
        <v>46032</v>
      </c>
      <c r="D341" t="inlineStr">
        <is>
          <t>JÄMTLANDS LÄN</t>
        </is>
      </c>
      <c r="E341" t="inlineStr">
        <is>
          <t>ÅRE</t>
        </is>
      </c>
      <c r="G341" t="n">
        <v>15.9</v>
      </c>
      <c r="H341" t="n">
        <v>0</v>
      </c>
      <c r="I341" t="n">
        <v>0</v>
      </c>
      <c r="J341" t="n">
        <v>0</v>
      </c>
      <c r="K341" t="n">
        <v>0</v>
      </c>
      <c r="L341" t="n">
        <v>0</v>
      </c>
      <c r="M341" t="n">
        <v>0</v>
      </c>
      <c r="N341" t="n">
        <v>0</v>
      </c>
      <c r="O341" t="n">
        <v>0</v>
      </c>
      <c r="P341" t="n">
        <v>0</v>
      </c>
      <c r="Q341" t="n">
        <v>0</v>
      </c>
      <c r="R341" s="2" t="inlineStr"/>
    </row>
    <row r="342" ht="15" customHeight="1">
      <c r="A342" t="inlineStr">
        <is>
          <t>A 48178-2025</t>
        </is>
      </c>
      <c r="B342" s="1" t="n">
        <v>45933.44865740741</v>
      </c>
      <c r="C342" s="1" t="n">
        <v>46032</v>
      </c>
      <c r="D342" t="inlineStr">
        <is>
          <t>JÄMTLANDS LÄN</t>
        </is>
      </c>
      <c r="E342" t="inlineStr">
        <is>
          <t>ÅRE</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10285-2021</t>
        </is>
      </c>
      <c r="B343" s="1" t="n">
        <v>44257</v>
      </c>
      <c r="C343" s="1" t="n">
        <v>46032</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61183-2023</t>
        </is>
      </c>
      <c r="B344" s="1" t="n">
        <v>45263</v>
      </c>
      <c r="C344" s="1" t="n">
        <v>46032</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30080-2024</t>
        </is>
      </c>
      <c r="B345" s="1" t="n">
        <v>45485</v>
      </c>
      <c r="C345" s="1" t="n">
        <v>46032</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46032</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18849-2022</t>
        </is>
      </c>
      <c r="B347" s="1" t="n">
        <v>44690</v>
      </c>
      <c r="C347" s="1" t="n">
        <v>46032</v>
      </c>
      <c r="D347" t="inlineStr">
        <is>
          <t>JÄMTLANDS LÄN</t>
        </is>
      </c>
      <c r="E347" t="inlineStr">
        <is>
          <t>ÅRE</t>
        </is>
      </c>
      <c r="G347" t="n">
        <v>12.8</v>
      </c>
      <c r="H347" t="n">
        <v>0</v>
      </c>
      <c r="I347" t="n">
        <v>0</v>
      </c>
      <c r="J347" t="n">
        <v>0</v>
      </c>
      <c r="K347" t="n">
        <v>0</v>
      </c>
      <c r="L347" t="n">
        <v>0</v>
      </c>
      <c r="M347" t="n">
        <v>0</v>
      </c>
      <c r="N347" t="n">
        <v>0</v>
      </c>
      <c r="O347" t="n">
        <v>0</v>
      </c>
      <c r="P347" t="n">
        <v>0</v>
      </c>
      <c r="Q347" t="n">
        <v>0</v>
      </c>
      <c r="R347" s="2" t="inlineStr"/>
    </row>
    <row r="348" ht="15" customHeight="1">
      <c r="A348" t="inlineStr">
        <is>
          <t>A 52607-2025</t>
        </is>
      </c>
      <c r="B348" s="1" t="n">
        <v>45954.66291666667</v>
      </c>
      <c r="C348" s="1" t="n">
        <v>46032</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46452-2025</t>
        </is>
      </c>
      <c r="B349" s="1" t="n">
        <v>45925.65625</v>
      </c>
      <c r="C349" s="1" t="n">
        <v>46032</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46457-2025</t>
        </is>
      </c>
      <c r="B350" s="1" t="n">
        <v>45925.66126157407</v>
      </c>
      <c r="C350" s="1" t="n">
        <v>46032</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30081-2024</t>
        </is>
      </c>
      <c r="B351" s="1" t="n">
        <v>45485</v>
      </c>
      <c r="C351" s="1" t="n">
        <v>46032</v>
      </c>
      <c r="D351" t="inlineStr">
        <is>
          <t>JÄMTLANDS LÄN</t>
        </is>
      </c>
      <c r="E351" t="inlineStr">
        <is>
          <t>ÅRE</t>
        </is>
      </c>
      <c r="G351" t="n">
        <v>17.8</v>
      </c>
      <c r="H351" t="n">
        <v>0</v>
      </c>
      <c r="I351" t="n">
        <v>0</v>
      </c>
      <c r="J351" t="n">
        <v>0</v>
      </c>
      <c r="K351" t="n">
        <v>0</v>
      </c>
      <c r="L351" t="n">
        <v>0</v>
      </c>
      <c r="M351" t="n">
        <v>0</v>
      </c>
      <c r="N351" t="n">
        <v>0</v>
      </c>
      <c r="O351" t="n">
        <v>0</v>
      </c>
      <c r="P351" t="n">
        <v>0</v>
      </c>
      <c r="Q351" t="n">
        <v>0</v>
      </c>
      <c r="R351" s="2" t="inlineStr"/>
    </row>
    <row r="352" ht="15" customHeight="1">
      <c r="A352" t="inlineStr">
        <is>
          <t>A 52676-2023</t>
        </is>
      </c>
      <c r="B352" s="1" t="n">
        <v>45225.6890625</v>
      </c>
      <c r="C352" s="1" t="n">
        <v>46032</v>
      </c>
      <c r="D352" t="inlineStr">
        <is>
          <t>JÄMTLANDS LÄN</t>
        </is>
      </c>
      <c r="E352" t="inlineStr">
        <is>
          <t>ÅRE</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46032</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48571-2025</t>
        </is>
      </c>
      <c r="B354" s="1" t="n">
        <v>45936.44934027778</v>
      </c>
      <c r="C354" s="1" t="n">
        <v>46032</v>
      </c>
      <c r="D354" t="inlineStr">
        <is>
          <t>JÄMTLANDS LÄN</t>
        </is>
      </c>
      <c r="E354" t="inlineStr">
        <is>
          <t>ÅRE</t>
        </is>
      </c>
      <c r="G354" t="n">
        <v>5.2</v>
      </c>
      <c r="H354" t="n">
        <v>0</v>
      </c>
      <c r="I354" t="n">
        <v>0</v>
      </c>
      <c r="J354" t="n">
        <v>0</v>
      </c>
      <c r="K354" t="n">
        <v>0</v>
      </c>
      <c r="L354" t="n">
        <v>0</v>
      </c>
      <c r="M354" t="n">
        <v>0</v>
      </c>
      <c r="N354" t="n">
        <v>0</v>
      </c>
      <c r="O354" t="n">
        <v>0</v>
      </c>
      <c r="P354" t="n">
        <v>0</v>
      </c>
      <c r="Q354" t="n">
        <v>0</v>
      </c>
      <c r="R354" s="2" t="inlineStr"/>
    </row>
    <row r="355" ht="15" customHeight="1">
      <c r="A355" t="inlineStr">
        <is>
          <t>A 49571-2025</t>
        </is>
      </c>
      <c r="B355" s="1" t="n">
        <v>45939.48998842593</v>
      </c>
      <c r="C355" s="1" t="n">
        <v>46032</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50344-2024</t>
        </is>
      </c>
      <c r="B356" s="1" t="n">
        <v>45600</v>
      </c>
      <c r="C356" s="1" t="n">
        <v>46032</v>
      </c>
      <c r="D356" t="inlineStr">
        <is>
          <t>JÄMTLANDS LÄN</t>
        </is>
      </c>
      <c r="E356" t="inlineStr">
        <is>
          <t>ÅRE</t>
        </is>
      </c>
      <c r="G356" t="n">
        <v>4</v>
      </c>
      <c r="H356" t="n">
        <v>0</v>
      </c>
      <c r="I356" t="n">
        <v>0</v>
      </c>
      <c r="J356" t="n">
        <v>0</v>
      </c>
      <c r="K356" t="n">
        <v>0</v>
      </c>
      <c r="L356" t="n">
        <v>0</v>
      </c>
      <c r="M356" t="n">
        <v>0</v>
      </c>
      <c r="N356" t="n">
        <v>0</v>
      </c>
      <c r="O356" t="n">
        <v>0</v>
      </c>
      <c r="P356" t="n">
        <v>0</v>
      </c>
      <c r="Q356" t="n">
        <v>0</v>
      </c>
      <c r="R356" s="2" t="inlineStr"/>
    </row>
    <row r="357" ht="15" customHeight="1">
      <c r="A357" t="inlineStr">
        <is>
          <t>A 12290-2023</t>
        </is>
      </c>
      <c r="B357" s="1" t="n">
        <v>44998.73545138889</v>
      </c>
      <c r="C357" s="1" t="n">
        <v>46032</v>
      </c>
      <c r="D357" t="inlineStr">
        <is>
          <t>JÄMTLANDS LÄN</t>
        </is>
      </c>
      <c r="E357" t="inlineStr">
        <is>
          <t>ÅRE</t>
        </is>
      </c>
      <c r="G357" t="n">
        <v>2.8</v>
      </c>
      <c r="H357" t="n">
        <v>0</v>
      </c>
      <c r="I357" t="n">
        <v>0</v>
      </c>
      <c r="J357" t="n">
        <v>0</v>
      </c>
      <c r="K357" t="n">
        <v>0</v>
      </c>
      <c r="L357" t="n">
        <v>0</v>
      </c>
      <c r="M357" t="n">
        <v>0</v>
      </c>
      <c r="N357" t="n">
        <v>0</v>
      </c>
      <c r="O357" t="n">
        <v>0</v>
      </c>
      <c r="P357" t="n">
        <v>0</v>
      </c>
      <c r="Q357" t="n">
        <v>0</v>
      </c>
      <c r="R357" s="2" t="inlineStr"/>
    </row>
    <row r="358" ht="15" customHeight="1">
      <c r="A358" t="inlineStr">
        <is>
          <t>A 12291-2023</t>
        </is>
      </c>
      <c r="B358" s="1" t="n">
        <v>44998.74140046296</v>
      </c>
      <c r="C358" s="1" t="n">
        <v>46032</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49593-2025</t>
        </is>
      </c>
      <c r="B359" s="1" t="n">
        <v>45939.53186342592</v>
      </c>
      <c r="C359" s="1" t="n">
        <v>46032</v>
      </c>
      <c r="D359" t="inlineStr">
        <is>
          <t>JÄMTLANDS LÄN</t>
        </is>
      </c>
      <c r="E359" t="inlineStr">
        <is>
          <t>ÅRE</t>
        </is>
      </c>
      <c r="G359" t="n">
        <v>7.9</v>
      </c>
      <c r="H359" t="n">
        <v>0</v>
      </c>
      <c r="I359" t="n">
        <v>0</v>
      </c>
      <c r="J359" t="n">
        <v>0</v>
      </c>
      <c r="K359" t="n">
        <v>0</v>
      </c>
      <c r="L359" t="n">
        <v>0</v>
      </c>
      <c r="M359" t="n">
        <v>0</v>
      </c>
      <c r="N359" t="n">
        <v>0</v>
      </c>
      <c r="O359" t="n">
        <v>0</v>
      </c>
      <c r="P359" t="n">
        <v>0</v>
      </c>
      <c r="Q359" t="n">
        <v>0</v>
      </c>
      <c r="R359" s="2" t="inlineStr"/>
    </row>
    <row r="360" ht="15" customHeight="1">
      <c r="A360" t="inlineStr">
        <is>
          <t>A 49493-2025</t>
        </is>
      </c>
      <c r="B360" s="1" t="n">
        <v>45939.36626157408</v>
      </c>
      <c r="C360" s="1" t="n">
        <v>46032</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45796-2024</t>
        </is>
      </c>
      <c r="B361" s="1" t="n">
        <v>45579.67354166666</v>
      </c>
      <c r="C361" s="1" t="n">
        <v>46032</v>
      </c>
      <c r="D361" t="inlineStr">
        <is>
          <t>JÄMTLANDS LÄN</t>
        </is>
      </c>
      <c r="E361" t="inlineStr">
        <is>
          <t>ÅRE</t>
        </is>
      </c>
      <c r="G361" t="n">
        <v>5</v>
      </c>
      <c r="H361" t="n">
        <v>0</v>
      </c>
      <c r="I361" t="n">
        <v>0</v>
      </c>
      <c r="J361" t="n">
        <v>0</v>
      </c>
      <c r="K361" t="n">
        <v>0</v>
      </c>
      <c r="L361" t="n">
        <v>0</v>
      </c>
      <c r="M361" t="n">
        <v>0</v>
      </c>
      <c r="N361" t="n">
        <v>0</v>
      </c>
      <c r="O361" t="n">
        <v>0</v>
      </c>
      <c r="P361" t="n">
        <v>0</v>
      </c>
      <c r="Q361" t="n">
        <v>0</v>
      </c>
      <c r="R361" s="2" t="inlineStr"/>
    </row>
    <row r="362" ht="15" customHeight="1">
      <c r="A362" t="inlineStr">
        <is>
          <t>A 21905-2021</t>
        </is>
      </c>
      <c r="B362" s="1" t="n">
        <v>44322</v>
      </c>
      <c r="C362" s="1" t="n">
        <v>46032</v>
      </c>
      <c r="D362" t="inlineStr">
        <is>
          <t>JÄMTLANDS LÄN</t>
        </is>
      </c>
      <c r="E362" t="inlineStr">
        <is>
          <t>ÅRE</t>
        </is>
      </c>
      <c r="G362" t="n">
        <v>14.3</v>
      </c>
      <c r="H362" t="n">
        <v>0</v>
      </c>
      <c r="I362" t="n">
        <v>0</v>
      </c>
      <c r="J362" t="n">
        <v>0</v>
      </c>
      <c r="K362" t="n">
        <v>0</v>
      </c>
      <c r="L362" t="n">
        <v>0</v>
      </c>
      <c r="M362" t="n">
        <v>0</v>
      </c>
      <c r="N362" t="n">
        <v>0</v>
      </c>
      <c r="O362" t="n">
        <v>0</v>
      </c>
      <c r="P362" t="n">
        <v>0</v>
      </c>
      <c r="Q362" t="n">
        <v>0</v>
      </c>
      <c r="R362" s="2" t="inlineStr"/>
    </row>
    <row r="363" ht="15" customHeight="1">
      <c r="A363" t="inlineStr">
        <is>
          <t>A 52944-2025</t>
        </is>
      </c>
      <c r="B363" s="1" t="n">
        <v>45957.6437037037</v>
      </c>
      <c r="C363" s="1" t="n">
        <v>46032</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50203-2025</t>
        </is>
      </c>
      <c r="B364" s="1" t="n">
        <v>45943.65641203704</v>
      </c>
      <c r="C364" s="1" t="n">
        <v>46032</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60783-2025</t>
        </is>
      </c>
      <c r="B365" s="1" t="n">
        <v>45999.39971064815</v>
      </c>
      <c r="C365" s="1" t="n">
        <v>46032</v>
      </c>
      <c r="D365" t="inlineStr">
        <is>
          <t>JÄMTLANDS LÄN</t>
        </is>
      </c>
      <c r="E365" t="inlineStr">
        <is>
          <t>ÅRE</t>
        </is>
      </c>
      <c r="G365" t="n">
        <v>10.6</v>
      </c>
      <c r="H365" t="n">
        <v>0</v>
      </c>
      <c r="I365" t="n">
        <v>0</v>
      </c>
      <c r="J365" t="n">
        <v>0</v>
      </c>
      <c r="K365" t="n">
        <v>0</v>
      </c>
      <c r="L365" t="n">
        <v>0</v>
      </c>
      <c r="M365" t="n">
        <v>0</v>
      </c>
      <c r="N365" t="n">
        <v>0</v>
      </c>
      <c r="O365" t="n">
        <v>0</v>
      </c>
      <c r="P365" t="n">
        <v>0</v>
      </c>
      <c r="Q365" t="n">
        <v>0</v>
      </c>
      <c r="R365" s="2" t="inlineStr"/>
    </row>
    <row r="366" ht="15" customHeight="1">
      <c r="A366" t="inlineStr">
        <is>
          <t>A 58395-2025</t>
        </is>
      </c>
      <c r="B366" s="1" t="n">
        <v>45985.55648148148</v>
      </c>
      <c r="C366" s="1" t="n">
        <v>46032</v>
      </c>
      <c r="D366" t="inlineStr">
        <is>
          <t>JÄMTLANDS LÄN</t>
        </is>
      </c>
      <c r="E366" t="inlineStr">
        <is>
          <t>ÅRE</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59916-2023</t>
        </is>
      </c>
      <c r="B367" s="1" t="n">
        <v>45257.64270833333</v>
      </c>
      <c r="C367" s="1" t="n">
        <v>46032</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46444-2024</t>
        </is>
      </c>
      <c r="B368" s="1" t="n">
        <v>45582</v>
      </c>
      <c r="C368" s="1" t="n">
        <v>46032</v>
      </c>
      <c r="D368" t="inlineStr">
        <is>
          <t>JÄMTLANDS LÄN</t>
        </is>
      </c>
      <c r="E368" t="inlineStr">
        <is>
          <t>ÅRE</t>
        </is>
      </c>
      <c r="G368" t="n">
        <v>19.6</v>
      </c>
      <c r="H368" t="n">
        <v>0</v>
      </c>
      <c r="I368" t="n">
        <v>0</v>
      </c>
      <c r="J368" t="n">
        <v>0</v>
      </c>
      <c r="K368" t="n">
        <v>0</v>
      </c>
      <c r="L368" t="n">
        <v>0</v>
      </c>
      <c r="M368" t="n">
        <v>0</v>
      </c>
      <c r="N368" t="n">
        <v>0</v>
      </c>
      <c r="O368" t="n">
        <v>0</v>
      </c>
      <c r="P368" t="n">
        <v>0</v>
      </c>
      <c r="Q368" t="n">
        <v>0</v>
      </c>
      <c r="R368" s="2" t="inlineStr"/>
    </row>
    <row r="369" ht="15" customHeight="1">
      <c r="A369" t="inlineStr">
        <is>
          <t>A 50488-2025</t>
        </is>
      </c>
      <c r="B369" s="1" t="n">
        <v>45945.39144675926</v>
      </c>
      <c r="C369" s="1" t="n">
        <v>46032</v>
      </c>
      <c r="D369" t="inlineStr">
        <is>
          <t>JÄMTLANDS LÄN</t>
        </is>
      </c>
      <c r="E369" t="inlineStr">
        <is>
          <t>ÅRE</t>
        </is>
      </c>
      <c r="G369" t="n">
        <v>3.8</v>
      </c>
      <c r="H369" t="n">
        <v>0</v>
      </c>
      <c r="I369" t="n">
        <v>0</v>
      </c>
      <c r="J369" t="n">
        <v>0</v>
      </c>
      <c r="K369" t="n">
        <v>0</v>
      </c>
      <c r="L369" t="n">
        <v>0</v>
      </c>
      <c r="M369" t="n">
        <v>0</v>
      </c>
      <c r="N369" t="n">
        <v>0</v>
      </c>
      <c r="O369" t="n">
        <v>0</v>
      </c>
      <c r="P369" t="n">
        <v>0</v>
      </c>
      <c r="Q369" t="n">
        <v>0</v>
      </c>
      <c r="R369" s="2" t="inlineStr"/>
    </row>
    <row r="370" ht="15" customHeight="1">
      <c r="A370" t="inlineStr">
        <is>
          <t>A 12288-2023</t>
        </is>
      </c>
      <c r="B370" s="1" t="n">
        <v>44998.73143518518</v>
      </c>
      <c r="C370" s="1" t="n">
        <v>46032</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52604-2025</t>
        </is>
      </c>
      <c r="B371" s="1" t="n">
        <v>45954.65774305556</v>
      </c>
      <c r="C371" s="1" t="n">
        <v>46032</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58917-2022</t>
        </is>
      </c>
      <c r="B372" s="1" t="n">
        <v>44903</v>
      </c>
      <c r="C372" s="1" t="n">
        <v>46032</v>
      </c>
      <c r="D372" t="inlineStr">
        <is>
          <t>JÄMTLANDS LÄN</t>
        </is>
      </c>
      <c r="E372" t="inlineStr">
        <is>
          <t>ÅRE</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39115-2025</t>
        </is>
      </c>
      <c r="B373" s="1" t="n">
        <v>45888.55096064815</v>
      </c>
      <c r="C373" s="1" t="n">
        <v>46032</v>
      </c>
      <c r="D373" t="inlineStr">
        <is>
          <t>JÄMTLANDS LÄN</t>
        </is>
      </c>
      <c r="E373" t="inlineStr">
        <is>
          <t>ÅRE</t>
        </is>
      </c>
      <c r="F373" t="inlineStr">
        <is>
          <t>Övriga statliga verk och myndigheter</t>
        </is>
      </c>
      <c r="G373" t="n">
        <v>11.4</v>
      </c>
      <c r="H373" t="n">
        <v>0</v>
      </c>
      <c r="I373" t="n">
        <v>0</v>
      </c>
      <c r="J373" t="n">
        <v>0</v>
      </c>
      <c r="K373" t="n">
        <v>0</v>
      </c>
      <c r="L373" t="n">
        <v>0</v>
      </c>
      <c r="M373" t="n">
        <v>0</v>
      </c>
      <c r="N373" t="n">
        <v>0</v>
      </c>
      <c r="O373" t="n">
        <v>0</v>
      </c>
      <c r="P373" t="n">
        <v>0</v>
      </c>
      <c r="Q373" t="n">
        <v>0</v>
      </c>
      <c r="R373" s="2" t="inlineStr"/>
    </row>
    <row r="374" ht="15" customHeight="1">
      <c r="A374" t="inlineStr">
        <is>
          <t>A 39202-2025</t>
        </is>
      </c>
      <c r="B374" s="1" t="n">
        <v>45888.72116898148</v>
      </c>
      <c r="C374" s="1" t="n">
        <v>46032</v>
      </c>
      <c r="D374" t="inlineStr">
        <is>
          <t>JÄMTLANDS LÄN</t>
        </is>
      </c>
      <c r="E374" t="inlineStr">
        <is>
          <t>ÅRE</t>
        </is>
      </c>
      <c r="G374" t="n">
        <v>4.4</v>
      </c>
      <c r="H374" t="n">
        <v>0</v>
      </c>
      <c r="I374" t="n">
        <v>0</v>
      </c>
      <c r="J374" t="n">
        <v>0</v>
      </c>
      <c r="K374" t="n">
        <v>0</v>
      </c>
      <c r="L374" t="n">
        <v>0</v>
      </c>
      <c r="M374" t="n">
        <v>0</v>
      </c>
      <c r="N374" t="n">
        <v>0</v>
      </c>
      <c r="O374" t="n">
        <v>0</v>
      </c>
      <c r="P374" t="n">
        <v>0</v>
      </c>
      <c r="Q374" t="n">
        <v>0</v>
      </c>
      <c r="R374" s="2" t="inlineStr"/>
    </row>
    <row r="375" ht="15" customHeight="1">
      <c r="A375" t="inlineStr">
        <is>
          <t>A 60585-2025</t>
        </is>
      </c>
      <c r="B375" s="1" t="n">
        <v>45996.33314814815</v>
      </c>
      <c r="C375" s="1" t="n">
        <v>46032</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46032</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46032</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35058-2025</t>
        </is>
      </c>
      <c r="B378" s="1" t="n">
        <v>45849</v>
      </c>
      <c r="C378" s="1" t="n">
        <v>46032</v>
      </c>
      <c r="D378" t="inlineStr">
        <is>
          <t>JÄMTLANDS LÄN</t>
        </is>
      </c>
      <c r="E378" t="inlineStr">
        <is>
          <t>ÅRE</t>
        </is>
      </c>
      <c r="G378" t="n">
        <v>2.5</v>
      </c>
      <c r="H378" t="n">
        <v>0</v>
      </c>
      <c r="I378" t="n">
        <v>0</v>
      </c>
      <c r="J378" t="n">
        <v>0</v>
      </c>
      <c r="K378" t="n">
        <v>0</v>
      </c>
      <c r="L378" t="n">
        <v>0</v>
      </c>
      <c r="M378" t="n">
        <v>0</v>
      </c>
      <c r="N378" t="n">
        <v>0</v>
      </c>
      <c r="O378" t="n">
        <v>0</v>
      </c>
      <c r="P378" t="n">
        <v>0</v>
      </c>
      <c r="Q378" t="n">
        <v>0</v>
      </c>
      <c r="R378" s="2" t="inlineStr"/>
    </row>
    <row r="379" ht="15" customHeight="1">
      <c r="A379" t="inlineStr">
        <is>
          <t>A 34897-2025</t>
        </is>
      </c>
      <c r="B379" s="1" t="n">
        <v>45849</v>
      </c>
      <c r="C379" s="1" t="n">
        <v>46032</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34925-2025</t>
        </is>
      </c>
      <c r="B380" s="1" t="n">
        <v>45849</v>
      </c>
      <c r="C380" s="1" t="n">
        <v>46032</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34805-2025</t>
        </is>
      </c>
      <c r="B381" s="1" t="n">
        <v>45849.33071759259</v>
      </c>
      <c r="C381" s="1" t="n">
        <v>46032</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35054-2025</t>
        </is>
      </c>
      <c r="B382" s="1" t="n">
        <v>45849</v>
      </c>
      <c r="C382" s="1" t="n">
        <v>46032</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39742-2025</t>
        </is>
      </c>
      <c r="B383" s="1" t="n">
        <v>45891.37998842593</v>
      </c>
      <c r="C383" s="1" t="n">
        <v>46032</v>
      </c>
      <c r="D383" t="inlineStr">
        <is>
          <t>JÄMTLANDS LÄN</t>
        </is>
      </c>
      <c r="E383" t="inlineStr">
        <is>
          <t>ÅRE</t>
        </is>
      </c>
      <c r="F383" t="inlineStr">
        <is>
          <t>Övriga statliga verk och myndigheter</t>
        </is>
      </c>
      <c r="G383" t="n">
        <v>6.2</v>
      </c>
      <c r="H383" t="n">
        <v>0</v>
      </c>
      <c r="I383" t="n">
        <v>0</v>
      </c>
      <c r="J383" t="n">
        <v>0</v>
      </c>
      <c r="K383" t="n">
        <v>0</v>
      </c>
      <c r="L383" t="n">
        <v>0</v>
      </c>
      <c r="M383" t="n">
        <v>0</v>
      </c>
      <c r="N383" t="n">
        <v>0</v>
      </c>
      <c r="O383" t="n">
        <v>0</v>
      </c>
      <c r="P383" t="n">
        <v>0</v>
      </c>
      <c r="Q383" t="n">
        <v>0</v>
      </c>
      <c r="R383" s="2" t="inlineStr"/>
    </row>
    <row r="384" ht="15" customHeight="1">
      <c r="A384" t="inlineStr">
        <is>
          <t>A 53156-2025</t>
        </is>
      </c>
      <c r="B384" s="1" t="n">
        <v>45958.49030092593</v>
      </c>
      <c r="C384" s="1" t="n">
        <v>46032</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39744-2025</t>
        </is>
      </c>
      <c r="B385" s="1" t="n">
        <v>45891.38489583333</v>
      </c>
      <c r="C385" s="1" t="n">
        <v>46032</v>
      </c>
      <c r="D385" t="inlineStr">
        <is>
          <t>JÄMTLANDS LÄN</t>
        </is>
      </c>
      <c r="E385" t="inlineStr">
        <is>
          <t>ÅRE</t>
        </is>
      </c>
      <c r="F385" t="inlineStr">
        <is>
          <t>Övriga statliga verk och myndigheter</t>
        </is>
      </c>
      <c r="G385" t="n">
        <v>14.4</v>
      </c>
      <c r="H385" t="n">
        <v>0</v>
      </c>
      <c r="I385" t="n">
        <v>0</v>
      </c>
      <c r="J385" t="n">
        <v>0</v>
      </c>
      <c r="K385" t="n">
        <v>0</v>
      </c>
      <c r="L385" t="n">
        <v>0</v>
      </c>
      <c r="M385" t="n">
        <v>0</v>
      </c>
      <c r="N385" t="n">
        <v>0</v>
      </c>
      <c r="O385" t="n">
        <v>0</v>
      </c>
      <c r="P385" t="n">
        <v>0</v>
      </c>
      <c r="Q385" t="n">
        <v>0</v>
      </c>
      <c r="R385" s="2" t="inlineStr"/>
    </row>
    <row r="386" ht="15" customHeight="1">
      <c r="A386" t="inlineStr">
        <is>
          <t>A 61024-2025</t>
        </is>
      </c>
      <c r="B386" s="1" t="n">
        <v>45999.87188657407</v>
      </c>
      <c r="C386" s="1" t="n">
        <v>46032</v>
      </c>
      <c r="D386" t="inlineStr">
        <is>
          <t>JÄMTLANDS LÄN</t>
        </is>
      </c>
      <c r="E386" t="inlineStr">
        <is>
          <t>ÅRE</t>
        </is>
      </c>
      <c r="G386" t="n">
        <v>5.6</v>
      </c>
      <c r="H386" t="n">
        <v>0</v>
      </c>
      <c r="I386" t="n">
        <v>0</v>
      </c>
      <c r="J386" t="n">
        <v>0</v>
      </c>
      <c r="K386" t="n">
        <v>0</v>
      </c>
      <c r="L386" t="n">
        <v>0</v>
      </c>
      <c r="M386" t="n">
        <v>0</v>
      </c>
      <c r="N386" t="n">
        <v>0</v>
      </c>
      <c r="O386" t="n">
        <v>0</v>
      </c>
      <c r="P386" t="n">
        <v>0</v>
      </c>
      <c r="Q386" t="n">
        <v>0</v>
      </c>
      <c r="R386" s="2" t="inlineStr"/>
    </row>
    <row r="387" ht="15" customHeight="1">
      <c r="A387" t="inlineStr">
        <is>
          <t>A 36048-2023</t>
        </is>
      </c>
      <c r="B387" s="1" t="n">
        <v>45149.42868055555</v>
      </c>
      <c r="C387" s="1" t="n">
        <v>46032</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8294-2021</t>
        </is>
      </c>
      <c r="B388" s="1" t="n">
        <v>44243</v>
      </c>
      <c r="C388" s="1" t="n">
        <v>46032</v>
      </c>
      <c r="D388" t="inlineStr">
        <is>
          <t>JÄMTLANDS LÄN</t>
        </is>
      </c>
      <c r="E388" t="inlineStr">
        <is>
          <t>ÅRE</t>
        </is>
      </c>
      <c r="G388" t="n">
        <v>16.5</v>
      </c>
      <c r="H388" t="n">
        <v>0</v>
      </c>
      <c r="I388" t="n">
        <v>0</v>
      </c>
      <c r="J388" t="n">
        <v>0</v>
      </c>
      <c r="K388" t="n">
        <v>0</v>
      </c>
      <c r="L388" t="n">
        <v>0</v>
      </c>
      <c r="M388" t="n">
        <v>0</v>
      </c>
      <c r="N388" t="n">
        <v>0</v>
      </c>
      <c r="O388" t="n">
        <v>0</v>
      </c>
      <c r="P388" t="n">
        <v>0</v>
      </c>
      <c r="Q388" t="n">
        <v>0</v>
      </c>
      <c r="R388" s="2" t="inlineStr"/>
    </row>
    <row r="389" ht="15" customHeight="1">
      <c r="A389" t="inlineStr">
        <is>
          <t>A 53134-2025</t>
        </is>
      </c>
      <c r="B389" s="1" t="n">
        <v>45958.46826388889</v>
      </c>
      <c r="C389" s="1" t="n">
        <v>46032</v>
      </c>
      <c r="D389" t="inlineStr">
        <is>
          <t>JÄMTLANDS LÄN</t>
        </is>
      </c>
      <c r="E389" t="inlineStr">
        <is>
          <t>ÅRE</t>
        </is>
      </c>
      <c r="G389" t="n">
        <v>13.8</v>
      </c>
      <c r="H389" t="n">
        <v>0</v>
      </c>
      <c r="I389" t="n">
        <v>0</v>
      </c>
      <c r="J389" t="n">
        <v>0</v>
      </c>
      <c r="K389" t="n">
        <v>0</v>
      </c>
      <c r="L389" t="n">
        <v>0</v>
      </c>
      <c r="M389" t="n">
        <v>0</v>
      </c>
      <c r="N389" t="n">
        <v>0</v>
      </c>
      <c r="O389" t="n">
        <v>0</v>
      </c>
      <c r="P389" t="n">
        <v>0</v>
      </c>
      <c r="Q389" t="n">
        <v>0</v>
      </c>
      <c r="R389" s="2" t="inlineStr"/>
    </row>
    <row r="390" ht="15" customHeight="1">
      <c r="A390" t="inlineStr">
        <is>
          <t>A 34538-2023</t>
        </is>
      </c>
      <c r="B390" s="1" t="n">
        <v>45134</v>
      </c>
      <c r="C390" s="1" t="n">
        <v>46032</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54904-2022</t>
        </is>
      </c>
      <c r="B391" s="1" t="n">
        <v>44886</v>
      </c>
      <c r="C391" s="1" t="n">
        <v>46032</v>
      </c>
      <c r="D391" t="inlineStr">
        <is>
          <t>JÄMTLANDS LÄN</t>
        </is>
      </c>
      <c r="E391" t="inlineStr">
        <is>
          <t>ÅRE</t>
        </is>
      </c>
      <c r="F391" t="inlineStr">
        <is>
          <t>Övriga Aktiebolag</t>
        </is>
      </c>
      <c r="G391" t="n">
        <v>12.2</v>
      </c>
      <c r="H391" t="n">
        <v>0</v>
      </c>
      <c r="I391" t="n">
        <v>0</v>
      </c>
      <c r="J391" t="n">
        <v>0</v>
      </c>
      <c r="K391" t="n">
        <v>0</v>
      </c>
      <c r="L391" t="n">
        <v>0</v>
      </c>
      <c r="M391" t="n">
        <v>0</v>
      </c>
      <c r="N391" t="n">
        <v>0</v>
      </c>
      <c r="O391" t="n">
        <v>0</v>
      </c>
      <c r="P391" t="n">
        <v>0</v>
      </c>
      <c r="Q391" t="n">
        <v>0</v>
      </c>
      <c r="R391" s="2" t="inlineStr"/>
    </row>
    <row r="392" ht="15" customHeight="1">
      <c r="A392" t="inlineStr">
        <is>
          <t>A 36013-2025</t>
        </is>
      </c>
      <c r="B392" s="1" t="n">
        <v>45863.60643518518</v>
      </c>
      <c r="C392" s="1" t="n">
        <v>46032</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36015-2025</t>
        </is>
      </c>
      <c r="B393" s="1" t="n">
        <v>45863.61373842593</v>
      </c>
      <c r="C393" s="1" t="n">
        <v>46032</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61355-2025</t>
        </is>
      </c>
      <c r="B394" s="1" t="n">
        <v>46001.39805555555</v>
      </c>
      <c r="C394" s="1" t="n">
        <v>46032</v>
      </c>
      <c r="D394" t="inlineStr">
        <is>
          <t>JÄMTLANDS LÄN</t>
        </is>
      </c>
      <c r="E394" t="inlineStr">
        <is>
          <t>ÅRE</t>
        </is>
      </c>
      <c r="G394" t="n">
        <v>6.7</v>
      </c>
      <c r="H394" t="n">
        <v>0</v>
      </c>
      <c r="I394" t="n">
        <v>0</v>
      </c>
      <c r="J394" t="n">
        <v>0</v>
      </c>
      <c r="K394" t="n">
        <v>0</v>
      </c>
      <c r="L394" t="n">
        <v>0</v>
      </c>
      <c r="M394" t="n">
        <v>0</v>
      </c>
      <c r="N394" t="n">
        <v>0</v>
      </c>
      <c r="O394" t="n">
        <v>0</v>
      </c>
      <c r="P394" t="n">
        <v>0</v>
      </c>
      <c r="Q394" t="n">
        <v>0</v>
      </c>
      <c r="R394" s="2" t="inlineStr"/>
    </row>
    <row r="395" ht="15" customHeight="1">
      <c r="A395" t="inlineStr">
        <is>
          <t>A 61009-2025</t>
        </is>
      </c>
      <c r="B395" s="1" t="n">
        <v>45999</v>
      </c>
      <c r="C395" s="1" t="n">
        <v>46032</v>
      </c>
      <c r="D395" t="inlineStr">
        <is>
          <t>JÄMTLANDS LÄN</t>
        </is>
      </c>
      <c r="E395" t="inlineStr">
        <is>
          <t>ÅRE</t>
        </is>
      </c>
      <c r="G395" t="n">
        <v>1.9</v>
      </c>
      <c r="H395" t="n">
        <v>0</v>
      </c>
      <c r="I395" t="n">
        <v>0</v>
      </c>
      <c r="J395" t="n">
        <v>0</v>
      </c>
      <c r="K395" t="n">
        <v>0</v>
      </c>
      <c r="L395" t="n">
        <v>0</v>
      </c>
      <c r="M395" t="n">
        <v>0</v>
      </c>
      <c r="N395" t="n">
        <v>0</v>
      </c>
      <c r="O395" t="n">
        <v>0</v>
      </c>
      <c r="P395" t="n">
        <v>0</v>
      </c>
      <c r="Q395" t="n">
        <v>0</v>
      </c>
      <c r="R395" s="2" t="inlineStr"/>
    </row>
    <row r="396" ht="15" customHeight="1">
      <c r="A396" t="inlineStr">
        <is>
          <t>A 61032-2025</t>
        </is>
      </c>
      <c r="B396" s="1" t="n">
        <v>45999.89533564815</v>
      </c>
      <c r="C396" s="1" t="n">
        <v>46032</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6113-2024</t>
        </is>
      </c>
      <c r="B397" s="1" t="n">
        <v>45337</v>
      </c>
      <c r="C397" s="1" t="n">
        <v>46032</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61109-2025</t>
        </is>
      </c>
      <c r="B398" s="1" t="n">
        <v>46000.45017361111</v>
      </c>
      <c r="C398" s="1" t="n">
        <v>46032</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5460-2023</t>
        </is>
      </c>
      <c r="B399" s="1" t="n">
        <v>44960</v>
      </c>
      <c r="C399" s="1" t="n">
        <v>46032</v>
      </c>
      <c r="D399" t="inlineStr">
        <is>
          <t>JÄMTLANDS LÄN</t>
        </is>
      </c>
      <c r="E399" t="inlineStr">
        <is>
          <t>ÅRE</t>
        </is>
      </c>
      <c r="G399" t="n">
        <v>9.4</v>
      </c>
      <c r="H399" t="n">
        <v>0</v>
      </c>
      <c r="I399" t="n">
        <v>0</v>
      </c>
      <c r="J399" t="n">
        <v>0</v>
      </c>
      <c r="K399" t="n">
        <v>0</v>
      </c>
      <c r="L399" t="n">
        <v>0</v>
      </c>
      <c r="M399" t="n">
        <v>0</v>
      </c>
      <c r="N399" t="n">
        <v>0</v>
      </c>
      <c r="O399" t="n">
        <v>0</v>
      </c>
      <c r="P399" t="n">
        <v>0</v>
      </c>
      <c r="Q399" t="n">
        <v>0</v>
      </c>
      <c r="R399" s="2" t="inlineStr"/>
    </row>
    <row r="400" ht="15" customHeight="1">
      <c r="A400" t="inlineStr">
        <is>
          <t>A 53133-2025</t>
        </is>
      </c>
      <c r="B400" s="1" t="n">
        <v>45958.46806712963</v>
      </c>
      <c r="C400" s="1" t="n">
        <v>46032</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3263-2023</t>
        </is>
      </c>
      <c r="B401" s="1" t="n">
        <v>44948.98751157407</v>
      </c>
      <c r="C401" s="1" t="n">
        <v>46032</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43446-2023</t>
        </is>
      </c>
      <c r="B402" s="1" t="n">
        <v>45184.35760416667</v>
      </c>
      <c r="C402" s="1" t="n">
        <v>46032</v>
      </c>
      <c r="D402" t="inlineStr">
        <is>
          <t>JÄMTLANDS LÄN</t>
        </is>
      </c>
      <c r="E402" t="inlineStr">
        <is>
          <t>ÅRE</t>
        </is>
      </c>
      <c r="F402" t="inlineStr">
        <is>
          <t>Övriga Aktiebolag</t>
        </is>
      </c>
      <c r="G402" t="n">
        <v>6.4</v>
      </c>
      <c r="H402" t="n">
        <v>0</v>
      </c>
      <c r="I402" t="n">
        <v>0</v>
      </c>
      <c r="J402" t="n">
        <v>0</v>
      </c>
      <c r="K402" t="n">
        <v>0</v>
      </c>
      <c r="L402" t="n">
        <v>0</v>
      </c>
      <c r="M402" t="n">
        <v>0</v>
      </c>
      <c r="N402" t="n">
        <v>0</v>
      </c>
      <c r="O402" t="n">
        <v>0</v>
      </c>
      <c r="P402" t="n">
        <v>0</v>
      </c>
      <c r="Q402" t="n">
        <v>0</v>
      </c>
      <c r="R402" s="2" t="inlineStr"/>
    </row>
    <row r="403" ht="15" customHeight="1">
      <c r="A403" t="inlineStr">
        <is>
          <t>A 26722-2021</t>
        </is>
      </c>
      <c r="B403" s="1" t="n">
        <v>44349</v>
      </c>
      <c r="C403" s="1" t="n">
        <v>46032</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53862-2025</t>
        </is>
      </c>
      <c r="B404" s="1" t="n">
        <v>45961.38105324074</v>
      </c>
      <c r="C404" s="1" t="n">
        <v>46032</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45161-2024</t>
        </is>
      </c>
      <c r="B405" s="1" t="n">
        <v>45575.64982638889</v>
      </c>
      <c r="C405" s="1" t="n">
        <v>46032</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53500-2024</t>
        </is>
      </c>
      <c r="B406" s="1" t="n">
        <v>45614</v>
      </c>
      <c r="C406" s="1" t="n">
        <v>46032</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34931-2025</t>
        </is>
      </c>
      <c r="B407" s="1" t="n">
        <v>45849</v>
      </c>
      <c r="C407" s="1" t="n">
        <v>46032</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42876-2025</t>
        </is>
      </c>
      <c r="B408" s="1" t="n">
        <v>45908</v>
      </c>
      <c r="C408" s="1" t="n">
        <v>46032</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49702-2024</t>
        </is>
      </c>
      <c r="B409" s="1" t="n">
        <v>45596</v>
      </c>
      <c r="C409" s="1" t="n">
        <v>46032</v>
      </c>
      <c r="D409" t="inlineStr">
        <is>
          <t>JÄMTLANDS LÄN</t>
        </is>
      </c>
      <c r="E409" t="inlineStr">
        <is>
          <t>ÅRE</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47076-2024</t>
        </is>
      </c>
      <c r="B410" s="1" t="n">
        <v>45586.50180555556</v>
      </c>
      <c r="C410" s="1" t="n">
        <v>46032</v>
      </c>
      <c r="D410" t="inlineStr">
        <is>
          <t>JÄMTLANDS LÄN</t>
        </is>
      </c>
      <c r="E410" t="inlineStr">
        <is>
          <t>ÅRE</t>
        </is>
      </c>
      <c r="G410" t="n">
        <v>6.5</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46032</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51277-2023</t>
        </is>
      </c>
      <c r="B412" s="1" t="n">
        <v>45219</v>
      </c>
      <c r="C412" s="1" t="n">
        <v>46032</v>
      </c>
      <c r="D412" t="inlineStr">
        <is>
          <t>JÄMTLANDS LÄN</t>
        </is>
      </c>
      <c r="E412" t="inlineStr">
        <is>
          <t>ÅRE</t>
        </is>
      </c>
      <c r="G412" t="n">
        <v>0.9</v>
      </c>
      <c r="H412" t="n">
        <v>0</v>
      </c>
      <c r="I412" t="n">
        <v>0</v>
      </c>
      <c r="J412" t="n">
        <v>0</v>
      </c>
      <c r="K412" t="n">
        <v>0</v>
      </c>
      <c r="L412" t="n">
        <v>0</v>
      </c>
      <c r="M412" t="n">
        <v>0</v>
      </c>
      <c r="N412" t="n">
        <v>0</v>
      </c>
      <c r="O412" t="n">
        <v>0</v>
      </c>
      <c r="P412" t="n">
        <v>0</v>
      </c>
      <c r="Q412" t="n">
        <v>0</v>
      </c>
      <c r="R412" s="2" t="inlineStr"/>
    </row>
    <row r="413" ht="15" customHeight="1">
      <c r="A413" t="inlineStr">
        <is>
          <t>A 51282-2023</t>
        </is>
      </c>
      <c r="B413" s="1" t="n">
        <v>45219</v>
      </c>
      <c r="C413" s="1" t="n">
        <v>46032</v>
      </c>
      <c r="D413" t="inlineStr">
        <is>
          <t>JÄMTLANDS LÄN</t>
        </is>
      </c>
      <c r="E413" t="inlineStr">
        <is>
          <t>ÅRE</t>
        </is>
      </c>
      <c r="G413" t="n">
        <v>2.3</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46032</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37118-2025</t>
        </is>
      </c>
      <c r="B415" s="1" t="n">
        <v>45875</v>
      </c>
      <c r="C415" s="1" t="n">
        <v>46032</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22603-2025</t>
        </is>
      </c>
      <c r="B416" s="1" t="n">
        <v>45786</v>
      </c>
      <c r="C416" s="1" t="n">
        <v>46032</v>
      </c>
      <c r="D416" t="inlineStr">
        <is>
          <t>JÄMTLANDS LÄN</t>
        </is>
      </c>
      <c r="E416" t="inlineStr">
        <is>
          <t>ÅRE</t>
        </is>
      </c>
      <c r="G416" t="n">
        <v>1.4</v>
      </c>
      <c r="H416" t="n">
        <v>0</v>
      </c>
      <c r="I416" t="n">
        <v>0</v>
      </c>
      <c r="J416" t="n">
        <v>0</v>
      </c>
      <c r="K416" t="n">
        <v>0</v>
      </c>
      <c r="L416" t="n">
        <v>0</v>
      </c>
      <c r="M416" t="n">
        <v>0</v>
      </c>
      <c r="N416" t="n">
        <v>0</v>
      </c>
      <c r="O416" t="n">
        <v>0</v>
      </c>
      <c r="P416" t="n">
        <v>0</v>
      </c>
      <c r="Q416" t="n">
        <v>0</v>
      </c>
      <c r="R416" s="2" t="inlineStr"/>
    </row>
    <row r="417" ht="15" customHeight="1">
      <c r="A417" t="inlineStr">
        <is>
          <t>A 27630-2025</t>
        </is>
      </c>
      <c r="B417" s="1" t="n">
        <v>45813</v>
      </c>
      <c r="C417" s="1" t="n">
        <v>46032</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37178-2025</t>
        </is>
      </c>
      <c r="B418" s="1" t="n">
        <v>45875</v>
      </c>
      <c r="C418" s="1" t="n">
        <v>46032</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22602-2025</t>
        </is>
      </c>
      <c r="B419" s="1" t="n">
        <v>45786</v>
      </c>
      <c r="C419" s="1" t="n">
        <v>46032</v>
      </c>
      <c r="D419" t="inlineStr">
        <is>
          <t>JÄMTLANDS LÄN</t>
        </is>
      </c>
      <c r="E419" t="inlineStr">
        <is>
          <t>ÅRE</t>
        </is>
      </c>
      <c r="G419" t="n">
        <v>13.1</v>
      </c>
      <c r="H419" t="n">
        <v>0</v>
      </c>
      <c r="I419" t="n">
        <v>0</v>
      </c>
      <c r="J419" t="n">
        <v>0</v>
      </c>
      <c r="K419" t="n">
        <v>0</v>
      </c>
      <c r="L419" t="n">
        <v>0</v>
      </c>
      <c r="M419" t="n">
        <v>0</v>
      </c>
      <c r="N419" t="n">
        <v>0</v>
      </c>
      <c r="O419" t="n">
        <v>0</v>
      </c>
      <c r="P419" t="n">
        <v>0</v>
      </c>
      <c r="Q419" t="n">
        <v>0</v>
      </c>
      <c r="R419" s="2" t="inlineStr"/>
    </row>
    <row r="420" ht="15" customHeight="1">
      <c r="A420" t="inlineStr">
        <is>
          <t>A 37159-2025</t>
        </is>
      </c>
      <c r="B420" s="1" t="n">
        <v>45875</v>
      </c>
      <c r="C420" s="1" t="n">
        <v>46032</v>
      </c>
      <c r="D420" t="inlineStr">
        <is>
          <t>JÄMTLANDS LÄN</t>
        </is>
      </c>
      <c r="E420" t="inlineStr">
        <is>
          <t>ÅRE</t>
        </is>
      </c>
      <c r="G420" t="n">
        <v>0.3</v>
      </c>
      <c r="H420" t="n">
        <v>0</v>
      </c>
      <c r="I420" t="n">
        <v>0</v>
      </c>
      <c r="J420" t="n">
        <v>0</v>
      </c>
      <c r="K420" t="n">
        <v>0</v>
      </c>
      <c r="L420" t="n">
        <v>0</v>
      </c>
      <c r="M420" t="n">
        <v>0</v>
      </c>
      <c r="N420" t="n">
        <v>0</v>
      </c>
      <c r="O420" t="n">
        <v>0</v>
      </c>
      <c r="P420" t="n">
        <v>0</v>
      </c>
      <c r="Q420" t="n">
        <v>0</v>
      </c>
      <c r="R420" s="2" t="inlineStr"/>
    </row>
    <row r="421" ht="15" customHeight="1">
      <c r="A421" t="inlineStr">
        <is>
          <t>A 41273-2025</t>
        </is>
      </c>
      <c r="B421" s="1" t="n">
        <v>45898</v>
      </c>
      <c r="C421" s="1" t="n">
        <v>46032</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37158-2025</t>
        </is>
      </c>
      <c r="B422" s="1" t="n">
        <v>45875</v>
      </c>
      <c r="C422" s="1" t="n">
        <v>46032</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50951-2023</t>
        </is>
      </c>
      <c r="B423" s="1" t="n">
        <v>45218</v>
      </c>
      <c r="C423" s="1" t="n">
        <v>46032</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37249-2025</t>
        </is>
      </c>
      <c r="B424" s="1" t="n">
        <v>45876.40699074074</v>
      </c>
      <c r="C424" s="1" t="n">
        <v>46032</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1159-2023</t>
        </is>
      </c>
      <c r="B425" s="1" t="n">
        <v>44935.66199074074</v>
      </c>
      <c r="C425" s="1" t="n">
        <v>46032</v>
      </c>
      <c r="D425" t="inlineStr">
        <is>
          <t>JÄMTLANDS LÄN</t>
        </is>
      </c>
      <c r="E425" t="inlineStr">
        <is>
          <t>ÅRE</t>
        </is>
      </c>
      <c r="G425" t="n">
        <v>6.4</v>
      </c>
      <c r="H425" t="n">
        <v>0</v>
      </c>
      <c r="I425" t="n">
        <v>0</v>
      </c>
      <c r="J425" t="n">
        <v>0</v>
      </c>
      <c r="K425" t="n">
        <v>0</v>
      </c>
      <c r="L425" t="n">
        <v>0</v>
      </c>
      <c r="M425" t="n">
        <v>0</v>
      </c>
      <c r="N425" t="n">
        <v>0</v>
      </c>
      <c r="O425" t="n">
        <v>0</v>
      </c>
      <c r="P425" t="n">
        <v>0</v>
      </c>
      <c r="Q425" t="n">
        <v>0</v>
      </c>
      <c r="R425" s="2" t="inlineStr"/>
    </row>
    <row r="426" ht="15" customHeight="1">
      <c r="A426" t="inlineStr">
        <is>
          <t>A 61996-2025</t>
        </is>
      </c>
      <c r="B426" s="1" t="n">
        <v>46003.64273148148</v>
      </c>
      <c r="C426" s="1" t="n">
        <v>46032</v>
      </c>
      <c r="D426" t="inlineStr">
        <is>
          <t>JÄMTLANDS LÄN</t>
        </is>
      </c>
      <c r="E426" t="inlineStr">
        <is>
          <t>ÅRE</t>
        </is>
      </c>
      <c r="G426" t="n">
        <v>4.5</v>
      </c>
      <c r="H426" t="n">
        <v>0</v>
      </c>
      <c r="I426" t="n">
        <v>0</v>
      </c>
      <c r="J426" t="n">
        <v>0</v>
      </c>
      <c r="K426" t="n">
        <v>0</v>
      </c>
      <c r="L426" t="n">
        <v>0</v>
      </c>
      <c r="M426" t="n">
        <v>0</v>
      </c>
      <c r="N426" t="n">
        <v>0</v>
      </c>
      <c r="O426" t="n">
        <v>0</v>
      </c>
      <c r="P426" t="n">
        <v>0</v>
      </c>
      <c r="Q426" t="n">
        <v>0</v>
      </c>
      <c r="R426" s="2" t="inlineStr"/>
    </row>
    <row r="427" ht="15" customHeight="1">
      <c r="A427" t="inlineStr">
        <is>
          <t>A 45378-2025</t>
        </is>
      </c>
      <c r="B427" s="1" t="n">
        <v>45922.39506944444</v>
      </c>
      <c r="C427" s="1" t="n">
        <v>46032</v>
      </c>
      <c r="D427" t="inlineStr">
        <is>
          <t>JÄMTLANDS LÄN</t>
        </is>
      </c>
      <c r="E427" t="inlineStr">
        <is>
          <t>ÅRE</t>
        </is>
      </c>
      <c r="G427" t="n">
        <v>15.7</v>
      </c>
      <c r="H427" t="n">
        <v>0</v>
      </c>
      <c r="I427" t="n">
        <v>0</v>
      </c>
      <c r="J427" t="n">
        <v>0</v>
      </c>
      <c r="K427" t="n">
        <v>0</v>
      </c>
      <c r="L427" t="n">
        <v>0</v>
      </c>
      <c r="M427" t="n">
        <v>0</v>
      </c>
      <c r="N427" t="n">
        <v>0</v>
      </c>
      <c r="O427" t="n">
        <v>0</v>
      </c>
      <c r="P427" t="n">
        <v>0</v>
      </c>
      <c r="Q427" t="n">
        <v>0</v>
      </c>
      <c r="R427" s="2" t="inlineStr"/>
    </row>
    <row r="428" ht="15" customHeight="1">
      <c r="A428" t="inlineStr">
        <is>
          <t>A 53873-2025</t>
        </is>
      </c>
      <c r="B428" s="1" t="n">
        <v>45961.39340277778</v>
      </c>
      <c r="C428" s="1" t="n">
        <v>46032</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47664-2022</t>
        </is>
      </c>
      <c r="B429" s="1" t="n">
        <v>44854.46388888889</v>
      </c>
      <c r="C429" s="1" t="n">
        <v>46032</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59397-2021</t>
        </is>
      </c>
      <c r="B430" s="1" t="n">
        <v>44491</v>
      </c>
      <c r="C430" s="1" t="n">
        <v>46032</v>
      </c>
      <c r="D430" t="inlineStr">
        <is>
          <t>JÄMTLANDS LÄN</t>
        </is>
      </c>
      <c r="E430" t="inlineStr">
        <is>
          <t>ÅRE</t>
        </is>
      </c>
      <c r="F430" t="inlineStr">
        <is>
          <t>Övriga Aktiebolag</t>
        </is>
      </c>
      <c r="G430" t="n">
        <v>7.6</v>
      </c>
      <c r="H430" t="n">
        <v>0</v>
      </c>
      <c r="I430" t="n">
        <v>0</v>
      </c>
      <c r="J430" t="n">
        <v>0</v>
      </c>
      <c r="K430" t="n">
        <v>0</v>
      </c>
      <c r="L430" t="n">
        <v>0</v>
      </c>
      <c r="M430" t="n">
        <v>0</v>
      </c>
      <c r="N430" t="n">
        <v>0</v>
      </c>
      <c r="O430" t="n">
        <v>0</v>
      </c>
      <c r="P430" t="n">
        <v>0</v>
      </c>
      <c r="Q430" t="n">
        <v>0</v>
      </c>
      <c r="R430" s="2" t="inlineStr"/>
    </row>
    <row r="431" ht="15" customHeight="1">
      <c r="A431" t="inlineStr">
        <is>
          <t>A 38285-2025</t>
        </is>
      </c>
      <c r="B431" s="1" t="n">
        <v>45883.43145833333</v>
      </c>
      <c r="C431" s="1" t="n">
        <v>46032</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62273-2025</t>
        </is>
      </c>
      <c r="B432" s="1" t="n">
        <v>46006.62581018519</v>
      </c>
      <c r="C432" s="1" t="n">
        <v>46032</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62276-2025</t>
        </is>
      </c>
      <c r="B433" s="1" t="n">
        <v>46006</v>
      </c>
      <c r="C433" s="1" t="n">
        <v>46032</v>
      </c>
      <c r="D433" t="inlineStr">
        <is>
          <t>JÄMTLANDS LÄN</t>
        </is>
      </c>
      <c r="E433" t="inlineStr">
        <is>
          <t>ÅRE</t>
        </is>
      </c>
      <c r="G433" t="n">
        <v>18.8</v>
      </c>
      <c r="H433" t="n">
        <v>0</v>
      </c>
      <c r="I433" t="n">
        <v>0</v>
      </c>
      <c r="J433" t="n">
        <v>0</v>
      </c>
      <c r="K433" t="n">
        <v>0</v>
      </c>
      <c r="L433" t="n">
        <v>0</v>
      </c>
      <c r="M433" t="n">
        <v>0</v>
      </c>
      <c r="N433" t="n">
        <v>0</v>
      </c>
      <c r="O433" t="n">
        <v>0</v>
      </c>
      <c r="P433" t="n">
        <v>0</v>
      </c>
      <c r="Q433" t="n">
        <v>0</v>
      </c>
      <c r="R433" s="2" t="inlineStr"/>
    </row>
    <row r="434" ht="15" customHeight="1">
      <c r="A434" t="inlineStr">
        <is>
          <t>A 54137-2025</t>
        </is>
      </c>
      <c r="B434" s="1" t="n">
        <v>45964.47275462963</v>
      </c>
      <c r="C434" s="1" t="n">
        <v>46032</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27375-2021</t>
        </is>
      </c>
      <c r="B435" s="1" t="n">
        <v>44351</v>
      </c>
      <c r="C435" s="1" t="n">
        <v>46032</v>
      </c>
      <c r="D435" t="inlineStr">
        <is>
          <t>JÄMTLANDS LÄN</t>
        </is>
      </c>
      <c r="E435" t="inlineStr">
        <is>
          <t>ÅRE</t>
        </is>
      </c>
      <c r="G435" t="n">
        <v>7.4</v>
      </c>
      <c r="H435" t="n">
        <v>0</v>
      </c>
      <c r="I435" t="n">
        <v>0</v>
      </c>
      <c r="J435" t="n">
        <v>0</v>
      </c>
      <c r="K435" t="n">
        <v>0</v>
      </c>
      <c r="L435" t="n">
        <v>0</v>
      </c>
      <c r="M435" t="n">
        <v>0</v>
      </c>
      <c r="N435" t="n">
        <v>0</v>
      </c>
      <c r="O435" t="n">
        <v>0</v>
      </c>
      <c r="P435" t="n">
        <v>0</v>
      </c>
      <c r="Q435" t="n">
        <v>0</v>
      </c>
      <c r="R435" s="2" t="inlineStr"/>
    </row>
    <row r="436" ht="15" customHeight="1">
      <c r="A436" t="inlineStr">
        <is>
          <t>A 54131-2025</t>
        </is>
      </c>
      <c r="B436" s="1" t="n">
        <v>45964.46167824074</v>
      </c>
      <c r="C436" s="1" t="n">
        <v>46032</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54136-2025</t>
        </is>
      </c>
      <c r="B437" s="1" t="n">
        <v>45964.47177083333</v>
      </c>
      <c r="C437" s="1" t="n">
        <v>46032</v>
      </c>
      <c r="D437" t="inlineStr">
        <is>
          <t>JÄMTLANDS LÄN</t>
        </is>
      </c>
      <c r="E437" t="inlineStr">
        <is>
          <t>ÅRE</t>
        </is>
      </c>
      <c r="G437" t="n">
        <v>7.2</v>
      </c>
      <c r="H437" t="n">
        <v>0</v>
      </c>
      <c r="I437" t="n">
        <v>0</v>
      </c>
      <c r="J437" t="n">
        <v>0</v>
      </c>
      <c r="K437" t="n">
        <v>0</v>
      </c>
      <c r="L437" t="n">
        <v>0</v>
      </c>
      <c r="M437" t="n">
        <v>0</v>
      </c>
      <c r="N437" t="n">
        <v>0</v>
      </c>
      <c r="O437" t="n">
        <v>0</v>
      </c>
      <c r="P437" t="n">
        <v>0</v>
      </c>
      <c r="Q437" t="n">
        <v>0</v>
      </c>
      <c r="R437" s="2" t="inlineStr"/>
    </row>
    <row r="438" ht="15" customHeight="1">
      <c r="A438" t="inlineStr">
        <is>
          <t>A 54139-2025</t>
        </is>
      </c>
      <c r="B438" s="1" t="n">
        <v>45964.47564814815</v>
      </c>
      <c r="C438" s="1" t="n">
        <v>46032</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46032</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62530-2025</t>
        </is>
      </c>
      <c r="B440" s="1" t="n">
        <v>46007.63618055556</v>
      </c>
      <c r="C440" s="1" t="n">
        <v>46032</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62210-2025</t>
        </is>
      </c>
      <c r="B441" s="1" t="n">
        <v>46006.5666087963</v>
      </c>
      <c r="C441" s="1" t="n">
        <v>46032</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43456-2023</t>
        </is>
      </c>
      <c r="B442" s="1" t="n">
        <v>45184.37474537037</v>
      </c>
      <c r="C442" s="1" t="n">
        <v>46032</v>
      </c>
      <c r="D442" t="inlineStr">
        <is>
          <t>JÄMTLANDS LÄN</t>
        </is>
      </c>
      <c r="E442" t="inlineStr">
        <is>
          <t>ÅRE</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54164-2023</t>
        </is>
      </c>
      <c r="B443" s="1" t="n">
        <v>45232.47815972222</v>
      </c>
      <c r="C443" s="1" t="n">
        <v>46032</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62218-2025</t>
        </is>
      </c>
      <c r="B444" s="1" t="n">
        <v>46006.58048611111</v>
      </c>
      <c r="C444" s="1" t="n">
        <v>46032</v>
      </c>
      <c r="D444" t="inlineStr">
        <is>
          <t>JÄMTLANDS LÄN</t>
        </is>
      </c>
      <c r="E444" t="inlineStr">
        <is>
          <t>ÅRE</t>
        </is>
      </c>
      <c r="G444" t="n">
        <v>15.6</v>
      </c>
      <c r="H444" t="n">
        <v>0</v>
      </c>
      <c r="I444" t="n">
        <v>0</v>
      </c>
      <c r="J444" t="n">
        <v>0</v>
      </c>
      <c r="K444" t="n">
        <v>0</v>
      </c>
      <c r="L444" t="n">
        <v>0</v>
      </c>
      <c r="M444" t="n">
        <v>0</v>
      </c>
      <c r="N444" t="n">
        <v>0</v>
      </c>
      <c r="O444" t="n">
        <v>0</v>
      </c>
      <c r="P444" t="n">
        <v>0</v>
      </c>
      <c r="Q444" t="n">
        <v>0</v>
      </c>
      <c r="R444" s="2" t="inlineStr"/>
    </row>
    <row r="445" ht="15" customHeight="1">
      <c r="A445" t="inlineStr">
        <is>
          <t>A 62532-2025</t>
        </is>
      </c>
      <c r="B445" s="1" t="n">
        <v>46007.63630787037</v>
      </c>
      <c r="C445" s="1" t="n">
        <v>46032</v>
      </c>
      <c r="D445" t="inlineStr">
        <is>
          <t>JÄMTLANDS LÄN</t>
        </is>
      </c>
      <c r="E445" t="inlineStr">
        <is>
          <t>ÅRE</t>
        </is>
      </c>
      <c r="G445" t="n">
        <v>5</v>
      </c>
      <c r="H445" t="n">
        <v>0</v>
      </c>
      <c r="I445" t="n">
        <v>0</v>
      </c>
      <c r="J445" t="n">
        <v>0</v>
      </c>
      <c r="K445" t="n">
        <v>0</v>
      </c>
      <c r="L445" t="n">
        <v>0</v>
      </c>
      <c r="M445" t="n">
        <v>0</v>
      </c>
      <c r="N445" t="n">
        <v>0</v>
      </c>
      <c r="O445" t="n">
        <v>0</v>
      </c>
      <c r="P445" t="n">
        <v>0</v>
      </c>
      <c r="Q445" t="n">
        <v>0</v>
      </c>
      <c r="R445" s="2" t="inlineStr"/>
    </row>
    <row r="446" ht="15" customHeight="1">
      <c r="A446" t="inlineStr">
        <is>
          <t>A 62545-2025</t>
        </is>
      </c>
      <c r="B446" s="1" t="n">
        <v>46007.65723379629</v>
      </c>
      <c r="C446" s="1" t="n">
        <v>46032</v>
      </c>
      <c r="D446" t="inlineStr">
        <is>
          <t>JÄMTLANDS LÄN</t>
        </is>
      </c>
      <c r="E446" t="inlineStr">
        <is>
          <t>ÅRE</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54213-2025</t>
        </is>
      </c>
      <c r="B447" s="1" t="n">
        <v>45964.59420138889</v>
      </c>
      <c r="C447" s="1" t="n">
        <v>46032</v>
      </c>
      <c r="D447" t="inlineStr">
        <is>
          <t>JÄMTLANDS LÄN</t>
        </is>
      </c>
      <c r="E447" t="inlineStr">
        <is>
          <t>ÅRE</t>
        </is>
      </c>
      <c r="F447" t="inlineStr">
        <is>
          <t>Övriga Aktiebolag</t>
        </is>
      </c>
      <c r="G447" t="n">
        <v>2.1</v>
      </c>
      <c r="H447" t="n">
        <v>0</v>
      </c>
      <c r="I447" t="n">
        <v>0</v>
      </c>
      <c r="J447" t="n">
        <v>0</v>
      </c>
      <c r="K447" t="n">
        <v>0</v>
      </c>
      <c r="L447" t="n">
        <v>0</v>
      </c>
      <c r="M447" t="n">
        <v>0</v>
      </c>
      <c r="N447" t="n">
        <v>0</v>
      </c>
      <c r="O447" t="n">
        <v>0</v>
      </c>
      <c r="P447" t="n">
        <v>0</v>
      </c>
      <c r="Q447" t="n">
        <v>0</v>
      </c>
      <c r="R447" s="2" t="inlineStr"/>
    </row>
    <row r="448" ht="15" customHeight="1">
      <c r="A448" t="inlineStr">
        <is>
          <t>A 54444-2025</t>
        </is>
      </c>
      <c r="B448" s="1" t="n">
        <v>45965.51078703703</v>
      </c>
      <c r="C448" s="1" t="n">
        <v>46032</v>
      </c>
      <c r="D448" t="inlineStr">
        <is>
          <t>JÄMTLANDS LÄN</t>
        </is>
      </c>
      <c r="E448" t="inlineStr">
        <is>
          <t>ÅRE</t>
        </is>
      </c>
      <c r="G448" t="n">
        <v>5.2</v>
      </c>
      <c r="H448" t="n">
        <v>0</v>
      </c>
      <c r="I448" t="n">
        <v>0</v>
      </c>
      <c r="J448" t="n">
        <v>0</v>
      </c>
      <c r="K448" t="n">
        <v>0</v>
      </c>
      <c r="L448" t="n">
        <v>0</v>
      </c>
      <c r="M448" t="n">
        <v>0</v>
      </c>
      <c r="N448" t="n">
        <v>0</v>
      </c>
      <c r="O448" t="n">
        <v>0</v>
      </c>
      <c r="P448" t="n">
        <v>0</v>
      </c>
      <c r="Q448" t="n">
        <v>0</v>
      </c>
      <c r="R448" s="2" t="inlineStr"/>
    </row>
    <row r="449" ht="15" customHeight="1">
      <c r="A449" t="inlineStr">
        <is>
          <t>A 54445-2025</t>
        </is>
      </c>
      <c r="B449" s="1" t="n">
        <v>45965.51081018519</v>
      </c>
      <c r="C449" s="1" t="n">
        <v>46032</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62189-2025</t>
        </is>
      </c>
      <c r="B450" s="1" t="n">
        <v>46006.54729166667</v>
      </c>
      <c r="C450" s="1" t="n">
        <v>46032</v>
      </c>
      <c r="D450" t="inlineStr">
        <is>
          <t>JÄMTLANDS LÄN</t>
        </is>
      </c>
      <c r="E450" t="inlineStr">
        <is>
          <t>ÅRE</t>
        </is>
      </c>
      <c r="G450" t="n">
        <v>0.6</v>
      </c>
      <c r="H450" t="n">
        <v>0</v>
      </c>
      <c r="I450" t="n">
        <v>0</v>
      </c>
      <c r="J450" t="n">
        <v>0</v>
      </c>
      <c r="K450" t="n">
        <v>0</v>
      </c>
      <c r="L450" t="n">
        <v>0</v>
      </c>
      <c r="M450" t="n">
        <v>0</v>
      </c>
      <c r="N450" t="n">
        <v>0</v>
      </c>
      <c r="O450" t="n">
        <v>0</v>
      </c>
      <c r="P450" t="n">
        <v>0</v>
      </c>
      <c r="Q450" t="n">
        <v>0</v>
      </c>
      <c r="R450" s="2" t="inlineStr"/>
    </row>
    <row r="451" ht="15" customHeight="1">
      <c r="A451" t="inlineStr">
        <is>
          <t>A 54580-2025</t>
        </is>
      </c>
      <c r="B451" s="1" t="n">
        <v>45965.70755787037</v>
      </c>
      <c r="C451" s="1" t="n">
        <v>46032</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2374-2023</t>
        </is>
      </c>
      <c r="B452" s="1" t="n">
        <v>44942.69005787037</v>
      </c>
      <c r="C452" s="1" t="n">
        <v>46032</v>
      </c>
      <c r="D452" t="inlineStr">
        <is>
          <t>JÄMTLANDS LÄN</t>
        </is>
      </c>
      <c r="E452" t="inlineStr">
        <is>
          <t>ÅRE</t>
        </is>
      </c>
      <c r="G452" t="n">
        <v>0.6</v>
      </c>
      <c r="H452" t="n">
        <v>0</v>
      </c>
      <c r="I452" t="n">
        <v>0</v>
      </c>
      <c r="J452" t="n">
        <v>0</v>
      </c>
      <c r="K452" t="n">
        <v>0</v>
      </c>
      <c r="L452" t="n">
        <v>0</v>
      </c>
      <c r="M452" t="n">
        <v>0</v>
      </c>
      <c r="N452" t="n">
        <v>0</v>
      </c>
      <c r="O452" t="n">
        <v>0</v>
      </c>
      <c r="P452" t="n">
        <v>0</v>
      </c>
      <c r="Q452" t="n">
        <v>0</v>
      </c>
      <c r="R452" s="2" t="inlineStr"/>
    </row>
    <row r="453" ht="15" customHeight="1">
      <c r="A453" t="inlineStr">
        <is>
          <t>A 54211-2025</t>
        </is>
      </c>
      <c r="B453" s="1" t="n">
        <v>45964.59214120371</v>
      </c>
      <c r="C453" s="1" t="n">
        <v>46032</v>
      </c>
      <c r="D453" t="inlineStr">
        <is>
          <t>JÄMTLANDS LÄN</t>
        </is>
      </c>
      <c r="E453" t="inlineStr">
        <is>
          <t>ÅRE</t>
        </is>
      </c>
      <c r="G453" t="n">
        <v>4.3</v>
      </c>
      <c r="H453" t="n">
        <v>0</v>
      </c>
      <c r="I453" t="n">
        <v>0</v>
      </c>
      <c r="J453" t="n">
        <v>0</v>
      </c>
      <c r="K453" t="n">
        <v>0</v>
      </c>
      <c r="L453" t="n">
        <v>0</v>
      </c>
      <c r="M453" t="n">
        <v>0</v>
      </c>
      <c r="N453" t="n">
        <v>0</v>
      </c>
      <c r="O453" t="n">
        <v>0</v>
      </c>
      <c r="P453" t="n">
        <v>0</v>
      </c>
      <c r="Q453" t="n">
        <v>0</v>
      </c>
      <c r="R453" s="2" t="inlineStr"/>
    </row>
    <row r="454" ht="15" customHeight="1">
      <c r="A454" t="inlineStr">
        <is>
          <t>A 62056-2025</t>
        </is>
      </c>
      <c r="B454" s="1" t="n">
        <v>46006</v>
      </c>
      <c r="C454" s="1" t="n">
        <v>46032</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62521-2025</t>
        </is>
      </c>
      <c r="B455" s="1" t="n">
        <v>46007.61506944444</v>
      </c>
      <c r="C455" s="1" t="n">
        <v>46032</v>
      </c>
      <c r="D455" t="inlineStr">
        <is>
          <t>JÄMTLANDS LÄN</t>
        </is>
      </c>
      <c r="E455" t="inlineStr">
        <is>
          <t>ÅRE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54823-2025</t>
        </is>
      </c>
      <c r="B456" s="1" t="n">
        <v>45966.66451388889</v>
      </c>
      <c r="C456" s="1" t="n">
        <v>46032</v>
      </c>
      <c r="D456" t="inlineStr">
        <is>
          <t>JÄMTLANDS LÄN</t>
        </is>
      </c>
      <c r="E456" t="inlineStr">
        <is>
          <t>ÅRE</t>
        </is>
      </c>
      <c r="G456" t="n">
        <v>5.2</v>
      </c>
      <c r="H456" t="n">
        <v>0</v>
      </c>
      <c r="I456" t="n">
        <v>0</v>
      </c>
      <c r="J456" t="n">
        <v>0</v>
      </c>
      <c r="K456" t="n">
        <v>0</v>
      </c>
      <c r="L456" t="n">
        <v>0</v>
      </c>
      <c r="M456" t="n">
        <v>0</v>
      </c>
      <c r="N456" t="n">
        <v>0</v>
      </c>
      <c r="O456" t="n">
        <v>0</v>
      </c>
      <c r="P456" t="n">
        <v>0</v>
      </c>
      <c r="Q456" t="n">
        <v>0</v>
      </c>
      <c r="R456" s="2" t="inlineStr"/>
    </row>
    <row r="457" ht="15" customHeight="1">
      <c r="A457" t="inlineStr">
        <is>
          <t>A 3154-2023</t>
        </is>
      </c>
      <c r="B457" s="1" t="n">
        <v>44946.56012731481</v>
      </c>
      <c r="C457" s="1" t="n">
        <v>46032</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62621-2025</t>
        </is>
      </c>
      <c r="B458" s="1" t="n">
        <v>46008.34428240741</v>
      </c>
      <c r="C458" s="1" t="n">
        <v>46032</v>
      </c>
      <c r="D458" t="inlineStr">
        <is>
          <t>JÄMTLANDS LÄN</t>
        </is>
      </c>
      <c r="E458" t="inlineStr">
        <is>
          <t>ÅRE</t>
        </is>
      </c>
      <c r="G458" t="n">
        <v>7.4</v>
      </c>
      <c r="H458" t="n">
        <v>0</v>
      </c>
      <c r="I458" t="n">
        <v>0</v>
      </c>
      <c r="J458" t="n">
        <v>0</v>
      </c>
      <c r="K458" t="n">
        <v>0</v>
      </c>
      <c r="L458" t="n">
        <v>0</v>
      </c>
      <c r="M458" t="n">
        <v>0</v>
      </c>
      <c r="N458" t="n">
        <v>0</v>
      </c>
      <c r="O458" t="n">
        <v>0</v>
      </c>
      <c r="P458" t="n">
        <v>0</v>
      </c>
      <c r="Q458" t="n">
        <v>0</v>
      </c>
      <c r="R458" s="2" t="inlineStr"/>
    </row>
    <row r="459" ht="15" customHeight="1">
      <c r="A459" t="inlineStr">
        <is>
          <t>A 53899-2023</t>
        </is>
      </c>
      <c r="B459" s="1" t="n">
        <v>45231.54160879629</v>
      </c>
      <c r="C459" s="1" t="n">
        <v>46032</v>
      </c>
      <c r="D459" t="inlineStr">
        <is>
          <t>JÄMTLANDS LÄN</t>
        </is>
      </c>
      <c r="E459" t="inlineStr">
        <is>
          <t>ÅRE</t>
        </is>
      </c>
      <c r="G459" t="n">
        <v>20.4</v>
      </c>
      <c r="H459" t="n">
        <v>0</v>
      </c>
      <c r="I459" t="n">
        <v>0</v>
      </c>
      <c r="J459" t="n">
        <v>0</v>
      </c>
      <c r="K459" t="n">
        <v>0</v>
      </c>
      <c r="L459" t="n">
        <v>0</v>
      </c>
      <c r="M459" t="n">
        <v>0</v>
      </c>
      <c r="N459" t="n">
        <v>0</v>
      </c>
      <c r="O459" t="n">
        <v>0</v>
      </c>
      <c r="P459" t="n">
        <v>0</v>
      </c>
      <c r="Q459" t="n">
        <v>0</v>
      </c>
      <c r="R459" s="2" t="inlineStr"/>
    </row>
    <row r="460" ht="15" customHeight="1">
      <c r="A460" t="inlineStr">
        <is>
          <t>A 63020-2025</t>
        </is>
      </c>
      <c r="B460" s="1" t="n">
        <v>46009.59424768519</v>
      </c>
      <c r="C460" s="1" t="n">
        <v>46032</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4181-2025</t>
        </is>
      </c>
      <c r="B461" s="1" t="n">
        <v>45685.44300925926</v>
      </c>
      <c r="C461" s="1" t="n">
        <v>46032</v>
      </c>
      <c r="D461" t="inlineStr">
        <is>
          <t>JÄMTLANDS LÄN</t>
        </is>
      </c>
      <c r="E461" t="inlineStr">
        <is>
          <t>ÅRE</t>
        </is>
      </c>
      <c r="F461" t="inlineStr">
        <is>
          <t>Övriga Aktiebolag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25926-2023</t>
        </is>
      </c>
      <c r="B462" s="1" t="n">
        <v>45085</v>
      </c>
      <c r="C462" s="1" t="n">
        <v>46032</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12168-2023</t>
        </is>
      </c>
      <c r="B463" s="1" t="n">
        <v>44998</v>
      </c>
      <c r="C463" s="1" t="n">
        <v>46032</v>
      </c>
      <c r="D463" t="inlineStr">
        <is>
          <t>JÄMTLANDS LÄN</t>
        </is>
      </c>
      <c r="E463" t="inlineStr">
        <is>
          <t>ÅRE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12173-2023</t>
        </is>
      </c>
      <c r="B464" s="1" t="n">
        <v>44998</v>
      </c>
      <c r="C464" s="1" t="n">
        <v>46032</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12179-2023</t>
        </is>
      </c>
      <c r="B465" s="1" t="n">
        <v>44998</v>
      </c>
      <c r="C465" s="1" t="n">
        <v>46032</v>
      </c>
      <c r="D465" t="inlineStr">
        <is>
          <t>JÄMTLANDS LÄN</t>
        </is>
      </c>
      <c r="E465" t="inlineStr">
        <is>
          <t>ÅRE</t>
        </is>
      </c>
      <c r="G465" t="n">
        <v>8.5</v>
      </c>
      <c r="H465" t="n">
        <v>0</v>
      </c>
      <c r="I465" t="n">
        <v>0</v>
      </c>
      <c r="J465" t="n">
        <v>0</v>
      </c>
      <c r="K465" t="n">
        <v>0</v>
      </c>
      <c r="L465" t="n">
        <v>0</v>
      </c>
      <c r="M465" t="n">
        <v>0</v>
      </c>
      <c r="N465" t="n">
        <v>0</v>
      </c>
      <c r="O465" t="n">
        <v>0</v>
      </c>
      <c r="P465" t="n">
        <v>0</v>
      </c>
      <c r="Q465" t="n">
        <v>0</v>
      </c>
      <c r="R465" s="2" t="inlineStr"/>
    </row>
    <row r="466" ht="15" customHeight="1">
      <c r="A466" t="inlineStr">
        <is>
          <t>A 12287-2023</t>
        </is>
      </c>
      <c r="B466" s="1" t="n">
        <v>44998.72736111111</v>
      </c>
      <c r="C466" s="1" t="n">
        <v>46032</v>
      </c>
      <c r="D466" t="inlineStr">
        <is>
          <t>JÄMTLANDS LÄN</t>
        </is>
      </c>
      <c r="E466" t="inlineStr">
        <is>
          <t>ÅRE</t>
        </is>
      </c>
      <c r="G466" t="n">
        <v>3.1</v>
      </c>
      <c r="H466" t="n">
        <v>0</v>
      </c>
      <c r="I466" t="n">
        <v>0</v>
      </c>
      <c r="J466" t="n">
        <v>0</v>
      </c>
      <c r="K466" t="n">
        <v>0</v>
      </c>
      <c r="L466" t="n">
        <v>0</v>
      </c>
      <c r="M466" t="n">
        <v>0</v>
      </c>
      <c r="N466" t="n">
        <v>0</v>
      </c>
      <c r="O466" t="n">
        <v>0</v>
      </c>
      <c r="P466" t="n">
        <v>0</v>
      </c>
      <c r="Q466" t="n">
        <v>0</v>
      </c>
      <c r="R466" s="2" t="inlineStr"/>
    </row>
    <row r="467" ht="15" customHeight="1">
      <c r="A467" t="inlineStr">
        <is>
          <t>A 54937-2025</t>
        </is>
      </c>
      <c r="B467" s="1" t="n">
        <v>45967.43244212963</v>
      </c>
      <c r="C467" s="1" t="n">
        <v>46032</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54838-2025</t>
        </is>
      </c>
      <c r="B468" s="1" t="n">
        <v>45966.68252314815</v>
      </c>
      <c r="C468" s="1" t="n">
        <v>46032</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55413-2025</t>
        </is>
      </c>
      <c r="B469" s="1" t="n">
        <v>45971.46915509259</v>
      </c>
      <c r="C469" s="1" t="n">
        <v>46032</v>
      </c>
      <c r="D469" t="inlineStr">
        <is>
          <t>JÄMTLANDS LÄN</t>
        </is>
      </c>
      <c r="E469" t="inlineStr">
        <is>
          <t>ÅRE</t>
        </is>
      </c>
      <c r="G469" t="n">
        <v>7.2</v>
      </c>
      <c r="H469" t="n">
        <v>0</v>
      </c>
      <c r="I469" t="n">
        <v>0</v>
      </c>
      <c r="J469" t="n">
        <v>0</v>
      </c>
      <c r="K469" t="n">
        <v>0</v>
      </c>
      <c r="L469" t="n">
        <v>0</v>
      </c>
      <c r="M469" t="n">
        <v>0</v>
      </c>
      <c r="N469" t="n">
        <v>0</v>
      </c>
      <c r="O469" t="n">
        <v>0</v>
      </c>
      <c r="P469" t="n">
        <v>0</v>
      </c>
      <c r="Q469" t="n">
        <v>0</v>
      </c>
      <c r="R469" s="2" t="inlineStr"/>
    </row>
    <row r="470" ht="15" customHeight="1">
      <c r="A470" t="inlineStr">
        <is>
          <t>A 5611-2025</t>
        </is>
      </c>
      <c r="B470" s="1" t="n">
        <v>45693.60480324074</v>
      </c>
      <c r="C470" s="1" t="n">
        <v>46032</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55379-2025</t>
        </is>
      </c>
      <c r="B471" s="1" t="n">
        <v>45971.42776620371</v>
      </c>
      <c r="C471" s="1" t="n">
        <v>46032</v>
      </c>
      <c r="D471" t="inlineStr">
        <is>
          <t>JÄMTLANDS LÄN</t>
        </is>
      </c>
      <c r="E471" t="inlineStr">
        <is>
          <t>ÅRE</t>
        </is>
      </c>
      <c r="G471" t="n">
        <v>4.6</v>
      </c>
      <c r="H471" t="n">
        <v>0</v>
      </c>
      <c r="I471" t="n">
        <v>0</v>
      </c>
      <c r="J471" t="n">
        <v>0</v>
      </c>
      <c r="K471" t="n">
        <v>0</v>
      </c>
      <c r="L471" t="n">
        <v>0</v>
      </c>
      <c r="M471" t="n">
        <v>0</v>
      </c>
      <c r="N471" t="n">
        <v>0</v>
      </c>
      <c r="O471" t="n">
        <v>0</v>
      </c>
      <c r="P471" t="n">
        <v>0</v>
      </c>
      <c r="Q471" t="n">
        <v>0</v>
      </c>
      <c r="R471" s="2" t="inlineStr"/>
    </row>
    <row r="472" ht="15" customHeight="1">
      <c r="A472" t="inlineStr">
        <is>
          <t>A 56976-2023</t>
        </is>
      </c>
      <c r="B472" s="1" t="n">
        <v>45244.64202546296</v>
      </c>
      <c r="C472" s="1" t="n">
        <v>46032</v>
      </c>
      <c r="D472" t="inlineStr">
        <is>
          <t>JÄMTLANDS LÄN</t>
        </is>
      </c>
      <c r="E472" t="inlineStr">
        <is>
          <t>ÅRE</t>
        </is>
      </c>
      <c r="F472" t="inlineStr">
        <is>
          <t>Övriga Aktiebolag</t>
        </is>
      </c>
      <c r="G472" t="n">
        <v>4.9</v>
      </c>
      <c r="H472" t="n">
        <v>0</v>
      </c>
      <c r="I472" t="n">
        <v>0</v>
      </c>
      <c r="J472" t="n">
        <v>0</v>
      </c>
      <c r="K472" t="n">
        <v>0</v>
      </c>
      <c r="L472" t="n">
        <v>0</v>
      </c>
      <c r="M472" t="n">
        <v>0</v>
      </c>
      <c r="N472" t="n">
        <v>0</v>
      </c>
      <c r="O472" t="n">
        <v>0</v>
      </c>
      <c r="P472" t="n">
        <v>0</v>
      </c>
      <c r="Q472" t="n">
        <v>0</v>
      </c>
      <c r="R472" s="2" t="inlineStr"/>
    </row>
    <row r="473" ht="15" customHeight="1">
      <c r="A473" t="inlineStr">
        <is>
          <t>A 20170-2025</t>
        </is>
      </c>
      <c r="B473" s="1" t="n">
        <v>45772.57789351852</v>
      </c>
      <c r="C473" s="1" t="n">
        <v>46032</v>
      </c>
      <c r="D473" t="inlineStr">
        <is>
          <t>JÄMTLANDS LÄN</t>
        </is>
      </c>
      <c r="E473" t="inlineStr">
        <is>
          <t>ÅRE</t>
        </is>
      </c>
      <c r="G473" t="n">
        <v>0.1</v>
      </c>
      <c r="H473" t="n">
        <v>0</v>
      </c>
      <c r="I473" t="n">
        <v>0</v>
      </c>
      <c r="J473" t="n">
        <v>0</v>
      </c>
      <c r="K473" t="n">
        <v>0</v>
      </c>
      <c r="L473" t="n">
        <v>0</v>
      </c>
      <c r="M473" t="n">
        <v>0</v>
      </c>
      <c r="N473" t="n">
        <v>0</v>
      </c>
      <c r="O473" t="n">
        <v>0</v>
      </c>
      <c r="P473" t="n">
        <v>0</v>
      </c>
      <c r="Q473" t="n">
        <v>0</v>
      </c>
      <c r="R473" s="2" t="inlineStr"/>
    </row>
    <row r="474" ht="15" customHeight="1">
      <c r="A474" t="inlineStr">
        <is>
          <t>A 63225-2025</t>
        </is>
      </c>
      <c r="B474" s="1" t="n">
        <v>46010.49605324074</v>
      </c>
      <c r="C474" s="1" t="n">
        <v>46032</v>
      </c>
      <c r="D474" t="inlineStr">
        <is>
          <t>JÄMTLANDS LÄN</t>
        </is>
      </c>
      <c r="E474" t="inlineStr">
        <is>
          <t>ÅRE</t>
        </is>
      </c>
      <c r="F474" t="inlineStr">
        <is>
          <t>Övriga Aktiebolag</t>
        </is>
      </c>
      <c r="G474" t="n">
        <v>12.1</v>
      </c>
      <c r="H474" t="n">
        <v>0</v>
      </c>
      <c r="I474" t="n">
        <v>0</v>
      </c>
      <c r="J474" t="n">
        <v>0</v>
      </c>
      <c r="K474" t="n">
        <v>0</v>
      </c>
      <c r="L474" t="n">
        <v>0</v>
      </c>
      <c r="M474" t="n">
        <v>0</v>
      </c>
      <c r="N474" t="n">
        <v>0</v>
      </c>
      <c r="O474" t="n">
        <v>0</v>
      </c>
      <c r="P474" t="n">
        <v>0</v>
      </c>
      <c r="Q474" t="n">
        <v>0</v>
      </c>
      <c r="R474" s="2" t="inlineStr"/>
    </row>
    <row r="475" ht="15" customHeight="1">
      <c r="A475" t="inlineStr">
        <is>
          <t>A 62520-2025</t>
        </is>
      </c>
      <c r="B475" s="1" t="n">
        <v>46007.61498842593</v>
      </c>
      <c r="C475" s="1" t="n">
        <v>46032</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63363-2025</t>
        </is>
      </c>
      <c r="B476" s="1" t="n">
        <v>46010.68505787037</v>
      </c>
      <c r="C476" s="1" t="n">
        <v>46032</v>
      </c>
      <c r="D476" t="inlineStr">
        <is>
          <t>JÄMTLANDS LÄN</t>
        </is>
      </c>
      <c r="E476" t="inlineStr">
        <is>
          <t>ÅRE</t>
        </is>
      </c>
      <c r="F476" t="inlineStr">
        <is>
          <t>Övriga Aktiebolag</t>
        </is>
      </c>
      <c r="G476" t="n">
        <v>28.4</v>
      </c>
      <c r="H476" t="n">
        <v>0</v>
      </c>
      <c r="I476" t="n">
        <v>0</v>
      </c>
      <c r="J476" t="n">
        <v>0</v>
      </c>
      <c r="K476" t="n">
        <v>0</v>
      </c>
      <c r="L476" t="n">
        <v>0</v>
      </c>
      <c r="M476" t="n">
        <v>0</v>
      </c>
      <c r="N476" t="n">
        <v>0</v>
      </c>
      <c r="O476" t="n">
        <v>0</v>
      </c>
      <c r="P476" t="n">
        <v>0</v>
      </c>
      <c r="Q476" t="n">
        <v>0</v>
      </c>
      <c r="R476" s="2" t="inlineStr"/>
    </row>
    <row r="477" ht="15" customHeight="1">
      <c r="A477" t="inlineStr">
        <is>
          <t>A 55389-2025</t>
        </is>
      </c>
      <c r="B477" s="1" t="n">
        <v>45971.4482175926</v>
      </c>
      <c r="C477" s="1" t="n">
        <v>46032</v>
      </c>
      <c r="D477" t="inlineStr">
        <is>
          <t>JÄMTLANDS LÄN</t>
        </is>
      </c>
      <c r="E477" t="inlineStr">
        <is>
          <t>ÅRE</t>
        </is>
      </c>
      <c r="G477" t="n">
        <v>2</v>
      </c>
      <c r="H477" t="n">
        <v>0</v>
      </c>
      <c r="I477" t="n">
        <v>0</v>
      </c>
      <c r="J477" t="n">
        <v>0</v>
      </c>
      <c r="K477" t="n">
        <v>0</v>
      </c>
      <c r="L477" t="n">
        <v>0</v>
      </c>
      <c r="M477" t="n">
        <v>0</v>
      </c>
      <c r="N477" t="n">
        <v>0</v>
      </c>
      <c r="O477" t="n">
        <v>0</v>
      </c>
      <c r="P477" t="n">
        <v>0</v>
      </c>
      <c r="Q477" t="n">
        <v>0</v>
      </c>
      <c r="R477" s="2" t="inlineStr"/>
    </row>
    <row r="478" ht="15" customHeight="1">
      <c r="A478" t="inlineStr">
        <is>
          <t>A 63463-2025</t>
        </is>
      </c>
      <c r="B478" s="1" t="n">
        <v>46013.42751157407</v>
      </c>
      <c r="C478" s="1" t="n">
        <v>46032</v>
      </c>
      <c r="D478" t="inlineStr">
        <is>
          <t>JÄMTLANDS LÄN</t>
        </is>
      </c>
      <c r="E478" t="inlineStr">
        <is>
          <t>ÅRE</t>
        </is>
      </c>
      <c r="G478" t="n">
        <v>17.5</v>
      </c>
      <c r="H478" t="n">
        <v>0</v>
      </c>
      <c r="I478" t="n">
        <v>0</v>
      </c>
      <c r="J478" t="n">
        <v>0</v>
      </c>
      <c r="K478" t="n">
        <v>0</v>
      </c>
      <c r="L478" t="n">
        <v>0</v>
      </c>
      <c r="M478" t="n">
        <v>0</v>
      </c>
      <c r="N478" t="n">
        <v>0</v>
      </c>
      <c r="O478" t="n">
        <v>0</v>
      </c>
      <c r="P478" t="n">
        <v>0</v>
      </c>
      <c r="Q478" t="n">
        <v>0</v>
      </c>
      <c r="R478" s="2" t="inlineStr"/>
    </row>
    <row r="479" ht="15" customHeight="1">
      <c r="A479" t="inlineStr">
        <is>
          <t>A 55033-2024</t>
        </is>
      </c>
      <c r="B479" s="1" t="n">
        <v>45621.38193287037</v>
      </c>
      <c r="C479" s="1" t="n">
        <v>46032</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55411-2025</t>
        </is>
      </c>
      <c r="B480" s="1" t="n">
        <v>45971.46741898148</v>
      </c>
      <c r="C480" s="1" t="n">
        <v>46032</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55416-2025</t>
        </is>
      </c>
      <c r="B481" s="1" t="n">
        <v>45971.46951388889</v>
      </c>
      <c r="C481" s="1" t="n">
        <v>46032</v>
      </c>
      <c r="D481" t="inlineStr">
        <is>
          <t>JÄMTLANDS LÄN</t>
        </is>
      </c>
      <c r="E481" t="inlineStr">
        <is>
          <t>ÅRE</t>
        </is>
      </c>
      <c r="G481" t="n">
        <v>6.3</v>
      </c>
      <c r="H481" t="n">
        <v>0</v>
      </c>
      <c r="I481" t="n">
        <v>0</v>
      </c>
      <c r="J481" t="n">
        <v>0</v>
      </c>
      <c r="K481" t="n">
        <v>0</v>
      </c>
      <c r="L481" t="n">
        <v>0</v>
      </c>
      <c r="M481" t="n">
        <v>0</v>
      </c>
      <c r="N481" t="n">
        <v>0</v>
      </c>
      <c r="O481" t="n">
        <v>0</v>
      </c>
      <c r="P481" t="n">
        <v>0</v>
      </c>
      <c r="Q481" t="n">
        <v>0</v>
      </c>
      <c r="R481" s="2" t="inlineStr"/>
    </row>
    <row r="482" ht="15" customHeight="1">
      <c r="A482" t="inlineStr">
        <is>
          <t>A 911-2022</t>
        </is>
      </c>
      <c r="B482" s="1" t="n">
        <v>44570</v>
      </c>
      <c r="C482" s="1" t="n">
        <v>46032</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17576-2024</t>
        </is>
      </c>
      <c r="B483" s="1" t="n">
        <v>45415</v>
      </c>
      <c r="C483" s="1" t="n">
        <v>46032</v>
      </c>
      <c r="D483" t="inlineStr">
        <is>
          <t>JÄMTLANDS LÄN</t>
        </is>
      </c>
      <c r="E483" t="inlineStr">
        <is>
          <t>ÅRE</t>
        </is>
      </c>
      <c r="G483" t="n">
        <v>0.1</v>
      </c>
      <c r="H483" t="n">
        <v>0</v>
      </c>
      <c r="I483" t="n">
        <v>0</v>
      </c>
      <c r="J483" t="n">
        <v>0</v>
      </c>
      <c r="K483" t="n">
        <v>0</v>
      </c>
      <c r="L483" t="n">
        <v>0</v>
      </c>
      <c r="M483" t="n">
        <v>0</v>
      </c>
      <c r="N483" t="n">
        <v>0</v>
      </c>
      <c r="O483" t="n">
        <v>0</v>
      </c>
      <c r="P483" t="n">
        <v>0</v>
      </c>
      <c r="Q483" t="n">
        <v>0</v>
      </c>
      <c r="R483" s="2" t="inlineStr"/>
    </row>
    <row r="484" ht="15" customHeight="1">
      <c r="A484" t="inlineStr">
        <is>
          <t>A 56091-2025</t>
        </is>
      </c>
      <c r="B484" s="1" t="n">
        <v>45973.67434027778</v>
      </c>
      <c r="C484" s="1" t="n">
        <v>46032</v>
      </c>
      <c r="D484" t="inlineStr">
        <is>
          <t>JÄMTLANDS LÄN</t>
        </is>
      </c>
      <c r="E484" t="inlineStr">
        <is>
          <t>ÅRE</t>
        </is>
      </c>
      <c r="G484" t="n">
        <v>8</v>
      </c>
      <c r="H484" t="n">
        <v>0</v>
      </c>
      <c r="I484" t="n">
        <v>0</v>
      </c>
      <c r="J484" t="n">
        <v>0</v>
      </c>
      <c r="K484" t="n">
        <v>0</v>
      </c>
      <c r="L484" t="n">
        <v>0</v>
      </c>
      <c r="M484" t="n">
        <v>0</v>
      </c>
      <c r="N484" t="n">
        <v>0</v>
      </c>
      <c r="O484" t="n">
        <v>0</v>
      </c>
      <c r="P484" t="n">
        <v>0</v>
      </c>
      <c r="Q484" t="n">
        <v>0</v>
      </c>
      <c r="R484" s="2" t="inlineStr"/>
    </row>
    <row r="485" ht="15" customHeight="1">
      <c r="A485" t="inlineStr">
        <is>
          <t>A 56495-2025</t>
        </is>
      </c>
      <c r="B485" s="1" t="n">
        <v>45975.42577546297</v>
      </c>
      <c r="C485" s="1" t="n">
        <v>46032</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8217-2021</t>
        </is>
      </c>
      <c r="B486" s="1" t="n">
        <v>44244</v>
      </c>
      <c r="C486" s="1" t="n">
        <v>46032</v>
      </c>
      <c r="D486" t="inlineStr">
        <is>
          <t>JÄMTLANDS LÄN</t>
        </is>
      </c>
      <c r="E486" t="inlineStr">
        <is>
          <t>ÅRE</t>
        </is>
      </c>
      <c r="G486" t="n">
        <v>51.8</v>
      </c>
      <c r="H486" t="n">
        <v>0</v>
      </c>
      <c r="I486" t="n">
        <v>0</v>
      </c>
      <c r="J486" t="n">
        <v>0</v>
      </c>
      <c r="K486" t="n">
        <v>0</v>
      </c>
      <c r="L486" t="n">
        <v>0</v>
      </c>
      <c r="M486" t="n">
        <v>0</v>
      </c>
      <c r="N486" t="n">
        <v>0</v>
      </c>
      <c r="O486" t="n">
        <v>0</v>
      </c>
      <c r="P486" t="n">
        <v>0</v>
      </c>
      <c r="Q486" t="n">
        <v>0</v>
      </c>
      <c r="R486" s="2" t="inlineStr"/>
    </row>
    <row r="487" ht="15" customHeight="1">
      <c r="A487" t="inlineStr">
        <is>
          <t>A 45105-2024</t>
        </is>
      </c>
      <c r="B487" s="1" t="n">
        <v>45575.5909837963</v>
      </c>
      <c r="C487" s="1" t="n">
        <v>46032</v>
      </c>
      <c r="D487" t="inlineStr">
        <is>
          <t>JÄMTLANDS LÄN</t>
        </is>
      </c>
      <c r="E487" t="inlineStr">
        <is>
          <t>ÅRE</t>
        </is>
      </c>
      <c r="F487" t="inlineStr">
        <is>
          <t>Övriga Aktiebolag</t>
        </is>
      </c>
      <c r="G487" t="n">
        <v>5</v>
      </c>
      <c r="H487" t="n">
        <v>0</v>
      </c>
      <c r="I487" t="n">
        <v>0</v>
      </c>
      <c r="J487" t="n">
        <v>0</v>
      </c>
      <c r="K487" t="n">
        <v>0</v>
      </c>
      <c r="L487" t="n">
        <v>0</v>
      </c>
      <c r="M487" t="n">
        <v>0</v>
      </c>
      <c r="N487" t="n">
        <v>0</v>
      </c>
      <c r="O487" t="n">
        <v>0</v>
      </c>
      <c r="P487" t="n">
        <v>0</v>
      </c>
      <c r="Q487" t="n">
        <v>0</v>
      </c>
      <c r="R487" s="2" t="inlineStr"/>
    </row>
    <row r="488" ht="15" customHeight="1">
      <c r="A488" t="inlineStr">
        <is>
          <t>A 34231-2023</t>
        </is>
      </c>
      <c r="B488" s="1" t="n">
        <v>45127</v>
      </c>
      <c r="C488" s="1" t="n">
        <v>46032</v>
      </c>
      <c r="D488" t="inlineStr">
        <is>
          <t>JÄMTLANDS LÄN</t>
        </is>
      </c>
      <c r="E488" t="inlineStr">
        <is>
          <t>ÅRE</t>
        </is>
      </c>
      <c r="G488" t="n">
        <v>18.3</v>
      </c>
      <c r="H488" t="n">
        <v>0</v>
      </c>
      <c r="I488" t="n">
        <v>0</v>
      </c>
      <c r="J488" t="n">
        <v>0</v>
      </c>
      <c r="K488" t="n">
        <v>0</v>
      </c>
      <c r="L488" t="n">
        <v>0</v>
      </c>
      <c r="M488" t="n">
        <v>0</v>
      </c>
      <c r="N488" t="n">
        <v>0</v>
      </c>
      <c r="O488" t="n">
        <v>0</v>
      </c>
      <c r="P488" t="n">
        <v>0</v>
      </c>
      <c r="Q488" t="n">
        <v>0</v>
      </c>
      <c r="R488" s="2" t="inlineStr"/>
    </row>
    <row r="489" ht="15" customHeight="1">
      <c r="A489" t="inlineStr">
        <is>
          <t>A 56601-2025</t>
        </is>
      </c>
      <c r="B489" s="1" t="n">
        <v>45975.57423611111</v>
      </c>
      <c r="C489" s="1" t="n">
        <v>46032</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56204-2025</t>
        </is>
      </c>
      <c r="B490" s="1" t="n">
        <v>45974.46935185185</v>
      </c>
      <c r="C490" s="1" t="n">
        <v>46032</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56563-2025</t>
        </is>
      </c>
      <c r="B491" s="1" t="n">
        <v>45975.49930555555</v>
      </c>
      <c r="C491" s="1" t="n">
        <v>46032</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10567-2025</t>
        </is>
      </c>
      <c r="B492" s="1" t="n">
        <v>45714</v>
      </c>
      <c r="C492" s="1" t="n">
        <v>46032</v>
      </c>
      <c r="D492" t="inlineStr">
        <is>
          <t>JÄMTLANDS LÄN</t>
        </is>
      </c>
      <c r="E492" t="inlineStr">
        <is>
          <t>ÅRE</t>
        </is>
      </c>
      <c r="G492" t="n">
        <v>3.6</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46032</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56576-2025</t>
        </is>
      </c>
      <c r="B494" s="1" t="n">
        <v>45975.52893518518</v>
      </c>
      <c r="C494" s="1" t="n">
        <v>46032</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59968-2023</t>
        </is>
      </c>
      <c r="B495" s="1" t="n">
        <v>45254</v>
      </c>
      <c r="C495" s="1" t="n">
        <v>46032</v>
      </c>
      <c r="D495" t="inlineStr">
        <is>
          <t>JÄMTLANDS LÄN</t>
        </is>
      </c>
      <c r="E495" t="inlineStr">
        <is>
          <t>ÅRE</t>
        </is>
      </c>
      <c r="G495" t="n">
        <v>1.7</v>
      </c>
      <c r="H495" t="n">
        <v>0</v>
      </c>
      <c r="I495" t="n">
        <v>0</v>
      </c>
      <c r="J495" t="n">
        <v>0</v>
      </c>
      <c r="K495" t="n">
        <v>0</v>
      </c>
      <c r="L495" t="n">
        <v>0</v>
      </c>
      <c r="M495" t="n">
        <v>0</v>
      </c>
      <c r="N495" t="n">
        <v>0</v>
      </c>
      <c r="O495" t="n">
        <v>0</v>
      </c>
      <c r="P495" t="n">
        <v>0</v>
      </c>
      <c r="Q495" t="n">
        <v>0</v>
      </c>
      <c r="R495" s="2" t="inlineStr"/>
    </row>
    <row r="496" ht="15" customHeight="1">
      <c r="A496" t="inlineStr">
        <is>
          <t>A 41266-2024</t>
        </is>
      </c>
      <c r="B496" s="1" t="n">
        <v>45559</v>
      </c>
      <c r="C496" s="1" t="n">
        <v>46032</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63860-2025</t>
        </is>
      </c>
      <c r="B497" s="1" t="n">
        <v>46020.48969907407</v>
      </c>
      <c r="C497" s="1" t="n">
        <v>46032</v>
      </c>
      <c r="D497" t="inlineStr">
        <is>
          <t>JÄMTLANDS LÄN</t>
        </is>
      </c>
      <c r="E497" t="inlineStr">
        <is>
          <t>ÅRE</t>
        </is>
      </c>
      <c r="G497" t="n">
        <v>4.1</v>
      </c>
      <c r="H497" t="n">
        <v>0</v>
      </c>
      <c r="I497" t="n">
        <v>0</v>
      </c>
      <c r="J497" t="n">
        <v>0</v>
      </c>
      <c r="K497" t="n">
        <v>0</v>
      </c>
      <c r="L497" t="n">
        <v>0</v>
      </c>
      <c r="M497" t="n">
        <v>0</v>
      </c>
      <c r="N497" t="n">
        <v>0</v>
      </c>
      <c r="O497" t="n">
        <v>0</v>
      </c>
      <c r="P497" t="n">
        <v>0</v>
      </c>
      <c r="Q497" t="n">
        <v>0</v>
      </c>
      <c r="R497" s="2" t="inlineStr"/>
    </row>
    <row r="498" ht="15" customHeight="1">
      <c r="A498" t="inlineStr">
        <is>
          <t>A 57285-2025</t>
        </is>
      </c>
      <c r="B498" s="1" t="n">
        <v>45979.73390046296</v>
      </c>
      <c r="C498" s="1" t="n">
        <v>46032</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12227-2023</t>
        </is>
      </c>
      <c r="B499" s="1" t="n">
        <v>44998.60261574074</v>
      </c>
      <c r="C499" s="1" t="n">
        <v>46032</v>
      </c>
      <c r="D499" t="inlineStr">
        <is>
          <t>JÄMTLANDS LÄN</t>
        </is>
      </c>
      <c r="E499" t="inlineStr">
        <is>
          <t>ÅRE</t>
        </is>
      </c>
      <c r="G499" t="n">
        <v>2.9</v>
      </c>
      <c r="H499" t="n">
        <v>0</v>
      </c>
      <c r="I499" t="n">
        <v>0</v>
      </c>
      <c r="J499" t="n">
        <v>0</v>
      </c>
      <c r="K499" t="n">
        <v>0</v>
      </c>
      <c r="L499" t="n">
        <v>0</v>
      </c>
      <c r="M499" t="n">
        <v>0</v>
      </c>
      <c r="N499" t="n">
        <v>0</v>
      </c>
      <c r="O499" t="n">
        <v>0</v>
      </c>
      <c r="P499" t="n">
        <v>0</v>
      </c>
      <c r="Q499" t="n">
        <v>0</v>
      </c>
      <c r="R499" s="2" t="inlineStr"/>
    </row>
    <row r="500" ht="15" customHeight="1">
      <c r="A500" t="inlineStr">
        <is>
          <t>A 64245-2021</t>
        </is>
      </c>
      <c r="B500" s="1" t="n">
        <v>44510</v>
      </c>
      <c r="C500" s="1" t="n">
        <v>46032</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56873-2025</t>
        </is>
      </c>
      <c r="B501" s="1" t="n">
        <v>45978.53459490741</v>
      </c>
      <c r="C501" s="1" t="n">
        <v>46032</v>
      </c>
      <c r="D501" t="inlineStr">
        <is>
          <t>JÄMTLANDS LÄN</t>
        </is>
      </c>
      <c r="E501" t="inlineStr">
        <is>
          <t>ÅRE</t>
        </is>
      </c>
      <c r="F501" t="inlineStr">
        <is>
          <t>Övriga Aktiebolag</t>
        </is>
      </c>
      <c r="G501" t="n">
        <v>6.1</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46032</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58889-2022</t>
        </is>
      </c>
      <c r="B503" s="1" t="n">
        <v>44896</v>
      </c>
      <c r="C503" s="1" t="n">
        <v>46032</v>
      </c>
      <c r="D503" t="inlineStr">
        <is>
          <t>JÄMTLANDS LÄN</t>
        </is>
      </c>
      <c r="E503" t="inlineStr">
        <is>
          <t>ÅRE</t>
        </is>
      </c>
      <c r="G503" t="n">
        <v>6.9</v>
      </c>
      <c r="H503" t="n">
        <v>0</v>
      </c>
      <c r="I503" t="n">
        <v>0</v>
      </c>
      <c r="J503" t="n">
        <v>0</v>
      </c>
      <c r="K503" t="n">
        <v>0</v>
      </c>
      <c r="L503" t="n">
        <v>0</v>
      </c>
      <c r="M503" t="n">
        <v>0</v>
      </c>
      <c r="N503" t="n">
        <v>0</v>
      </c>
      <c r="O503" t="n">
        <v>0</v>
      </c>
      <c r="P503" t="n">
        <v>0</v>
      </c>
      <c r="Q503" t="n">
        <v>0</v>
      </c>
      <c r="R503" s="2" t="inlineStr"/>
    </row>
    <row r="504" ht="15" customHeight="1">
      <c r="A504" t="inlineStr">
        <is>
          <t>A 63838-2025</t>
        </is>
      </c>
      <c r="B504" s="1" t="n">
        <v>46020.4169212963</v>
      </c>
      <c r="C504" s="1" t="n">
        <v>46032</v>
      </c>
      <c r="D504" t="inlineStr">
        <is>
          <t>JÄMTLANDS LÄN</t>
        </is>
      </c>
      <c r="E504" t="inlineStr">
        <is>
          <t>ÅRE</t>
        </is>
      </c>
      <c r="G504" t="n">
        <v>3.7</v>
      </c>
      <c r="H504" t="n">
        <v>0</v>
      </c>
      <c r="I504" t="n">
        <v>0</v>
      </c>
      <c r="J504" t="n">
        <v>0</v>
      </c>
      <c r="K504" t="n">
        <v>0</v>
      </c>
      <c r="L504" t="n">
        <v>0</v>
      </c>
      <c r="M504" t="n">
        <v>0</v>
      </c>
      <c r="N504" t="n">
        <v>0</v>
      </c>
      <c r="O504" t="n">
        <v>0</v>
      </c>
      <c r="P504" t="n">
        <v>0</v>
      </c>
      <c r="Q504" t="n">
        <v>0</v>
      </c>
      <c r="R504" s="2" t="inlineStr"/>
    </row>
    <row r="505" ht="15" customHeight="1">
      <c r="A505" t="inlineStr">
        <is>
          <t>A 63863-2025</t>
        </is>
      </c>
      <c r="B505" s="1" t="n">
        <v>46020.49924768518</v>
      </c>
      <c r="C505" s="1" t="n">
        <v>46032</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57286-2025</t>
        </is>
      </c>
      <c r="B506" s="1" t="n">
        <v>45979.74055555555</v>
      </c>
      <c r="C506" s="1" t="n">
        <v>46032</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57622-2025</t>
        </is>
      </c>
      <c r="B507" s="1" t="n">
        <v>45981.34545138889</v>
      </c>
      <c r="C507" s="1" t="n">
        <v>46032</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57745-2025</t>
        </is>
      </c>
      <c r="B508" s="1" t="n">
        <v>45981.53217592592</v>
      </c>
      <c r="C508" s="1" t="n">
        <v>46032</v>
      </c>
      <c r="D508" t="inlineStr">
        <is>
          <t>JÄMTLANDS LÄN</t>
        </is>
      </c>
      <c r="E508" t="inlineStr">
        <is>
          <t>ÅRE</t>
        </is>
      </c>
      <c r="G508" t="n">
        <v>8.4</v>
      </c>
      <c r="H508" t="n">
        <v>0</v>
      </c>
      <c r="I508" t="n">
        <v>0</v>
      </c>
      <c r="J508" t="n">
        <v>0</v>
      </c>
      <c r="K508" t="n">
        <v>0</v>
      </c>
      <c r="L508" t="n">
        <v>0</v>
      </c>
      <c r="M508" t="n">
        <v>0</v>
      </c>
      <c r="N508" t="n">
        <v>0</v>
      </c>
      <c r="O508" t="n">
        <v>0</v>
      </c>
      <c r="P508" t="n">
        <v>0</v>
      </c>
      <c r="Q508" t="n">
        <v>0</v>
      </c>
      <c r="R508" s="2" t="inlineStr"/>
    </row>
    <row r="509" ht="15" customHeight="1">
      <c r="A509" t="inlineStr">
        <is>
          <t>A 57816-2025</t>
        </is>
      </c>
      <c r="B509" s="1" t="n">
        <v>45981.59471064815</v>
      </c>
      <c r="C509" s="1" t="n">
        <v>46032</v>
      </c>
      <c r="D509" t="inlineStr">
        <is>
          <t>JÄMTLANDS LÄN</t>
        </is>
      </c>
      <c r="E509" t="inlineStr">
        <is>
          <t>ÅRE</t>
        </is>
      </c>
      <c r="G509" t="n">
        <v>5.8</v>
      </c>
      <c r="H509" t="n">
        <v>0</v>
      </c>
      <c r="I509" t="n">
        <v>0</v>
      </c>
      <c r="J509" t="n">
        <v>0</v>
      </c>
      <c r="K509" t="n">
        <v>0</v>
      </c>
      <c r="L509" t="n">
        <v>0</v>
      </c>
      <c r="M509" t="n">
        <v>0</v>
      </c>
      <c r="N509" t="n">
        <v>0</v>
      </c>
      <c r="O509" t="n">
        <v>0</v>
      </c>
      <c r="P509" t="n">
        <v>0</v>
      </c>
      <c r="Q509" t="n">
        <v>0</v>
      </c>
      <c r="R509" s="2" t="inlineStr"/>
    </row>
    <row r="510" ht="15" customHeight="1">
      <c r="A510" t="inlineStr">
        <is>
          <t>A 15692-2025</t>
        </is>
      </c>
      <c r="B510" s="1" t="n">
        <v>45748</v>
      </c>
      <c r="C510" s="1" t="n">
        <v>46032</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45113-2024</t>
        </is>
      </c>
      <c r="B511" s="1" t="n">
        <v>45575.59709490741</v>
      </c>
      <c r="C511" s="1" t="n">
        <v>46032</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46032</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57627-2025</t>
        </is>
      </c>
      <c r="B513" s="1" t="n">
        <v>45981.34583333333</v>
      </c>
      <c r="C513" s="1" t="n">
        <v>46032</v>
      </c>
      <c r="D513" t="inlineStr">
        <is>
          <t>JÄMTLANDS LÄN</t>
        </is>
      </c>
      <c r="E513" t="inlineStr">
        <is>
          <t>ÅRE</t>
        </is>
      </c>
      <c r="G513" t="n">
        <v>3.3</v>
      </c>
      <c r="H513" t="n">
        <v>0</v>
      </c>
      <c r="I513" t="n">
        <v>0</v>
      </c>
      <c r="J513" t="n">
        <v>0</v>
      </c>
      <c r="K513" t="n">
        <v>0</v>
      </c>
      <c r="L513" t="n">
        <v>0</v>
      </c>
      <c r="M513" t="n">
        <v>0</v>
      </c>
      <c r="N513" t="n">
        <v>0</v>
      </c>
      <c r="O513" t="n">
        <v>0</v>
      </c>
      <c r="P513" t="n">
        <v>0</v>
      </c>
      <c r="Q513" t="n">
        <v>0</v>
      </c>
      <c r="R513" s="2" t="inlineStr"/>
    </row>
    <row r="514" ht="15" customHeight="1">
      <c r="A514" t="inlineStr">
        <is>
          <t>A 57464-2025</t>
        </is>
      </c>
      <c r="B514" s="1" t="n">
        <v>45980</v>
      </c>
      <c r="C514" s="1" t="n">
        <v>46032</v>
      </c>
      <c r="D514" t="inlineStr">
        <is>
          <t>JÄMTLANDS LÄN</t>
        </is>
      </c>
      <c r="E514" t="inlineStr">
        <is>
          <t>ÅRE</t>
        </is>
      </c>
      <c r="G514" t="n">
        <v>8.1</v>
      </c>
      <c r="H514" t="n">
        <v>0</v>
      </c>
      <c r="I514" t="n">
        <v>0</v>
      </c>
      <c r="J514" t="n">
        <v>0</v>
      </c>
      <c r="K514" t="n">
        <v>0</v>
      </c>
      <c r="L514" t="n">
        <v>0</v>
      </c>
      <c r="M514" t="n">
        <v>0</v>
      </c>
      <c r="N514" t="n">
        <v>0</v>
      </c>
      <c r="O514" t="n">
        <v>0</v>
      </c>
      <c r="P514" t="n">
        <v>0</v>
      </c>
      <c r="Q514" t="n">
        <v>0</v>
      </c>
      <c r="R514" s="2" t="inlineStr"/>
    </row>
    <row r="515" ht="15" customHeight="1">
      <c r="A515" t="inlineStr">
        <is>
          <t>A 6358-2025</t>
        </is>
      </c>
      <c r="B515" s="1" t="n">
        <v>45699.36491898148</v>
      </c>
      <c r="C515" s="1" t="n">
        <v>46032</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27946-2021</t>
        </is>
      </c>
      <c r="B516" s="1" t="n">
        <v>44354</v>
      </c>
      <c r="C516" s="1" t="n">
        <v>46032</v>
      </c>
      <c r="D516" t="inlineStr">
        <is>
          <t>JÄMTLANDS LÄN</t>
        </is>
      </c>
      <c r="E516" t="inlineStr">
        <is>
          <t>ÅRE</t>
        </is>
      </c>
      <c r="G516" t="n">
        <v>0.3</v>
      </c>
      <c r="H516" t="n">
        <v>0</v>
      </c>
      <c r="I516" t="n">
        <v>0</v>
      </c>
      <c r="J516" t="n">
        <v>0</v>
      </c>
      <c r="K516" t="n">
        <v>0</v>
      </c>
      <c r="L516" t="n">
        <v>0</v>
      </c>
      <c r="M516" t="n">
        <v>0</v>
      </c>
      <c r="N516" t="n">
        <v>0</v>
      </c>
      <c r="O516" t="n">
        <v>0</v>
      </c>
      <c r="P516" t="n">
        <v>0</v>
      </c>
      <c r="Q516" t="n">
        <v>0</v>
      </c>
      <c r="R516" s="2" t="inlineStr"/>
    </row>
    <row r="517" ht="15" customHeight="1">
      <c r="A517" t="inlineStr">
        <is>
          <t>A 37734-2023</t>
        </is>
      </c>
      <c r="B517" s="1" t="n">
        <v>45159.61971064815</v>
      </c>
      <c r="C517" s="1" t="n">
        <v>46032</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58432-2025</t>
        </is>
      </c>
      <c r="B518" s="1" t="n">
        <v>45985.60774305555</v>
      </c>
      <c r="C518" s="1" t="n">
        <v>46032</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58469-2025</t>
        </is>
      </c>
      <c r="B519" s="1" t="n">
        <v>45985.63699074074</v>
      </c>
      <c r="C519" s="1" t="n">
        <v>46032</v>
      </c>
      <c r="D519" t="inlineStr">
        <is>
          <t>JÄMTLANDS LÄN</t>
        </is>
      </c>
      <c r="E519" t="inlineStr">
        <is>
          <t>ÅRE</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58006-2025</t>
        </is>
      </c>
      <c r="B520" s="1" t="n">
        <v>45982.44869212963</v>
      </c>
      <c r="C520" s="1" t="n">
        <v>46032</v>
      </c>
      <c r="D520" t="inlineStr">
        <is>
          <t>JÄMTLANDS LÄN</t>
        </is>
      </c>
      <c r="E520" t="inlineStr">
        <is>
          <t>ÅRE</t>
        </is>
      </c>
      <c r="G520" t="n">
        <v>4</v>
      </c>
      <c r="H520" t="n">
        <v>0</v>
      </c>
      <c r="I520" t="n">
        <v>0</v>
      </c>
      <c r="J520" t="n">
        <v>0</v>
      </c>
      <c r="K520" t="n">
        <v>0</v>
      </c>
      <c r="L520" t="n">
        <v>0</v>
      </c>
      <c r="M520" t="n">
        <v>0</v>
      </c>
      <c r="N520" t="n">
        <v>0</v>
      </c>
      <c r="O520" t="n">
        <v>0</v>
      </c>
      <c r="P520" t="n">
        <v>0</v>
      </c>
      <c r="Q520" t="n">
        <v>0</v>
      </c>
      <c r="R520" s="2" t="inlineStr"/>
    </row>
    <row r="521" ht="15" customHeight="1">
      <c r="A521" t="inlineStr">
        <is>
          <t>A 57928-2025</t>
        </is>
      </c>
      <c r="B521" s="1" t="n">
        <v>45981.88722222222</v>
      </c>
      <c r="C521" s="1" t="n">
        <v>46032</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6232-2021</t>
        </is>
      </c>
      <c r="B522" s="1" t="n">
        <v>44231</v>
      </c>
      <c r="C522" s="1" t="n">
        <v>46032</v>
      </c>
      <c r="D522" t="inlineStr">
        <is>
          <t>JÄMTLANDS LÄN</t>
        </is>
      </c>
      <c r="E522" t="inlineStr">
        <is>
          <t>ÅRE</t>
        </is>
      </c>
      <c r="G522" t="n">
        <v>7.1</v>
      </c>
      <c r="H522" t="n">
        <v>0</v>
      </c>
      <c r="I522" t="n">
        <v>0</v>
      </c>
      <c r="J522" t="n">
        <v>0</v>
      </c>
      <c r="K522" t="n">
        <v>0</v>
      </c>
      <c r="L522" t="n">
        <v>0</v>
      </c>
      <c r="M522" t="n">
        <v>0</v>
      </c>
      <c r="N522" t="n">
        <v>0</v>
      </c>
      <c r="O522" t="n">
        <v>0</v>
      </c>
      <c r="P522" t="n">
        <v>0</v>
      </c>
      <c r="Q522" t="n">
        <v>0</v>
      </c>
      <c r="R522" s="2" t="inlineStr"/>
    </row>
    <row r="523" ht="15" customHeight="1">
      <c r="A523" t="inlineStr">
        <is>
          <t>A 37739-2023</t>
        </is>
      </c>
      <c r="B523" s="1" t="n">
        <v>45159</v>
      </c>
      <c r="C523" s="1" t="n">
        <v>46032</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11500-2022</t>
        </is>
      </c>
      <c r="B524" s="1" t="n">
        <v>44631</v>
      </c>
      <c r="C524" s="1" t="n">
        <v>46032</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8798-2025</t>
        </is>
      </c>
      <c r="B525" s="1" t="n">
        <v>45712</v>
      </c>
      <c r="C525" s="1" t="n">
        <v>46032</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4218-2025</t>
        </is>
      </c>
      <c r="B526" s="1" t="n">
        <v>45685</v>
      </c>
      <c r="C526" s="1" t="n">
        <v>46032</v>
      </c>
      <c r="D526" t="inlineStr">
        <is>
          <t>JÄMTLANDS LÄN</t>
        </is>
      </c>
      <c r="E526" t="inlineStr">
        <is>
          <t>ÅRE</t>
        </is>
      </c>
      <c r="F526" t="inlineStr">
        <is>
          <t>Övriga Aktiebolag</t>
        </is>
      </c>
      <c r="G526" t="n">
        <v>10.1</v>
      </c>
      <c r="H526" t="n">
        <v>0</v>
      </c>
      <c r="I526" t="n">
        <v>0</v>
      </c>
      <c r="J526" t="n">
        <v>0</v>
      </c>
      <c r="K526" t="n">
        <v>0</v>
      </c>
      <c r="L526" t="n">
        <v>0</v>
      </c>
      <c r="M526" t="n">
        <v>0</v>
      </c>
      <c r="N526" t="n">
        <v>0</v>
      </c>
      <c r="O526" t="n">
        <v>0</v>
      </c>
      <c r="P526" t="n">
        <v>0</v>
      </c>
      <c r="Q526" t="n">
        <v>0</v>
      </c>
      <c r="R526" s="2" t="inlineStr"/>
    </row>
    <row r="527" ht="15" customHeight="1">
      <c r="A527" t="inlineStr">
        <is>
          <t>A 58983-2025</t>
        </is>
      </c>
      <c r="B527" s="1" t="n">
        <v>45987.63885416667</v>
      </c>
      <c r="C527" s="1" t="n">
        <v>46032</v>
      </c>
      <c r="D527" t="inlineStr">
        <is>
          <t>JÄMTLANDS LÄN</t>
        </is>
      </c>
      <c r="E527" t="inlineStr">
        <is>
          <t>ÅRE</t>
        </is>
      </c>
      <c r="G527" t="n">
        <v>9.9</v>
      </c>
      <c r="H527" t="n">
        <v>0</v>
      </c>
      <c r="I527" t="n">
        <v>0</v>
      </c>
      <c r="J527" t="n">
        <v>0</v>
      </c>
      <c r="K527" t="n">
        <v>0</v>
      </c>
      <c r="L527" t="n">
        <v>0</v>
      </c>
      <c r="M527" t="n">
        <v>0</v>
      </c>
      <c r="N527" t="n">
        <v>0</v>
      </c>
      <c r="O527" t="n">
        <v>0</v>
      </c>
      <c r="P527" t="n">
        <v>0</v>
      </c>
      <c r="Q527" t="n">
        <v>0</v>
      </c>
      <c r="R527" s="2" t="inlineStr"/>
    </row>
    <row r="528" ht="15" customHeight="1">
      <c r="A528" t="inlineStr">
        <is>
          <t>A 500-2026</t>
        </is>
      </c>
      <c r="B528" s="1" t="n">
        <v>46029.43557870371</v>
      </c>
      <c r="C528" s="1" t="n">
        <v>46032</v>
      </c>
      <c r="D528" t="inlineStr">
        <is>
          <t>JÄMTLANDS LÄN</t>
        </is>
      </c>
      <c r="E528" t="inlineStr">
        <is>
          <t>ÅRE</t>
        </is>
      </c>
      <c r="F528" t="inlineStr">
        <is>
          <t>Övriga Aktiebolag</t>
        </is>
      </c>
      <c r="G528" t="n">
        <v>8.5</v>
      </c>
      <c r="H528" t="n">
        <v>0</v>
      </c>
      <c r="I528" t="n">
        <v>0</v>
      </c>
      <c r="J528" t="n">
        <v>0</v>
      </c>
      <c r="K528" t="n">
        <v>0</v>
      </c>
      <c r="L528" t="n">
        <v>0</v>
      </c>
      <c r="M528" t="n">
        <v>0</v>
      </c>
      <c r="N528" t="n">
        <v>0</v>
      </c>
      <c r="O528" t="n">
        <v>0</v>
      </c>
      <c r="P528" t="n">
        <v>0</v>
      </c>
      <c r="Q528" t="n">
        <v>0</v>
      </c>
      <c r="R528" s="2" t="inlineStr"/>
    </row>
    <row r="529" ht="15" customHeight="1">
      <c r="A529" t="inlineStr">
        <is>
          <t>A 278-2023</t>
        </is>
      </c>
      <c r="B529" s="1" t="n">
        <v>44928</v>
      </c>
      <c r="C529" s="1" t="n">
        <v>46032</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58872-2025</t>
        </is>
      </c>
      <c r="B530" s="1" t="n">
        <v>45987.46554398148</v>
      </c>
      <c r="C530" s="1" t="n">
        <v>46032</v>
      </c>
      <c r="D530" t="inlineStr">
        <is>
          <t>JÄMTLANDS LÄN</t>
        </is>
      </c>
      <c r="E530" t="inlineStr">
        <is>
          <t>ÅRE</t>
        </is>
      </c>
      <c r="G530" t="n">
        <v>8</v>
      </c>
      <c r="H530" t="n">
        <v>0</v>
      </c>
      <c r="I530" t="n">
        <v>0</v>
      </c>
      <c r="J530" t="n">
        <v>0</v>
      </c>
      <c r="K530" t="n">
        <v>0</v>
      </c>
      <c r="L530" t="n">
        <v>0</v>
      </c>
      <c r="M530" t="n">
        <v>0</v>
      </c>
      <c r="N530" t="n">
        <v>0</v>
      </c>
      <c r="O530" t="n">
        <v>0</v>
      </c>
      <c r="P530" t="n">
        <v>0</v>
      </c>
      <c r="Q530" t="n">
        <v>0</v>
      </c>
      <c r="R530" s="2" t="inlineStr"/>
    </row>
    <row r="531" ht="15" customHeight="1">
      <c r="A531" t="inlineStr">
        <is>
          <t>A 3066-2023</t>
        </is>
      </c>
      <c r="B531" s="1" t="n">
        <v>44946</v>
      </c>
      <c r="C531" s="1" t="n">
        <v>46032</v>
      </c>
      <c r="D531" t="inlineStr">
        <is>
          <t>JÄMTLANDS LÄN</t>
        </is>
      </c>
      <c r="E531" t="inlineStr">
        <is>
          <t>ÅRE</t>
        </is>
      </c>
      <c r="G531" t="n">
        <v>1.3</v>
      </c>
      <c r="H531" t="n">
        <v>0</v>
      </c>
      <c r="I531" t="n">
        <v>0</v>
      </c>
      <c r="J531" t="n">
        <v>0</v>
      </c>
      <c r="K531" t="n">
        <v>0</v>
      </c>
      <c r="L531" t="n">
        <v>0</v>
      </c>
      <c r="M531" t="n">
        <v>0</v>
      </c>
      <c r="N531" t="n">
        <v>0</v>
      </c>
      <c r="O531" t="n">
        <v>0</v>
      </c>
      <c r="P531" t="n">
        <v>0</v>
      </c>
      <c r="Q531" t="n">
        <v>0</v>
      </c>
      <c r="R531" s="2" t="inlineStr"/>
    </row>
    <row r="532" ht="15" customHeight="1">
      <c r="A532" t="inlineStr">
        <is>
          <t>A 54907-2023</t>
        </is>
      </c>
      <c r="B532" s="1" t="n">
        <v>45236.65784722222</v>
      </c>
      <c r="C532" s="1" t="n">
        <v>46032</v>
      </c>
      <c r="D532" t="inlineStr">
        <is>
          <t>JÄMTLANDS LÄN</t>
        </is>
      </c>
      <c r="E532" t="inlineStr">
        <is>
          <t>ÅRE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41688-2024</t>
        </is>
      </c>
      <c r="B533" s="1" t="n">
        <v>45560.67542824074</v>
      </c>
      <c r="C533" s="1" t="n">
        <v>46032</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58891-2025</t>
        </is>
      </c>
      <c r="B534" s="1" t="n">
        <v>45987.49034722222</v>
      </c>
      <c r="C534" s="1" t="n">
        <v>46032</v>
      </c>
      <c r="D534" t="inlineStr">
        <is>
          <t>JÄMTLANDS LÄN</t>
        </is>
      </c>
      <c r="E534" t="inlineStr">
        <is>
          <t>ÅRE</t>
        </is>
      </c>
      <c r="G534" t="n">
        <v>4.1</v>
      </c>
      <c r="H534" t="n">
        <v>0</v>
      </c>
      <c r="I534" t="n">
        <v>0</v>
      </c>
      <c r="J534" t="n">
        <v>0</v>
      </c>
      <c r="K534" t="n">
        <v>0</v>
      </c>
      <c r="L534" t="n">
        <v>0</v>
      </c>
      <c r="M534" t="n">
        <v>0</v>
      </c>
      <c r="N534" t="n">
        <v>0</v>
      </c>
      <c r="O534" t="n">
        <v>0</v>
      </c>
      <c r="P534" t="n">
        <v>0</v>
      </c>
      <c r="Q534" t="n">
        <v>0</v>
      </c>
      <c r="R534" s="2" t="inlineStr"/>
    </row>
    <row r="535" ht="15" customHeight="1">
      <c r="A535" t="inlineStr">
        <is>
          <t>A 61815-2021</t>
        </is>
      </c>
      <c r="B535" s="1" t="n">
        <v>44498</v>
      </c>
      <c r="C535" s="1" t="n">
        <v>46032</v>
      </c>
      <c r="D535" t="inlineStr">
        <is>
          <t>JÄMTLANDS LÄN</t>
        </is>
      </c>
      <c r="E535" t="inlineStr">
        <is>
          <t>ÅRE</t>
        </is>
      </c>
      <c r="G535" t="n">
        <v>7.4</v>
      </c>
      <c r="H535" t="n">
        <v>0</v>
      </c>
      <c r="I535" t="n">
        <v>0</v>
      </c>
      <c r="J535" t="n">
        <v>0</v>
      </c>
      <c r="K535" t="n">
        <v>0</v>
      </c>
      <c r="L535" t="n">
        <v>0</v>
      </c>
      <c r="M535" t="n">
        <v>0</v>
      </c>
      <c r="N535" t="n">
        <v>0</v>
      </c>
      <c r="O535" t="n">
        <v>0</v>
      </c>
      <c r="P535" t="n">
        <v>0</v>
      </c>
      <c r="Q535" t="n">
        <v>0</v>
      </c>
      <c r="R535" s="2" t="inlineStr"/>
    </row>
    <row r="536" ht="15" customHeight="1">
      <c r="A536" t="inlineStr">
        <is>
          <t>A 59367-2025</t>
        </is>
      </c>
      <c r="B536" s="1" t="n">
        <v>45989.44711805556</v>
      </c>
      <c r="C536" s="1" t="n">
        <v>46032</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12177-2025</t>
        </is>
      </c>
      <c r="B537" s="1" t="n">
        <v>45729.45119212963</v>
      </c>
      <c r="C537" s="1" t="n">
        <v>46032</v>
      </c>
      <c r="D537" t="inlineStr">
        <is>
          <t>JÄMTLANDS LÄN</t>
        </is>
      </c>
      <c r="E537" t="inlineStr">
        <is>
          <t>ÅRE</t>
        </is>
      </c>
      <c r="F537" t="inlineStr">
        <is>
          <t>Övriga Aktiebolag</t>
        </is>
      </c>
      <c r="G537" t="n">
        <v>13.2</v>
      </c>
      <c r="H537" t="n">
        <v>0</v>
      </c>
      <c r="I537" t="n">
        <v>0</v>
      </c>
      <c r="J537" t="n">
        <v>0</v>
      </c>
      <c r="K537" t="n">
        <v>0</v>
      </c>
      <c r="L537" t="n">
        <v>0</v>
      </c>
      <c r="M537" t="n">
        <v>0</v>
      </c>
      <c r="N537" t="n">
        <v>0</v>
      </c>
      <c r="O537" t="n">
        <v>0</v>
      </c>
      <c r="P537" t="n">
        <v>0</v>
      </c>
      <c r="Q537" t="n">
        <v>0</v>
      </c>
      <c r="R537" s="2" t="inlineStr"/>
    </row>
    <row r="538" ht="15" customHeight="1">
      <c r="A538" t="inlineStr">
        <is>
          <t>A 59014-2025</t>
        </is>
      </c>
      <c r="B538" s="1" t="n">
        <v>45987.81232638889</v>
      </c>
      <c r="C538" s="1" t="n">
        <v>46032</v>
      </c>
      <c r="D538" t="inlineStr">
        <is>
          <t>JÄMTLANDS LÄN</t>
        </is>
      </c>
      <c r="E538" t="inlineStr">
        <is>
          <t>ÅRE</t>
        </is>
      </c>
      <c r="G538" t="n">
        <v>2.1</v>
      </c>
      <c r="H538" t="n">
        <v>0</v>
      </c>
      <c r="I538" t="n">
        <v>0</v>
      </c>
      <c r="J538" t="n">
        <v>0</v>
      </c>
      <c r="K538" t="n">
        <v>0</v>
      </c>
      <c r="L538" t="n">
        <v>0</v>
      </c>
      <c r="M538" t="n">
        <v>0</v>
      </c>
      <c r="N538" t="n">
        <v>0</v>
      </c>
      <c r="O538" t="n">
        <v>0</v>
      </c>
      <c r="P538" t="n">
        <v>0</v>
      </c>
      <c r="Q538" t="n">
        <v>0</v>
      </c>
      <c r="R538" s="2" t="inlineStr"/>
    </row>
    <row r="539" ht="15" customHeight="1">
      <c r="A539" t="inlineStr">
        <is>
          <t>A 12857-2021</t>
        </is>
      </c>
      <c r="B539" s="1" t="n">
        <v>44270</v>
      </c>
      <c r="C539" s="1" t="n">
        <v>46032</v>
      </c>
      <c r="D539" t="inlineStr">
        <is>
          <t>JÄMTLANDS LÄN</t>
        </is>
      </c>
      <c r="E539" t="inlineStr">
        <is>
          <t>ÅRE</t>
        </is>
      </c>
      <c r="F539" t="inlineStr">
        <is>
          <t>Kommuner</t>
        </is>
      </c>
      <c r="G539" t="n">
        <v>17.2</v>
      </c>
      <c r="H539" t="n">
        <v>0</v>
      </c>
      <c r="I539" t="n">
        <v>0</v>
      </c>
      <c r="J539" t="n">
        <v>0</v>
      </c>
      <c r="K539" t="n">
        <v>0</v>
      </c>
      <c r="L539" t="n">
        <v>0</v>
      </c>
      <c r="M539" t="n">
        <v>0</v>
      </c>
      <c r="N539" t="n">
        <v>0</v>
      </c>
      <c r="O539" t="n">
        <v>0</v>
      </c>
      <c r="P539" t="n">
        <v>0</v>
      </c>
      <c r="Q539" t="n">
        <v>0</v>
      </c>
      <c r="R539" s="2" t="inlineStr"/>
    </row>
    <row r="540" ht="15" customHeight="1">
      <c r="A540" t="inlineStr">
        <is>
          <t>A 13033-2024</t>
        </is>
      </c>
      <c r="B540" s="1" t="n">
        <v>45385</v>
      </c>
      <c r="C540" s="1" t="n">
        <v>46032</v>
      </c>
      <c r="D540" t="inlineStr">
        <is>
          <t>JÄMTLANDS LÄN</t>
        </is>
      </c>
      <c r="E540" t="inlineStr">
        <is>
          <t>ÅRE</t>
        </is>
      </c>
      <c r="G540" t="n">
        <v>7.3</v>
      </c>
      <c r="H540" t="n">
        <v>0</v>
      </c>
      <c r="I540" t="n">
        <v>0</v>
      </c>
      <c r="J540" t="n">
        <v>0</v>
      </c>
      <c r="K540" t="n">
        <v>0</v>
      </c>
      <c r="L540" t="n">
        <v>0</v>
      </c>
      <c r="M540" t="n">
        <v>0</v>
      </c>
      <c r="N540" t="n">
        <v>0</v>
      </c>
      <c r="O540" t="n">
        <v>0</v>
      </c>
      <c r="P540" t="n">
        <v>0</v>
      </c>
      <c r="Q540" t="n">
        <v>0</v>
      </c>
      <c r="R540" s="2" t="inlineStr"/>
    </row>
    <row r="541" ht="15" customHeight="1">
      <c r="A541" t="inlineStr">
        <is>
          <t>A 59161-2025</t>
        </is>
      </c>
      <c r="B541" s="1" t="n">
        <v>45988.55300925926</v>
      </c>
      <c r="C541" s="1" t="n">
        <v>46032</v>
      </c>
      <c r="D541" t="inlineStr">
        <is>
          <t>JÄMTLANDS LÄN</t>
        </is>
      </c>
      <c r="E541" t="inlineStr">
        <is>
          <t>ÅRE</t>
        </is>
      </c>
      <c r="G541" t="n">
        <v>3.8</v>
      </c>
      <c r="H541" t="n">
        <v>0</v>
      </c>
      <c r="I541" t="n">
        <v>0</v>
      </c>
      <c r="J541" t="n">
        <v>0</v>
      </c>
      <c r="K541" t="n">
        <v>0</v>
      </c>
      <c r="L541" t="n">
        <v>0</v>
      </c>
      <c r="M541" t="n">
        <v>0</v>
      </c>
      <c r="N541" t="n">
        <v>0</v>
      </c>
      <c r="O541" t="n">
        <v>0</v>
      </c>
      <c r="P541" t="n">
        <v>0</v>
      </c>
      <c r="Q541" t="n">
        <v>0</v>
      </c>
      <c r="R541" s="2" t="inlineStr"/>
    </row>
    <row r="542" ht="15" customHeight="1">
      <c r="A542" t="inlineStr">
        <is>
          <t>A 51500-2024</t>
        </is>
      </c>
      <c r="B542" s="1" t="n">
        <v>45604.54693287037</v>
      </c>
      <c r="C542" s="1" t="n">
        <v>46032</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46032</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46032</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44925-2024</t>
        </is>
      </c>
      <c r="B545" s="1" t="n">
        <v>45575.40700231482</v>
      </c>
      <c r="C545" s="1" t="n">
        <v>46032</v>
      </c>
      <c r="D545" t="inlineStr">
        <is>
          <t>JÄMTLANDS LÄN</t>
        </is>
      </c>
      <c r="E545" t="inlineStr">
        <is>
          <t>ÅRE</t>
        </is>
      </c>
      <c r="F545" t="inlineStr">
        <is>
          <t>Övriga Aktiebolag</t>
        </is>
      </c>
      <c r="G545" t="n">
        <v>22.3</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45772.56753472222</v>
      </c>
      <c r="C546" s="1" t="n">
        <v>46032</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61926-2022</t>
        </is>
      </c>
      <c r="B547" s="1" t="n">
        <v>44917</v>
      </c>
      <c r="C547" s="1" t="n">
        <v>46032</v>
      </c>
      <c r="D547" t="inlineStr">
        <is>
          <t>JÄMTLANDS LÄN</t>
        </is>
      </c>
      <c r="E547" t="inlineStr">
        <is>
          <t>ÅRE</t>
        </is>
      </c>
      <c r="G547" t="n">
        <v>18</v>
      </c>
      <c r="H547" t="n">
        <v>0</v>
      </c>
      <c r="I547" t="n">
        <v>0</v>
      </c>
      <c r="J547" t="n">
        <v>0</v>
      </c>
      <c r="K547" t="n">
        <v>0</v>
      </c>
      <c r="L547" t="n">
        <v>0</v>
      </c>
      <c r="M547" t="n">
        <v>0</v>
      </c>
      <c r="N547" t="n">
        <v>0</v>
      </c>
      <c r="O547" t="n">
        <v>0</v>
      </c>
      <c r="P547" t="n">
        <v>0</v>
      </c>
      <c r="Q547" t="n">
        <v>0</v>
      </c>
      <c r="R547" s="2" t="inlineStr"/>
    </row>
    <row r="548" ht="15" customHeight="1">
      <c r="A548" t="inlineStr">
        <is>
          <t>A 50099-2021</t>
        </is>
      </c>
      <c r="B548" s="1" t="n">
        <v>44456</v>
      </c>
      <c r="C548" s="1" t="n">
        <v>46032</v>
      </c>
      <c r="D548" t="inlineStr">
        <is>
          <t>JÄMTLANDS LÄN</t>
        </is>
      </c>
      <c r="E548" t="inlineStr">
        <is>
          <t>ÅRE</t>
        </is>
      </c>
      <c r="G548" t="n">
        <v>6.2</v>
      </c>
      <c r="H548" t="n">
        <v>0</v>
      </c>
      <c r="I548" t="n">
        <v>0</v>
      </c>
      <c r="J548" t="n">
        <v>0</v>
      </c>
      <c r="K548" t="n">
        <v>0</v>
      </c>
      <c r="L548" t="n">
        <v>0</v>
      </c>
      <c r="M548" t="n">
        <v>0</v>
      </c>
      <c r="N548" t="n">
        <v>0</v>
      </c>
      <c r="O548" t="n">
        <v>0</v>
      </c>
      <c r="P548" t="n">
        <v>0</v>
      </c>
      <c r="Q548" t="n">
        <v>0</v>
      </c>
      <c r="R548" s="2" t="inlineStr"/>
    </row>
    <row r="549" ht="15" customHeight="1">
      <c r="A549" t="inlineStr">
        <is>
          <t>A 41677-2024</t>
        </is>
      </c>
      <c r="B549" s="1" t="n">
        <v>45560.66037037037</v>
      </c>
      <c r="C549" s="1" t="n">
        <v>46032</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51444-2024</t>
        </is>
      </c>
      <c r="B550" s="1" t="n">
        <v>45604.48304398148</v>
      </c>
      <c r="C550" s="1" t="n">
        <v>46032</v>
      </c>
      <c r="D550" t="inlineStr">
        <is>
          <t>JÄMTLANDS LÄN</t>
        </is>
      </c>
      <c r="E550" t="inlineStr">
        <is>
          <t>ÅRE</t>
        </is>
      </c>
      <c r="G550" t="n">
        <v>2.2</v>
      </c>
      <c r="H550" t="n">
        <v>0</v>
      </c>
      <c r="I550" t="n">
        <v>0</v>
      </c>
      <c r="J550" t="n">
        <v>0</v>
      </c>
      <c r="K550" t="n">
        <v>0</v>
      </c>
      <c r="L550" t="n">
        <v>0</v>
      </c>
      <c r="M550" t="n">
        <v>0</v>
      </c>
      <c r="N550" t="n">
        <v>0</v>
      </c>
      <c r="O550" t="n">
        <v>0</v>
      </c>
      <c r="P550" t="n">
        <v>0</v>
      </c>
      <c r="Q550" t="n">
        <v>0</v>
      </c>
      <c r="R550" s="2" t="inlineStr"/>
    </row>
    <row r="551" ht="15" customHeight="1">
      <c r="A551" t="inlineStr">
        <is>
          <t>A 15480-2024</t>
        </is>
      </c>
      <c r="B551" s="1" t="n">
        <v>45401.49065972222</v>
      </c>
      <c r="C551" s="1" t="n">
        <v>46032</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45734.62666666666</v>
      </c>
      <c r="C552" s="1" t="n">
        <v>46032</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53611-2024</t>
        </is>
      </c>
      <c r="B553" s="1" t="n">
        <v>45614.70510416666</v>
      </c>
      <c r="C553" s="1" t="n">
        <v>46032</v>
      </c>
      <c r="D553" t="inlineStr">
        <is>
          <t>JÄMTLANDS LÄN</t>
        </is>
      </c>
      <c r="E553" t="inlineStr">
        <is>
          <t>ÅRE</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26032-2023</t>
        </is>
      </c>
      <c r="B554" s="1" t="n">
        <v>45091.31304398148</v>
      </c>
      <c r="C554" s="1" t="n">
        <v>46032</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26033-2023</t>
        </is>
      </c>
      <c r="B555" s="1" t="n">
        <v>45091.31530092593</v>
      </c>
      <c r="C555" s="1" t="n">
        <v>46032</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13221-2022</t>
        </is>
      </c>
      <c r="B556" s="1" t="n">
        <v>44644</v>
      </c>
      <c r="C556" s="1" t="n">
        <v>46032</v>
      </c>
      <c r="D556" t="inlineStr">
        <is>
          <t>JÄMTLANDS LÄN</t>
        </is>
      </c>
      <c r="E556" t="inlineStr">
        <is>
          <t>ÅRE</t>
        </is>
      </c>
      <c r="F556" t="inlineStr">
        <is>
          <t>Övriga Aktiebolag</t>
        </is>
      </c>
      <c r="G556" t="n">
        <v>6.6</v>
      </c>
      <c r="H556" t="n">
        <v>0</v>
      </c>
      <c r="I556" t="n">
        <v>0</v>
      </c>
      <c r="J556" t="n">
        <v>0</v>
      </c>
      <c r="K556" t="n">
        <v>0</v>
      </c>
      <c r="L556" t="n">
        <v>0</v>
      </c>
      <c r="M556" t="n">
        <v>0</v>
      </c>
      <c r="N556" t="n">
        <v>0</v>
      </c>
      <c r="O556" t="n">
        <v>0</v>
      </c>
      <c r="P556" t="n">
        <v>0</v>
      </c>
      <c r="Q556" t="n">
        <v>0</v>
      </c>
      <c r="R556" s="2" t="inlineStr"/>
    </row>
    <row r="557" ht="15" customHeight="1">
      <c r="A557" t="inlineStr">
        <is>
          <t>A 9613-2021</t>
        </is>
      </c>
      <c r="B557" s="1" t="n">
        <v>44251</v>
      </c>
      <c r="C557" s="1" t="n">
        <v>46032</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39071-2024</t>
        </is>
      </c>
      <c r="B558" s="1" t="n">
        <v>45548.53193287037</v>
      </c>
      <c r="C558" s="1" t="n">
        <v>46032</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46032</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20804-2024</t>
        </is>
      </c>
      <c r="B560" s="1" t="n">
        <v>45439.30988425926</v>
      </c>
      <c r="C560" s="1" t="n">
        <v>46032</v>
      </c>
      <c r="D560" t="inlineStr">
        <is>
          <t>JÄMTLANDS LÄN</t>
        </is>
      </c>
      <c r="E560" t="inlineStr">
        <is>
          <t>ÅRE</t>
        </is>
      </c>
      <c r="G560" t="n">
        <v>6.4</v>
      </c>
      <c r="H560" t="n">
        <v>0</v>
      </c>
      <c r="I560" t="n">
        <v>0</v>
      </c>
      <c r="J560" t="n">
        <v>0</v>
      </c>
      <c r="K560" t="n">
        <v>0</v>
      </c>
      <c r="L560" t="n">
        <v>0</v>
      </c>
      <c r="M560" t="n">
        <v>0</v>
      </c>
      <c r="N560" t="n">
        <v>0</v>
      </c>
      <c r="O560" t="n">
        <v>0</v>
      </c>
      <c r="P560" t="n">
        <v>0</v>
      </c>
      <c r="Q560" t="n">
        <v>0</v>
      </c>
      <c r="R560" s="2" t="inlineStr"/>
    </row>
    <row r="561" ht="15" customHeight="1">
      <c r="A561" t="inlineStr">
        <is>
          <t>A 12669-2023</t>
        </is>
      </c>
      <c r="B561" s="1" t="n">
        <v>45000</v>
      </c>
      <c r="C561" s="1" t="n">
        <v>46032</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21897-2021</t>
        </is>
      </c>
      <c r="B562" s="1" t="n">
        <v>44322</v>
      </c>
      <c r="C562" s="1" t="n">
        <v>46032</v>
      </c>
      <c r="D562" t="inlineStr">
        <is>
          <t>JÄMTLANDS LÄN</t>
        </is>
      </c>
      <c r="E562" t="inlineStr">
        <is>
          <t>ÅRE</t>
        </is>
      </c>
      <c r="G562" t="n">
        <v>41.4</v>
      </c>
      <c r="H562" t="n">
        <v>0</v>
      </c>
      <c r="I562" t="n">
        <v>0</v>
      </c>
      <c r="J562" t="n">
        <v>0</v>
      </c>
      <c r="K562" t="n">
        <v>0</v>
      </c>
      <c r="L562" t="n">
        <v>0</v>
      </c>
      <c r="M562" t="n">
        <v>0</v>
      </c>
      <c r="N562" t="n">
        <v>0</v>
      </c>
      <c r="O562" t="n">
        <v>0</v>
      </c>
      <c r="P562" t="n">
        <v>0</v>
      </c>
      <c r="Q562" t="n">
        <v>0</v>
      </c>
      <c r="R562" s="2" t="inlineStr"/>
    </row>
    <row r="563" ht="15" customHeight="1">
      <c r="A563" t="inlineStr">
        <is>
          <t>A 49267-2024</t>
        </is>
      </c>
      <c r="B563" s="1" t="n">
        <v>45595</v>
      </c>
      <c r="C563" s="1" t="n">
        <v>46032</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13383-2022</t>
        </is>
      </c>
      <c r="B564" s="1" t="n">
        <v>44637</v>
      </c>
      <c r="C564" s="1" t="n">
        <v>46032</v>
      </c>
      <c r="D564" t="inlineStr">
        <is>
          <t>JÄMTLANDS LÄN</t>
        </is>
      </c>
      <c r="E564" t="inlineStr">
        <is>
          <t>ÅRE</t>
        </is>
      </c>
      <c r="G564" t="n">
        <v>2.2</v>
      </c>
      <c r="H564" t="n">
        <v>0</v>
      </c>
      <c r="I564" t="n">
        <v>0</v>
      </c>
      <c r="J564" t="n">
        <v>0</v>
      </c>
      <c r="K564" t="n">
        <v>0</v>
      </c>
      <c r="L564" t="n">
        <v>0</v>
      </c>
      <c r="M564" t="n">
        <v>0</v>
      </c>
      <c r="N564" t="n">
        <v>0</v>
      </c>
      <c r="O564" t="n">
        <v>0</v>
      </c>
      <c r="P564" t="n">
        <v>0</v>
      </c>
      <c r="Q564" t="n">
        <v>0</v>
      </c>
      <c r="R564" s="2" t="inlineStr"/>
    </row>
    <row r="565" ht="15" customHeight="1">
      <c r="A565" t="inlineStr">
        <is>
          <t>A 23805-2024</t>
        </is>
      </c>
      <c r="B565" s="1" t="n">
        <v>45455.44194444444</v>
      </c>
      <c r="C565" s="1" t="n">
        <v>46032</v>
      </c>
      <c r="D565" t="inlineStr">
        <is>
          <t>JÄMTLANDS LÄN</t>
        </is>
      </c>
      <c r="E565" t="inlineStr">
        <is>
          <t>ÅRE</t>
        </is>
      </c>
      <c r="G565" t="n">
        <v>1.5</v>
      </c>
      <c r="H565" t="n">
        <v>0</v>
      </c>
      <c r="I565" t="n">
        <v>0</v>
      </c>
      <c r="J565" t="n">
        <v>0</v>
      </c>
      <c r="K565" t="n">
        <v>0</v>
      </c>
      <c r="L565" t="n">
        <v>0</v>
      </c>
      <c r="M565" t="n">
        <v>0</v>
      </c>
      <c r="N565" t="n">
        <v>0</v>
      </c>
      <c r="O565" t="n">
        <v>0</v>
      </c>
      <c r="P565" t="n">
        <v>0</v>
      </c>
      <c r="Q565" t="n">
        <v>0</v>
      </c>
      <c r="R565" s="2" t="inlineStr"/>
    </row>
    <row r="566" ht="15" customHeight="1">
      <c r="A566" t="inlineStr">
        <is>
          <t>A 71043-2021</t>
        </is>
      </c>
      <c r="B566" s="1" t="n">
        <v>44538</v>
      </c>
      <c r="C566" s="1" t="n">
        <v>46032</v>
      </c>
      <c r="D566" t="inlineStr">
        <is>
          <t>JÄMTLANDS LÄN</t>
        </is>
      </c>
      <c r="E566" t="inlineStr">
        <is>
          <t>ÅRE</t>
        </is>
      </c>
      <c r="G566" t="n">
        <v>0.4</v>
      </c>
      <c r="H566" t="n">
        <v>0</v>
      </c>
      <c r="I566" t="n">
        <v>0</v>
      </c>
      <c r="J566" t="n">
        <v>0</v>
      </c>
      <c r="K566" t="n">
        <v>0</v>
      </c>
      <c r="L566" t="n">
        <v>0</v>
      </c>
      <c r="M566" t="n">
        <v>0</v>
      </c>
      <c r="N566" t="n">
        <v>0</v>
      </c>
      <c r="O566" t="n">
        <v>0</v>
      </c>
      <c r="P566" t="n">
        <v>0</v>
      </c>
      <c r="Q566" t="n">
        <v>0</v>
      </c>
      <c r="R566" s="2" t="inlineStr"/>
    </row>
    <row r="567" ht="15" customHeight="1">
      <c r="A567" t="inlineStr">
        <is>
          <t>A 17566-2023</t>
        </is>
      </c>
      <c r="B567" s="1" t="n">
        <v>45034</v>
      </c>
      <c r="C567" s="1" t="n">
        <v>46032</v>
      </c>
      <c r="D567" t="inlineStr">
        <is>
          <t>JÄMTLANDS LÄN</t>
        </is>
      </c>
      <c r="E567" t="inlineStr">
        <is>
          <t>ÅRE</t>
        </is>
      </c>
      <c r="G567" t="n">
        <v>4.8</v>
      </c>
      <c r="H567" t="n">
        <v>0</v>
      </c>
      <c r="I567" t="n">
        <v>0</v>
      </c>
      <c r="J567" t="n">
        <v>0</v>
      </c>
      <c r="K567" t="n">
        <v>0</v>
      </c>
      <c r="L567" t="n">
        <v>0</v>
      </c>
      <c r="M567" t="n">
        <v>0</v>
      </c>
      <c r="N567" t="n">
        <v>0</v>
      </c>
      <c r="O567" t="n">
        <v>0</v>
      </c>
      <c r="P567" t="n">
        <v>0</v>
      </c>
      <c r="Q567" t="n">
        <v>0</v>
      </c>
      <c r="R567" s="2" t="inlineStr"/>
    </row>
    <row r="568" ht="15" customHeight="1">
      <c r="A568" t="inlineStr">
        <is>
          <t>A 54186-2024</t>
        </is>
      </c>
      <c r="B568" s="1" t="n">
        <v>45616</v>
      </c>
      <c r="C568" s="1" t="n">
        <v>46032</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8443-2023</t>
        </is>
      </c>
      <c r="B569" s="1" t="n">
        <v>44977</v>
      </c>
      <c r="C569" s="1" t="n">
        <v>46032</v>
      </c>
      <c r="D569" t="inlineStr">
        <is>
          <t>JÄMTLANDS LÄN</t>
        </is>
      </c>
      <c r="E569" t="inlineStr">
        <is>
          <t>ÅRE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47069-2024</t>
        </is>
      </c>
      <c r="B570" s="1" t="n">
        <v>45586.48003472222</v>
      </c>
      <c r="C570" s="1" t="n">
        <v>46032</v>
      </c>
      <c r="D570" t="inlineStr">
        <is>
          <t>JÄMTLANDS LÄN</t>
        </is>
      </c>
      <c r="E570" t="inlineStr">
        <is>
          <t>ÅRE</t>
        </is>
      </c>
      <c r="G570" t="n">
        <v>7.1</v>
      </c>
      <c r="H570" t="n">
        <v>0</v>
      </c>
      <c r="I570" t="n">
        <v>0</v>
      </c>
      <c r="J570" t="n">
        <v>0</v>
      </c>
      <c r="K570" t="n">
        <v>0</v>
      </c>
      <c r="L570" t="n">
        <v>0</v>
      </c>
      <c r="M570" t="n">
        <v>0</v>
      </c>
      <c r="N570" t="n">
        <v>0</v>
      </c>
      <c r="O570" t="n">
        <v>0</v>
      </c>
      <c r="P570" t="n">
        <v>0</v>
      </c>
      <c r="Q570" t="n">
        <v>0</v>
      </c>
      <c r="R570" s="2" t="inlineStr"/>
    </row>
    <row r="571" ht="15" customHeight="1">
      <c r="A571" t="inlineStr">
        <is>
          <t>A 19275-2021</t>
        </is>
      </c>
      <c r="B571" s="1" t="n">
        <v>44309</v>
      </c>
      <c r="C571" s="1" t="n">
        <v>46032</v>
      </c>
      <c r="D571" t="inlineStr">
        <is>
          <t>JÄMTLANDS LÄN</t>
        </is>
      </c>
      <c r="E571" t="inlineStr">
        <is>
          <t>ÅRE</t>
        </is>
      </c>
      <c r="G571" t="n">
        <v>16.4</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46032</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56736-2023</t>
        </is>
      </c>
      <c r="B573" s="1" t="n">
        <v>45244</v>
      </c>
      <c r="C573" s="1" t="n">
        <v>46032</v>
      </c>
      <c r="D573" t="inlineStr">
        <is>
          <t>JÄMTLANDS LÄN</t>
        </is>
      </c>
      <c r="E573" t="inlineStr">
        <is>
          <t>ÅRE</t>
        </is>
      </c>
      <c r="F573" t="inlineStr">
        <is>
          <t>Övriga Aktiebolag</t>
        </is>
      </c>
      <c r="G573" t="n">
        <v>10.7</v>
      </c>
      <c r="H573" t="n">
        <v>0</v>
      </c>
      <c r="I573" t="n">
        <v>0</v>
      </c>
      <c r="J573" t="n">
        <v>0</v>
      </c>
      <c r="K573" t="n">
        <v>0</v>
      </c>
      <c r="L573" t="n">
        <v>0</v>
      </c>
      <c r="M573" t="n">
        <v>0</v>
      </c>
      <c r="N573" t="n">
        <v>0</v>
      </c>
      <c r="O573" t="n">
        <v>0</v>
      </c>
      <c r="P573" t="n">
        <v>0</v>
      </c>
      <c r="Q573" t="n">
        <v>0</v>
      </c>
      <c r="R573" s="2" t="inlineStr"/>
    </row>
    <row r="574" ht="15" customHeight="1">
      <c r="A574" t="inlineStr">
        <is>
          <t>A 51317-2023</t>
        </is>
      </c>
      <c r="B574" s="1" t="n">
        <v>45219.57061342592</v>
      </c>
      <c r="C574" s="1" t="n">
        <v>46032</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15482-2024</t>
        </is>
      </c>
      <c r="B575" s="1" t="n">
        <v>45401.49361111111</v>
      </c>
      <c r="C575" s="1" t="n">
        <v>46032</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73800-2021</t>
        </is>
      </c>
      <c r="B576" s="1" t="n">
        <v>44552</v>
      </c>
      <c r="C576" s="1" t="n">
        <v>46032</v>
      </c>
      <c r="D576" t="inlineStr">
        <is>
          <t>JÄMTLANDS LÄN</t>
        </is>
      </c>
      <c r="E576" t="inlineStr">
        <is>
          <t>ÅRE</t>
        </is>
      </c>
      <c r="G576" t="n">
        <v>8.6</v>
      </c>
      <c r="H576" t="n">
        <v>0</v>
      </c>
      <c r="I576" t="n">
        <v>0</v>
      </c>
      <c r="J576" t="n">
        <v>0</v>
      </c>
      <c r="K576" t="n">
        <v>0</v>
      </c>
      <c r="L576" t="n">
        <v>0</v>
      </c>
      <c r="M576" t="n">
        <v>0</v>
      </c>
      <c r="N576" t="n">
        <v>0</v>
      </c>
      <c r="O576" t="n">
        <v>0</v>
      </c>
      <c r="P576" t="n">
        <v>0</v>
      </c>
      <c r="Q576" t="n">
        <v>0</v>
      </c>
      <c r="R576" s="2" t="inlineStr"/>
    </row>
    <row r="577" ht="15" customHeight="1">
      <c r="A577" t="inlineStr">
        <is>
          <t>A 33003-2022</t>
        </is>
      </c>
      <c r="B577" s="1" t="n">
        <v>44784</v>
      </c>
      <c r="C577" s="1" t="n">
        <v>46032</v>
      </c>
      <c r="D577" t="inlineStr">
        <is>
          <t>JÄMTLANDS LÄN</t>
        </is>
      </c>
      <c r="E577" t="inlineStr">
        <is>
          <t>ÅRE</t>
        </is>
      </c>
      <c r="G577" t="n">
        <v>6.1</v>
      </c>
      <c r="H577" t="n">
        <v>0</v>
      </c>
      <c r="I577" t="n">
        <v>0</v>
      </c>
      <c r="J577" t="n">
        <v>0</v>
      </c>
      <c r="K577" t="n">
        <v>0</v>
      </c>
      <c r="L577" t="n">
        <v>0</v>
      </c>
      <c r="M577" t="n">
        <v>0</v>
      </c>
      <c r="N577" t="n">
        <v>0</v>
      </c>
      <c r="O577" t="n">
        <v>0</v>
      </c>
      <c r="P577" t="n">
        <v>0</v>
      </c>
      <c r="Q577" t="n">
        <v>0</v>
      </c>
      <c r="R577" s="2" t="inlineStr"/>
    </row>
    <row r="578" ht="15" customHeight="1">
      <c r="A578" t="inlineStr">
        <is>
          <t>A 32758-2022</t>
        </is>
      </c>
      <c r="B578" s="1" t="n">
        <v>44783</v>
      </c>
      <c r="C578" s="1" t="n">
        <v>46032</v>
      </c>
      <c r="D578" t="inlineStr">
        <is>
          <t>JÄMTLANDS LÄN</t>
        </is>
      </c>
      <c r="E578" t="inlineStr">
        <is>
          <t>ÅRE</t>
        </is>
      </c>
      <c r="G578" t="n">
        <v>8.4</v>
      </c>
      <c r="H578" t="n">
        <v>0</v>
      </c>
      <c r="I578" t="n">
        <v>0</v>
      </c>
      <c r="J578" t="n">
        <v>0</v>
      </c>
      <c r="K578" t="n">
        <v>0</v>
      </c>
      <c r="L578" t="n">
        <v>0</v>
      </c>
      <c r="M578" t="n">
        <v>0</v>
      </c>
      <c r="N578" t="n">
        <v>0</v>
      </c>
      <c r="O578" t="n">
        <v>0</v>
      </c>
      <c r="P578" t="n">
        <v>0</v>
      </c>
      <c r="Q578" t="n">
        <v>0</v>
      </c>
      <c r="R578" s="2" t="inlineStr"/>
    </row>
    <row r="579" ht="15" customHeight="1">
      <c r="A579" t="inlineStr">
        <is>
          <t>A 33239-2024</t>
        </is>
      </c>
      <c r="B579" s="1" t="n">
        <v>45518.59618055556</v>
      </c>
      <c r="C579" s="1" t="n">
        <v>46032</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39195-2024</t>
        </is>
      </c>
      <c r="B580" s="1" t="n">
        <v>45548.6934837963</v>
      </c>
      <c r="C580" s="1" t="n">
        <v>46032</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46032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8576-2024</t>
        </is>
      </c>
      <c r="B582" s="1" t="n">
        <v>45355</v>
      </c>
      <c r="C582" s="1" t="n">
        <v>46032</v>
      </c>
      <c r="D582" t="inlineStr">
        <is>
          <t>JÄMTLANDS LÄN</t>
        </is>
      </c>
      <c r="E582" t="inlineStr">
        <is>
          <t>ÅRE</t>
        </is>
      </c>
      <c r="G582" t="n">
        <v>21.7</v>
      </c>
      <c r="H582" t="n">
        <v>0</v>
      </c>
      <c r="I582" t="n">
        <v>0</v>
      </c>
      <c r="J582" t="n">
        <v>0</v>
      </c>
      <c r="K582" t="n">
        <v>0</v>
      </c>
      <c r="L582" t="n">
        <v>0</v>
      </c>
      <c r="M582" t="n">
        <v>0</v>
      </c>
      <c r="N582" t="n">
        <v>0</v>
      </c>
      <c r="O582" t="n">
        <v>0</v>
      </c>
      <c r="P582" t="n">
        <v>0</v>
      </c>
      <c r="Q582" t="n">
        <v>0</v>
      </c>
      <c r="R582" s="2" t="inlineStr"/>
    </row>
    <row r="583" ht="15" customHeight="1">
      <c r="A583" t="inlineStr">
        <is>
          <t>A 8788-2025</t>
        </is>
      </c>
      <c r="B583" s="1" t="n">
        <v>45712</v>
      </c>
      <c r="C583" s="1" t="n">
        <v>46032</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46032</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3147-2023</t>
        </is>
      </c>
      <c r="B585" s="1" t="n">
        <v>44946</v>
      </c>
      <c r="C585" s="1" t="n">
        <v>46032</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9777-2021</t>
        </is>
      </c>
      <c r="B586" s="1" t="n">
        <v>44252</v>
      </c>
      <c r="C586" s="1" t="n">
        <v>46032</v>
      </c>
      <c r="D586" t="inlineStr">
        <is>
          <t>JÄMTLANDS LÄN</t>
        </is>
      </c>
      <c r="E586" t="inlineStr">
        <is>
          <t>ÅRE</t>
        </is>
      </c>
      <c r="G586" t="n">
        <v>4.2</v>
      </c>
      <c r="H586" t="n">
        <v>0</v>
      </c>
      <c r="I586" t="n">
        <v>0</v>
      </c>
      <c r="J586" t="n">
        <v>0</v>
      </c>
      <c r="K586" t="n">
        <v>0</v>
      </c>
      <c r="L586" t="n">
        <v>0</v>
      </c>
      <c r="M586" t="n">
        <v>0</v>
      </c>
      <c r="N586" t="n">
        <v>0</v>
      </c>
      <c r="O586" t="n">
        <v>0</v>
      </c>
      <c r="P586" t="n">
        <v>0</v>
      </c>
      <c r="Q586" t="n">
        <v>0</v>
      </c>
      <c r="R586" s="2" t="inlineStr"/>
    </row>
    <row r="587" ht="15" customHeight="1">
      <c r="A587" t="inlineStr">
        <is>
          <t>A 56576-2022</t>
        </is>
      </c>
      <c r="B587" s="1" t="n">
        <v>44893</v>
      </c>
      <c r="C587" s="1" t="n">
        <v>46032</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46032</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13841-2024</t>
        </is>
      </c>
      <c r="B589" s="1" t="n">
        <v>45391</v>
      </c>
      <c r="C589" s="1" t="n">
        <v>46032</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46032</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40336-2021</t>
        </is>
      </c>
      <c r="B591" s="1" t="n">
        <v>44419</v>
      </c>
      <c r="C591" s="1" t="n">
        <v>46032</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46032</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44609-2024</t>
        </is>
      </c>
      <c r="B593" s="1" t="n">
        <v>45574.51212962963</v>
      </c>
      <c r="C593" s="1" t="n">
        <v>46032</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43449-2023</t>
        </is>
      </c>
      <c r="B594" s="1" t="n">
        <v>45184.36697916667</v>
      </c>
      <c r="C594" s="1" t="n">
        <v>46032</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44512-2023</t>
        </is>
      </c>
      <c r="B595" s="1" t="n">
        <v>45184</v>
      </c>
      <c r="C595" s="1" t="n">
        <v>46032</v>
      </c>
      <c r="D595" t="inlineStr">
        <is>
          <t>JÄMTLANDS LÄN</t>
        </is>
      </c>
      <c r="E595" t="inlineStr">
        <is>
          <t>ÅRE</t>
        </is>
      </c>
      <c r="G595" t="n">
        <v>12.5</v>
      </c>
      <c r="H595" t="n">
        <v>0</v>
      </c>
      <c r="I595" t="n">
        <v>0</v>
      </c>
      <c r="J595" t="n">
        <v>0</v>
      </c>
      <c r="K595" t="n">
        <v>0</v>
      </c>
      <c r="L595" t="n">
        <v>0</v>
      </c>
      <c r="M595" t="n">
        <v>0</v>
      </c>
      <c r="N595" t="n">
        <v>0</v>
      </c>
      <c r="O595" t="n">
        <v>0</v>
      </c>
      <c r="P595" t="n">
        <v>0</v>
      </c>
      <c r="Q595" t="n">
        <v>0</v>
      </c>
      <c r="R595" s="2" t="inlineStr"/>
    </row>
    <row r="596" ht="15" customHeight="1">
      <c r="A596" t="inlineStr">
        <is>
          <t>A 52707-2022</t>
        </is>
      </c>
      <c r="B596" s="1" t="n">
        <v>44874</v>
      </c>
      <c r="C596" s="1" t="n">
        <v>46032</v>
      </c>
      <c r="D596" t="inlineStr">
        <is>
          <t>JÄMTLANDS LÄN</t>
        </is>
      </c>
      <c r="E596" t="inlineStr">
        <is>
          <t>ÅRE</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59387-2022</t>
        </is>
      </c>
      <c r="B597" s="1" t="n">
        <v>44905</v>
      </c>
      <c r="C597" s="1" t="n">
        <v>46032</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42136-2022</t>
        </is>
      </c>
      <c r="B598" s="1" t="n">
        <v>44830</v>
      </c>
      <c r="C598" s="1" t="n">
        <v>46032</v>
      </c>
      <c r="D598" t="inlineStr">
        <is>
          <t>JÄMTLANDS LÄN</t>
        </is>
      </c>
      <c r="E598" t="inlineStr">
        <is>
          <t>ÅRE</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52470-2022</t>
        </is>
      </c>
      <c r="B599" s="1" t="n">
        <v>44874.48167824074</v>
      </c>
      <c r="C599" s="1" t="n">
        <v>46032</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54615-2022</t>
        </is>
      </c>
      <c r="B600" s="1" t="n">
        <v>44883.36125</v>
      </c>
      <c r="C600" s="1" t="n">
        <v>46032</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23561-2021</t>
        </is>
      </c>
      <c r="B601" s="1" t="n">
        <v>44334</v>
      </c>
      <c r="C601" s="1" t="n">
        <v>46032</v>
      </c>
      <c r="D601" t="inlineStr">
        <is>
          <t>JÄMTLANDS LÄN</t>
        </is>
      </c>
      <c r="E601" t="inlineStr">
        <is>
          <t>ÅRE</t>
        </is>
      </c>
      <c r="G601" t="n">
        <v>8.5</v>
      </c>
      <c r="H601" t="n">
        <v>0</v>
      </c>
      <c r="I601" t="n">
        <v>0</v>
      </c>
      <c r="J601" t="n">
        <v>0</v>
      </c>
      <c r="K601" t="n">
        <v>0</v>
      </c>
      <c r="L601" t="n">
        <v>0</v>
      </c>
      <c r="M601" t="n">
        <v>0</v>
      </c>
      <c r="N601" t="n">
        <v>0</v>
      </c>
      <c r="O601" t="n">
        <v>0</v>
      </c>
      <c r="P601" t="n">
        <v>0</v>
      </c>
      <c r="Q601" t="n">
        <v>0</v>
      </c>
      <c r="R601" s="2" t="inlineStr"/>
    </row>
    <row r="602" ht="15" customHeight="1">
      <c r="A602" t="inlineStr">
        <is>
          <t>A 33117-2023</t>
        </is>
      </c>
      <c r="B602" s="1" t="n">
        <v>45126</v>
      </c>
      <c r="C602" s="1" t="n">
        <v>46032</v>
      </c>
      <c r="D602" t="inlineStr">
        <is>
          <t>JÄMTLANDS LÄN</t>
        </is>
      </c>
      <c r="E602" t="inlineStr">
        <is>
          <t>ÅRE</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46032</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29177-2024</t>
        </is>
      </c>
      <c r="B604" s="1" t="n">
        <v>45482.53859953704</v>
      </c>
      <c r="C604" s="1" t="n">
        <v>46032</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4272-2025</t>
        </is>
      </c>
      <c r="B605" s="1" t="n">
        <v>45685</v>
      </c>
      <c r="C605" s="1" t="n">
        <v>46032</v>
      </c>
      <c r="D605" t="inlineStr">
        <is>
          <t>JÄMTLANDS LÄN</t>
        </is>
      </c>
      <c r="E605" t="inlineStr">
        <is>
          <t>ÅRE</t>
        </is>
      </c>
      <c r="F605" t="inlineStr">
        <is>
          <t>Övriga Aktiebolag</t>
        </is>
      </c>
      <c r="G605" t="n">
        <v>16.6</v>
      </c>
      <c r="H605" t="n">
        <v>0</v>
      </c>
      <c r="I605" t="n">
        <v>0</v>
      </c>
      <c r="J605" t="n">
        <v>0</v>
      </c>
      <c r="K605" t="n">
        <v>0</v>
      </c>
      <c r="L605" t="n">
        <v>0</v>
      </c>
      <c r="M605" t="n">
        <v>0</v>
      </c>
      <c r="N605" t="n">
        <v>0</v>
      </c>
      <c r="O605" t="n">
        <v>0</v>
      </c>
      <c r="P605" t="n">
        <v>0</v>
      </c>
      <c r="Q605" t="n">
        <v>0</v>
      </c>
      <c r="R605" s="2" t="inlineStr"/>
    </row>
    <row r="606" ht="15" customHeight="1">
      <c r="A606" t="inlineStr">
        <is>
          <t>A 7573-2023</t>
        </is>
      </c>
      <c r="B606" s="1" t="n">
        <v>44967</v>
      </c>
      <c r="C606" s="1" t="n">
        <v>46032</v>
      </c>
      <c r="D606" t="inlineStr">
        <is>
          <t>JÄMTLANDS LÄN</t>
        </is>
      </c>
      <c r="E606" t="inlineStr">
        <is>
          <t>ÅRE</t>
        </is>
      </c>
      <c r="G606" t="n">
        <v>7</v>
      </c>
      <c r="H606" t="n">
        <v>0</v>
      </c>
      <c r="I606" t="n">
        <v>0</v>
      </c>
      <c r="J606" t="n">
        <v>0</v>
      </c>
      <c r="K606" t="n">
        <v>0</v>
      </c>
      <c r="L606" t="n">
        <v>0</v>
      </c>
      <c r="M606" t="n">
        <v>0</v>
      </c>
      <c r="N606" t="n">
        <v>0</v>
      </c>
      <c r="O606" t="n">
        <v>0</v>
      </c>
      <c r="P606" t="n">
        <v>0</v>
      </c>
      <c r="Q606" t="n">
        <v>0</v>
      </c>
      <c r="R606" s="2" t="inlineStr"/>
    </row>
    <row r="607" ht="15" customHeight="1">
      <c r="A607" t="inlineStr">
        <is>
          <t>A 43342-2024</t>
        </is>
      </c>
      <c r="B607" s="1" t="n">
        <v>45568.55114583333</v>
      </c>
      <c r="C607" s="1" t="n">
        <v>46032</v>
      </c>
      <c r="D607" t="inlineStr">
        <is>
          <t>JÄMTLANDS LÄN</t>
        </is>
      </c>
      <c r="E607" t="inlineStr">
        <is>
          <t>ÅRE</t>
        </is>
      </c>
      <c r="F607" t="inlineStr">
        <is>
          <t>Övriga Aktiebolag</t>
        </is>
      </c>
      <c r="G607" t="n">
        <v>4.8</v>
      </c>
      <c r="H607" t="n">
        <v>0</v>
      </c>
      <c r="I607" t="n">
        <v>0</v>
      </c>
      <c r="J607" t="n">
        <v>0</v>
      </c>
      <c r="K607" t="n">
        <v>0</v>
      </c>
      <c r="L607" t="n">
        <v>0</v>
      </c>
      <c r="M607" t="n">
        <v>0</v>
      </c>
      <c r="N607" t="n">
        <v>0</v>
      </c>
      <c r="O607" t="n">
        <v>0</v>
      </c>
      <c r="P607" t="n">
        <v>0</v>
      </c>
      <c r="Q607" t="n">
        <v>0</v>
      </c>
      <c r="R607" s="2" t="inlineStr"/>
    </row>
    <row r="608" ht="15" customHeight="1">
      <c r="A608" t="inlineStr">
        <is>
          <t>A 13039-2024</t>
        </is>
      </c>
      <c r="B608" s="1" t="n">
        <v>45385</v>
      </c>
      <c r="C608" s="1" t="n">
        <v>46032</v>
      </c>
      <c r="D608" t="inlineStr">
        <is>
          <t>JÄMTLANDS LÄN</t>
        </is>
      </c>
      <c r="E608" t="inlineStr">
        <is>
          <t>ÅRE</t>
        </is>
      </c>
      <c r="G608" t="n">
        <v>1.8</v>
      </c>
      <c r="H608" t="n">
        <v>0</v>
      </c>
      <c r="I608" t="n">
        <v>0</v>
      </c>
      <c r="J608" t="n">
        <v>0</v>
      </c>
      <c r="K608" t="n">
        <v>0</v>
      </c>
      <c r="L608" t="n">
        <v>0</v>
      </c>
      <c r="M608" t="n">
        <v>0</v>
      </c>
      <c r="N608" t="n">
        <v>0</v>
      </c>
      <c r="O608" t="n">
        <v>0</v>
      </c>
      <c r="P608" t="n">
        <v>0</v>
      </c>
      <c r="Q608" t="n">
        <v>0</v>
      </c>
      <c r="R608" s="2" t="inlineStr"/>
    </row>
    <row r="609" ht="15" customHeight="1">
      <c r="A609" t="inlineStr">
        <is>
          <t>A 46976-2024</t>
        </is>
      </c>
      <c r="B609" s="1" t="n">
        <v>45586</v>
      </c>
      <c r="C609" s="1" t="n">
        <v>46032</v>
      </c>
      <c r="D609" t="inlineStr">
        <is>
          <t>JÄMTLANDS LÄN</t>
        </is>
      </c>
      <c r="E609" t="inlineStr">
        <is>
          <t>ÅRE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36219-2022</t>
        </is>
      </c>
      <c r="B610" s="1" t="n">
        <v>44803</v>
      </c>
      <c r="C610" s="1" t="n">
        <v>46032</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38268-2024</t>
        </is>
      </c>
      <c r="B611" s="1" t="n">
        <v>45545.59842592593</v>
      </c>
      <c r="C611" s="1" t="n">
        <v>46032</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60962-2023</t>
        </is>
      </c>
      <c r="B612" s="1" t="n">
        <v>45261.46787037037</v>
      </c>
      <c r="C612" s="1" t="n">
        <v>46032</v>
      </c>
      <c r="D612" t="inlineStr">
        <is>
          <t>JÄMTLANDS LÄN</t>
        </is>
      </c>
      <c r="E612" t="inlineStr">
        <is>
          <t>ÅRE</t>
        </is>
      </c>
      <c r="G612" t="n">
        <v>3.2</v>
      </c>
      <c r="H612" t="n">
        <v>0</v>
      </c>
      <c r="I612" t="n">
        <v>0</v>
      </c>
      <c r="J612" t="n">
        <v>0</v>
      </c>
      <c r="K612" t="n">
        <v>0</v>
      </c>
      <c r="L612" t="n">
        <v>0</v>
      </c>
      <c r="M612" t="n">
        <v>0</v>
      </c>
      <c r="N612" t="n">
        <v>0</v>
      </c>
      <c r="O612" t="n">
        <v>0</v>
      </c>
      <c r="P612" t="n">
        <v>0</v>
      </c>
      <c r="Q612" t="n">
        <v>0</v>
      </c>
      <c r="R612" s="2" t="inlineStr"/>
    </row>
    <row r="613" ht="15" customHeight="1">
      <c r="A613" t="inlineStr">
        <is>
          <t>A 60973-2023</t>
        </is>
      </c>
      <c r="B613" s="1" t="n">
        <v>45261.47321759259</v>
      </c>
      <c r="C613" s="1" t="n">
        <v>46032</v>
      </c>
      <c r="D613" t="inlineStr">
        <is>
          <t>JÄMTLANDS LÄN</t>
        </is>
      </c>
      <c r="E613" t="inlineStr">
        <is>
          <t>ÅRE</t>
        </is>
      </c>
      <c r="G613" t="n">
        <v>3.1</v>
      </c>
      <c r="H613" t="n">
        <v>0</v>
      </c>
      <c r="I613" t="n">
        <v>0</v>
      </c>
      <c r="J613" t="n">
        <v>0</v>
      </c>
      <c r="K613" t="n">
        <v>0</v>
      </c>
      <c r="L613" t="n">
        <v>0</v>
      </c>
      <c r="M613" t="n">
        <v>0</v>
      </c>
      <c r="N613" t="n">
        <v>0</v>
      </c>
      <c r="O613" t="n">
        <v>0</v>
      </c>
      <c r="P613" t="n">
        <v>0</v>
      </c>
      <c r="Q613" t="n">
        <v>0</v>
      </c>
      <c r="R613" s="2" t="inlineStr"/>
    </row>
    <row r="614" ht="15" customHeight="1">
      <c r="A614" t="inlineStr">
        <is>
          <t>A 59352-2021</t>
        </is>
      </c>
      <c r="B614" s="1" t="n">
        <v>44490</v>
      </c>
      <c r="C614" s="1" t="n">
        <v>46032</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57158-2021</t>
        </is>
      </c>
      <c r="B615" s="1" t="n">
        <v>44482</v>
      </c>
      <c r="C615" s="1" t="n">
        <v>46032</v>
      </c>
      <c r="D615" t="inlineStr">
        <is>
          <t>JÄMTLANDS LÄN</t>
        </is>
      </c>
      <c r="E615" t="inlineStr">
        <is>
          <t>ÅRE</t>
        </is>
      </c>
      <c r="G615" t="n">
        <v>0.4</v>
      </c>
      <c r="H615" t="n">
        <v>0</v>
      </c>
      <c r="I615" t="n">
        <v>0</v>
      </c>
      <c r="J615" t="n">
        <v>0</v>
      </c>
      <c r="K615" t="n">
        <v>0</v>
      </c>
      <c r="L615" t="n">
        <v>0</v>
      </c>
      <c r="M615" t="n">
        <v>0</v>
      </c>
      <c r="N615" t="n">
        <v>0</v>
      </c>
      <c r="O615" t="n">
        <v>0</v>
      </c>
      <c r="P615" t="n">
        <v>0</v>
      </c>
      <c r="Q615" t="n">
        <v>0</v>
      </c>
      <c r="R615" s="2" t="inlineStr"/>
    </row>
    <row r="616" ht="15" customHeight="1">
      <c r="A616" t="inlineStr">
        <is>
          <t>A 40339-2021</t>
        </is>
      </c>
      <c r="B616" s="1" t="n">
        <v>44419</v>
      </c>
      <c r="C616" s="1" t="n">
        <v>46032</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376-2024</t>
        </is>
      </c>
      <c r="B617" s="1" t="n">
        <v>45296</v>
      </c>
      <c r="C617" s="1" t="n">
        <v>46032</v>
      </c>
      <c r="D617" t="inlineStr">
        <is>
          <t>JÄMTLANDS LÄN</t>
        </is>
      </c>
      <c r="E617" t="inlineStr">
        <is>
          <t>ÅRE</t>
        </is>
      </c>
      <c r="F617" t="inlineStr">
        <is>
          <t>Kyrkan</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61295-2023</t>
        </is>
      </c>
      <c r="B618" s="1" t="n">
        <v>45264</v>
      </c>
      <c r="C618" s="1" t="n">
        <v>46032</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46032</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61331-2021</t>
        </is>
      </c>
      <c r="B620" s="1" t="n">
        <v>44498</v>
      </c>
      <c r="C620" s="1" t="n">
        <v>46032</v>
      </c>
      <c r="D620" t="inlineStr">
        <is>
          <t>JÄMTLANDS LÄN</t>
        </is>
      </c>
      <c r="E620" t="inlineStr">
        <is>
          <t>ÅRE</t>
        </is>
      </c>
      <c r="G620" t="n">
        <v>8.4</v>
      </c>
      <c r="H620" t="n">
        <v>0</v>
      </c>
      <c r="I620" t="n">
        <v>0</v>
      </c>
      <c r="J620" t="n">
        <v>0</v>
      </c>
      <c r="K620" t="n">
        <v>0</v>
      </c>
      <c r="L620" t="n">
        <v>0</v>
      </c>
      <c r="M620" t="n">
        <v>0</v>
      </c>
      <c r="N620" t="n">
        <v>0</v>
      </c>
      <c r="O620" t="n">
        <v>0</v>
      </c>
      <c r="P620" t="n">
        <v>0</v>
      </c>
      <c r="Q620" t="n">
        <v>0</v>
      </c>
      <c r="R620" s="2" t="inlineStr"/>
    </row>
    <row r="621" ht="15" customHeight="1">
      <c r="A621" t="inlineStr">
        <is>
          <t>A 61806-2021</t>
        </is>
      </c>
      <c r="B621" s="1" t="n">
        <v>44498</v>
      </c>
      <c r="C621" s="1" t="n">
        <v>46032</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46788-2024</t>
        </is>
      </c>
      <c r="B622" s="1" t="n">
        <v>45583.53219907408</v>
      </c>
      <c r="C622" s="1" t="n">
        <v>46032</v>
      </c>
      <c r="D622" t="inlineStr">
        <is>
          <t>JÄMTLANDS LÄN</t>
        </is>
      </c>
      <c r="E622" t="inlineStr">
        <is>
          <t>ÅRE</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60899-2022</t>
        </is>
      </c>
      <c r="B623" s="1" t="n">
        <v>44908</v>
      </c>
      <c r="C623" s="1" t="n">
        <v>46032</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45324-2024</t>
        </is>
      </c>
      <c r="B624" s="1" t="n">
        <v>45576</v>
      </c>
      <c r="C624" s="1" t="n">
        <v>46032</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556-2023</t>
        </is>
      </c>
      <c r="B625" s="1" t="n">
        <v>44930</v>
      </c>
      <c r="C625" s="1" t="n">
        <v>46032</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46032</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54250-2024</t>
        </is>
      </c>
      <c r="B627" s="1" t="n">
        <v>45616</v>
      </c>
      <c r="C627" s="1" t="n">
        <v>46032</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37729-2023</t>
        </is>
      </c>
      <c r="B628" s="1" t="n">
        <v>45159</v>
      </c>
      <c r="C628" s="1" t="n">
        <v>46032</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36234-2023</t>
        </is>
      </c>
      <c r="B629" s="1" t="n">
        <v>45150</v>
      </c>
      <c r="C629" s="1" t="n">
        <v>46032</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38456-2021</t>
        </is>
      </c>
      <c r="B630" s="1" t="n">
        <v>44406</v>
      </c>
      <c r="C630" s="1" t="n">
        <v>46032</v>
      </c>
      <c r="D630" t="inlineStr">
        <is>
          <t>JÄMTLANDS LÄN</t>
        </is>
      </c>
      <c r="E630" t="inlineStr">
        <is>
          <t>ÅRE</t>
        </is>
      </c>
      <c r="G630" t="n">
        <v>19.8</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46032</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45279-2024</t>
        </is>
      </c>
      <c r="B632" s="1" t="n">
        <v>45576.37496527778</v>
      </c>
      <c r="C632" s="1" t="n">
        <v>46032</v>
      </c>
      <c r="D632" t="inlineStr">
        <is>
          <t>JÄMTLANDS LÄN</t>
        </is>
      </c>
      <c r="E632" t="inlineStr">
        <is>
          <t>ÅRE</t>
        </is>
      </c>
      <c r="G632" t="n">
        <v>17.2</v>
      </c>
      <c r="H632" t="n">
        <v>0</v>
      </c>
      <c r="I632" t="n">
        <v>0</v>
      </c>
      <c r="J632" t="n">
        <v>0</v>
      </c>
      <c r="K632" t="n">
        <v>0</v>
      </c>
      <c r="L632" t="n">
        <v>0</v>
      </c>
      <c r="M632" t="n">
        <v>0</v>
      </c>
      <c r="N632" t="n">
        <v>0</v>
      </c>
      <c r="O632" t="n">
        <v>0</v>
      </c>
      <c r="P632" t="n">
        <v>0</v>
      </c>
      <c r="Q632" t="n">
        <v>0</v>
      </c>
      <c r="R632" s="2" t="inlineStr"/>
    </row>
    <row r="633" ht="15" customHeight="1">
      <c r="A633" t="inlineStr">
        <is>
          <t>A 22707-2021</t>
        </is>
      </c>
      <c r="B633" s="1" t="n">
        <v>44323</v>
      </c>
      <c r="C633" s="1" t="n">
        <v>46032</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28817-2021</t>
        </is>
      </c>
      <c r="B634" s="1" t="n">
        <v>44357</v>
      </c>
      <c r="C634" s="1" t="n">
        <v>46032</v>
      </c>
      <c r="D634" t="inlineStr">
        <is>
          <t>JÄMTLANDS LÄN</t>
        </is>
      </c>
      <c r="E634" t="inlineStr">
        <is>
          <t>ÅRE</t>
        </is>
      </c>
      <c r="G634" t="n">
        <v>21.4</v>
      </c>
      <c r="H634" t="n">
        <v>0</v>
      </c>
      <c r="I634" t="n">
        <v>0</v>
      </c>
      <c r="J634" t="n">
        <v>0</v>
      </c>
      <c r="K634" t="n">
        <v>0</v>
      </c>
      <c r="L634" t="n">
        <v>0</v>
      </c>
      <c r="M634" t="n">
        <v>0</v>
      </c>
      <c r="N634" t="n">
        <v>0</v>
      </c>
      <c r="O634" t="n">
        <v>0</v>
      </c>
      <c r="P634" t="n">
        <v>0</v>
      </c>
      <c r="Q634" t="n">
        <v>0</v>
      </c>
      <c r="R634" s="2" t="inlineStr"/>
    </row>
    <row r="635" ht="15" customHeight="1">
      <c r="A635" t="inlineStr">
        <is>
          <t>A 1460-2024</t>
        </is>
      </c>
      <c r="B635" s="1" t="n">
        <v>45303.93322916667</v>
      </c>
      <c r="C635" s="1" t="n">
        <v>46032</v>
      </c>
      <c r="D635" t="inlineStr">
        <is>
          <t>JÄMTLANDS LÄN</t>
        </is>
      </c>
      <c r="E635" t="inlineStr">
        <is>
          <t>ÅRE</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61524-2021</t>
        </is>
      </c>
      <c r="B636" s="1" t="n">
        <v>44496</v>
      </c>
      <c r="C636" s="1" t="n">
        <v>46032</v>
      </c>
      <c r="D636" t="inlineStr">
        <is>
          <t>JÄMTLANDS LÄN</t>
        </is>
      </c>
      <c r="E636" t="inlineStr">
        <is>
          <t>ÅRE</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61481-2022</t>
        </is>
      </c>
      <c r="B637" s="1" t="n">
        <v>44910</v>
      </c>
      <c r="C637" s="1" t="n">
        <v>46032</v>
      </c>
      <c r="D637" t="inlineStr">
        <is>
          <t>JÄMTLANDS LÄN</t>
        </is>
      </c>
      <c r="E637" t="inlineStr">
        <is>
          <t>ÅRE</t>
        </is>
      </c>
      <c r="G637" t="n">
        <v>0.4</v>
      </c>
      <c r="H637" t="n">
        <v>0</v>
      </c>
      <c r="I637" t="n">
        <v>0</v>
      </c>
      <c r="J637" t="n">
        <v>0</v>
      </c>
      <c r="K637" t="n">
        <v>0</v>
      </c>
      <c r="L637" t="n">
        <v>0</v>
      </c>
      <c r="M637" t="n">
        <v>0</v>
      </c>
      <c r="N637" t="n">
        <v>0</v>
      </c>
      <c r="O637" t="n">
        <v>0</v>
      </c>
      <c r="P637" t="n">
        <v>0</v>
      </c>
      <c r="Q637" t="n">
        <v>0</v>
      </c>
      <c r="R637" s="2" t="inlineStr"/>
    </row>
    <row r="638" ht="15" customHeight="1">
      <c r="A638" t="inlineStr">
        <is>
          <t>A 58940-2021</t>
        </is>
      </c>
      <c r="B638" s="1" t="n">
        <v>44489</v>
      </c>
      <c r="C638" s="1" t="n">
        <v>46032</v>
      </c>
      <c r="D638" t="inlineStr">
        <is>
          <t>JÄMTLANDS LÄN</t>
        </is>
      </c>
      <c r="E638" t="inlineStr">
        <is>
          <t>ÅRE</t>
        </is>
      </c>
      <c r="G638" t="n">
        <v>5.8</v>
      </c>
      <c r="H638" t="n">
        <v>0</v>
      </c>
      <c r="I638" t="n">
        <v>0</v>
      </c>
      <c r="J638" t="n">
        <v>0</v>
      </c>
      <c r="K638" t="n">
        <v>0</v>
      </c>
      <c r="L638" t="n">
        <v>0</v>
      </c>
      <c r="M638" t="n">
        <v>0</v>
      </c>
      <c r="N638" t="n">
        <v>0</v>
      </c>
      <c r="O638" t="n">
        <v>0</v>
      </c>
      <c r="P638" t="n">
        <v>0</v>
      </c>
      <c r="Q638" t="n">
        <v>0</v>
      </c>
      <c r="R638" s="2" t="inlineStr"/>
    </row>
    <row r="639" ht="15" customHeight="1">
      <c r="A639" t="inlineStr">
        <is>
          <t>A 56556-2022</t>
        </is>
      </c>
      <c r="B639" s="1" t="n">
        <v>44893.48930555556</v>
      </c>
      <c r="C639" s="1" t="n">
        <v>46032</v>
      </c>
      <c r="D639" t="inlineStr">
        <is>
          <t>JÄMTLANDS LÄN</t>
        </is>
      </c>
      <c r="E639" t="inlineStr">
        <is>
          <t>ÅRE</t>
        </is>
      </c>
      <c r="F639" t="inlineStr">
        <is>
          <t>Övriga Aktiebolag</t>
        </is>
      </c>
      <c r="G639" t="n">
        <v>4.9</v>
      </c>
      <c r="H639" t="n">
        <v>0</v>
      </c>
      <c r="I639" t="n">
        <v>0</v>
      </c>
      <c r="J639" t="n">
        <v>0</v>
      </c>
      <c r="K639" t="n">
        <v>0</v>
      </c>
      <c r="L639" t="n">
        <v>0</v>
      </c>
      <c r="M639" t="n">
        <v>0</v>
      </c>
      <c r="N639" t="n">
        <v>0</v>
      </c>
      <c r="O639" t="n">
        <v>0</v>
      </c>
      <c r="P639" t="n">
        <v>0</v>
      </c>
      <c r="Q639" t="n">
        <v>0</v>
      </c>
      <c r="R639" s="2" t="inlineStr"/>
    </row>
    <row r="640" ht="15" customHeight="1">
      <c r="A640" t="inlineStr">
        <is>
          <t>A 5610-2025</t>
        </is>
      </c>
      <c r="B640" s="1" t="n">
        <v>45693.60425925926</v>
      </c>
      <c r="C640" s="1" t="n">
        <v>46032</v>
      </c>
      <c r="D640" t="inlineStr">
        <is>
          <t>JÄMTLANDS LÄN</t>
        </is>
      </c>
      <c r="E640" t="inlineStr">
        <is>
          <t>ÅRE</t>
        </is>
      </c>
      <c r="G640" t="n">
        <v>1.6</v>
      </c>
      <c r="H640" t="n">
        <v>0</v>
      </c>
      <c r="I640" t="n">
        <v>0</v>
      </c>
      <c r="J640" t="n">
        <v>0</v>
      </c>
      <c r="K640" t="n">
        <v>0</v>
      </c>
      <c r="L640" t="n">
        <v>0</v>
      </c>
      <c r="M640" t="n">
        <v>0</v>
      </c>
      <c r="N640" t="n">
        <v>0</v>
      </c>
      <c r="O640" t="n">
        <v>0</v>
      </c>
      <c r="P640" t="n">
        <v>0</v>
      </c>
      <c r="Q640" t="n">
        <v>0</v>
      </c>
      <c r="R640" s="2" t="inlineStr"/>
    </row>
    <row r="641" ht="15" customHeight="1">
      <c r="A641" t="inlineStr">
        <is>
          <t>A 27390-2021</t>
        </is>
      </c>
      <c r="B641" s="1" t="n">
        <v>44351</v>
      </c>
      <c r="C641" s="1" t="n">
        <v>46032</v>
      </c>
      <c r="D641" t="inlineStr">
        <is>
          <t>JÄMTLANDS LÄN</t>
        </is>
      </c>
      <c r="E641" t="inlineStr">
        <is>
          <t>ÅRE</t>
        </is>
      </c>
      <c r="G641" t="n">
        <v>14.9</v>
      </c>
      <c r="H641" t="n">
        <v>0</v>
      </c>
      <c r="I641" t="n">
        <v>0</v>
      </c>
      <c r="J641" t="n">
        <v>0</v>
      </c>
      <c r="K641" t="n">
        <v>0</v>
      </c>
      <c r="L641" t="n">
        <v>0</v>
      </c>
      <c r="M641" t="n">
        <v>0</v>
      </c>
      <c r="N641" t="n">
        <v>0</v>
      </c>
      <c r="O641" t="n">
        <v>0</v>
      </c>
      <c r="P641" t="n">
        <v>0</v>
      </c>
      <c r="Q641" t="n">
        <v>0</v>
      </c>
      <c r="R641" s="2" t="inlineStr"/>
    </row>
    <row r="642" ht="15" customHeight="1">
      <c r="A642" t="inlineStr">
        <is>
          <t>A 14283-2025</t>
        </is>
      </c>
      <c r="B642" s="1" t="n">
        <v>45740.65851851852</v>
      </c>
      <c r="C642" s="1" t="n">
        <v>46032</v>
      </c>
      <c r="D642" t="inlineStr">
        <is>
          <t>JÄMTLANDS LÄN</t>
        </is>
      </c>
      <c r="E642" t="inlineStr">
        <is>
          <t>ÅRE</t>
        </is>
      </c>
      <c r="G642" t="n">
        <v>4.6</v>
      </c>
      <c r="H642" t="n">
        <v>0</v>
      </c>
      <c r="I642" t="n">
        <v>0</v>
      </c>
      <c r="J642" t="n">
        <v>0</v>
      </c>
      <c r="K642" t="n">
        <v>0</v>
      </c>
      <c r="L642" t="n">
        <v>0</v>
      </c>
      <c r="M642" t="n">
        <v>0</v>
      </c>
      <c r="N642" t="n">
        <v>0</v>
      </c>
      <c r="O642" t="n">
        <v>0</v>
      </c>
      <c r="P642" t="n">
        <v>0</v>
      </c>
      <c r="Q642" t="n">
        <v>0</v>
      </c>
      <c r="R642" s="2" t="inlineStr"/>
    </row>
    <row r="643" ht="15" customHeight="1">
      <c r="A643" t="inlineStr">
        <is>
          <t>A 33379-2024</t>
        </is>
      </c>
      <c r="B643" s="1" t="n">
        <v>45519.4495949074</v>
      </c>
      <c r="C643" s="1" t="n">
        <v>46032</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46032</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59215-2024</t>
        </is>
      </c>
      <c r="B645" s="1" t="n">
        <v>45636</v>
      </c>
      <c r="C645" s="1" t="n">
        <v>46032</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23159-2024</t>
        </is>
      </c>
      <c r="B646" s="1" t="n">
        <v>45450.7033912037</v>
      </c>
      <c r="C646" s="1" t="n">
        <v>46032</v>
      </c>
      <c r="D646" t="inlineStr">
        <is>
          <t>JÄMTLANDS LÄN</t>
        </is>
      </c>
      <c r="E646" t="inlineStr">
        <is>
          <t>ÅRE</t>
        </is>
      </c>
      <c r="G646" t="n">
        <v>1.2</v>
      </c>
      <c r="H646" t="n">
        <v>0</v>
      </c>
      <c r="I646" t="n">
        <v>0</v>
      </c>
      <c r="J646" t="n">
        <v>0</v>
      </c>
      <c r="K646" t="n">
        <v>0</v>
      </c>
      <c r="L646" t="n">
        <v>0</v>
      </c>
      <c r="M646" t="n">
        <v>0</v>
      </c>
      <c r="N646" t="n">
        <v>0</v>
      </c>
      <c r="O646" t="n">
        <v>0</v>
      </c>
      <c r="P646" t="n">
        <v>0</v>
      </c>
      <c r="Q646" t="n">
        <v>0</v>
      </c>
      <c r="R646" s="2" t="inlineStr"/>
    </row>
    <row r="647" ht="15" customHeight="1">
      <c r="A647" t="inlineStr">
        <is>
          <t>A 57448-2023</t>
        </is>
      </c>
      <c r="B647" s="1" t="n">
        <v>45246.34405092592</v>
      </c>
      <c r="C647" s="1" t="n">
        <v>46032</v>
      </c>
      <c r="D647" t="inlineStr">
        <is>
          <t>JÄMTLANDS LÄN</t>
        </is>
      </c>
      <c r="E647" t="inlineStr">
        <is>
          <t>ÅRE</t>
        </is>
      </c>
      <c r="G647" t="n">
        <v>11.9</v>
      </c>
      <c r="H647" t="n">
        <v>0</v>
      </c>
      <c r="I647" t="n">
        <v>0</v>
      </c>
      <c r="J647" t="n">
        <v>0</v>
      </c>
      <c r="K647" t="n">
        <v>0</v>
      </c>
      <c r="L647" t="n">
        <v>0</v>
      </c>
      <c r="M647" t="n">
        <v>0</v>
      </c>
      <c r="N647" t="n">
        <v>0</v>
      </c>
      <c r="O647" t="n">
        <v>0</v>
      </c>
      <c r="P647" t="n">
        <v>0</v>
      </c>
      <c r="Q647" t="n">
        <v>0</v>
      </c>
      <c r="R647" s="2" t="inlineStr"/>
    </row>
    <row r="648" ht="15" customHeight="1">
      <c r="A648" t="inlineStr">
        <is>
          <t>A 49818-2022</t>
        </is>
      </c>
      <c r="B648" s="1" t="n">
        <v>44859</v>
      </c>
      <c r="C648" s="1" t="n">
        <v>46032</v>
      </c>
      <c r="D648" t="inlineStr">
        <is>
          <t>JÄMTLANDS LÄN</t>
        </is>
      </c>
      <c r="E648" t="inlineStr">
        <is>
          <t>ÅRE</t>
        </is>
      </c>
      <c r="G648" t="n">
        <v>63</v>
      </c>
      <c r="H648" t="n">
        <v>0</v>
      </c>
      <c r="I648" t="n">
        <v>0</v>
      </c>
      <c r="J648" t="n">
        <v>0</v>
      </c>
      <c r="K648" t="n">
        <v>0</v>
      </c>
      <c r="L648" t="n">
        <v>0</v>
      </c>
      <c r="M648" t="n">
        <v>0</v>
      </c>
      <c r="N648" t="n">
        <v>0</v>
      </c>
      <c r="O648" t="n">
        <v>0</v>
      </c>
      <c r="P648" t="n">
        <v>0</v>
      </c>
      <c r="Q648" t="n">
        <v>0</v>
      </c>
      <c r="R648" s="2" t="inlineStr"/>
    </row>
    <row r="649" ht="15" customHeight="1">
      <c r="A649" t="inlineStr">
        <is>
          <t>A 73798-2021</t>
        </is>
      </c>
      <c r="B649" s="1" t="n">
        <v>44552</v>
      </c>
      <c r="C649" s="1" t="n">
        <v>46032</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1414-2023</t>
        </is>
      </c>
      <c r="B650" s="1" t="n">
        <v>44936</v>
      </c>
      <c r="C650" s="1" t="n">
        <v>46032</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30379-2024</t>
        </is>
      </c>
      <c r="B651" s="1" t="n">
        <v>45491.43815972222</v>
      </c>
      <c r="C651" s="1" t="n">
        <v>46032</v>
      </c>
      <c r="D651" t="inlineStr">
        <is>
          <t>JÄMTLANDS LÄN</t>
        </is>
      </c>
      <c r="E651" t="inlineStr">
        <is>
          <t>ÅRE</t>
        </is>
      </c>
      <c r="G651" t="n">
        <v>2.4</v>
      </c>
      <c r="H651" t="n">
        <v>0</v>
      </c>
      <c r="I651" t="n">
        <v>0</v>
      </c>
      <c r="J651" t="n">
        <v>0</v>
      </c>
      <c r="K651" t="n">
        <v>0</v>
      </c>
      <c r="L651" t="n">
        <v>0</v>
      </c>
      <c r="M651" t="n">
        <v>0</v>
      </c>
      <c r="N651" t="n">
        <v>0</v>
      </c>
      <c r="O651" t="n">
        <v>0</v>
      </c>
      <c r="P651" t="n">
        <v>0</v>
      </c>
      <c r="Q651" t="n">
        <v>0</v>
      </c>
      <c r="R651" s="2" t="inlineStr"/>
    </row>
    <row r="652" ht="15" customHeight="1">
      <c r="A652" t="inlineStr">
        <is>
          <t>A 17883-2021</t>
        </is>
      </c>
      <c r="B652" s="1" t="n">
        <v>44301</v>
      </c>
      <c r="C652" s="1" t="n">
        <v>46032</v>
      </c>
      <c r="D652" t="inlineStr">
        <is>
          <t>JÄMTLANDS LÄN</t>
        </is>
      </c>
      <c r="E652" t="inlineStr">
        <is>
          <t>ÅRE</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33015-2022</t>
        </is>
      </c>
      <c r="B653" s="1" t="n">
        <v>44784</v>
      </c>
      <c r="C653" s="1" t="n">
        <v>46032</v>
      </c>
      <c r="D653" t="inlineStr">
        <is>
          <t>JÄMTLANDS LÄN</t>
        </is>
      </c>
      <c r="E653" t="inlineStr">
        <is>
          <t>ÅRE</t>
        </is>
      </c>
      <c r="G653" t="n">
        <v>5.1</v>
      </c>
      <c r="H653" t="n">
        <v>0</v>
      </c>
      <c r="I653" t="n">
        <v>0</v>
      </c>
      <c r="J653" t="n">
        <v>0</v>
      </c>
      <c r="K653" t="n">
        <v>0</v>
      </c>
      <c r="L653" t="n">
        <v>0</v>
      </c>
      <c r="M653" t="n">
        <v>0</v>
      </c>
      <c r="N653" t="n">
        <v>0</v>
      </c>
      <c r="O653" t="n">
        <v>0</v>
      </c>
      <c r="P653" t="n">
        <v>0</v>
      </c>
      <c r="Q653" t="n">
        <v>0</v>
      </c>
      <c r="R653" s="2" t="inlineStr"/>
    </row>
    <row r="654" ht="15" customHeight="1">
      <c r="A654" t="inlineStr">
        <is>
          <t>A 49313-2024</t>
        </is>
      </c>
      <c r="B654" s="1" t="n">
        <v>45595</v>
      </c>
      <c r="C654" s="1" t="n">
        <v>46032</v>
      </c>
      <c r="D654" t="inlineStr">
        <is>
          <t>JÄMTLANDS LÄN</t>
        </is>
      </c>
      <c r="E654" t="inlineStr">
        <is>
          <t>ÅRE</t>
        </is>
      </c>
      <c r="G654" t="n">
        <v>1.1</v>
      </c>
      <c r="H654" t="n">
        <v>0</v>
      </c>
      <c r="I654" t="n">
        <v>0</v>
      </c>
      <c r="J654" t="n">
        <v>0</v>
      </c>
      <c r="K654" t="n">
        <v>0</v>
      </c>
      <c r="L654" t="n">
        <v>0</v>
      </c>
      <c r="M654" t="n">
        <v>0</v>
      </c>
      <c r="N654" t="n">
        <v>0</v>
      </c>
      <c r="O654" t="n">
        <v>0</v>
      </c>
      <c r="P654" t="n">
        <v>0</v>
      </c>
      <c r="Q654" t="n">
        <v>0</v>
      </c>
      <c r="R654" s="2" t="inlineStr"/>
    </row>
    <row r="655" ht="15" customHeight="1">
      <c r="A655" t="inlineStr">
        <is>
          <t>A 29294-2023</t>
        </is>
      </c>
      <c r="B655" s="1" t="n">
        <v>45098</v>
      </c>
      <c r="C655" s="1" t="n">
        <v>46032</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43324-2022</t>
        </is>
      </c>
      <c r="B656" s="1" t="n">
        <v>44834</v>
      </c>
      <c r="C656" s="1" t="n">
        <v>46032</v>
      </c>
      <c r="D656" t="inlineStr">
        <is>
          <t>JÄMTLANDS LÄN</t>
        </is>
      </c>
      <c r="E656" t="inlineStr">
        <is>
          <t>ÅRE</t>
        </is>
      </c>
      <c r="F656" t="inlineStr">
        <is>
          <t>Bergvik skog öst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47052-2022</t>
        </is>
      </c>
      <c r="B657" s="1" t="n">
        <v>44851</v>
      </c>
      <c r="C657" s="1" t="n">
        <v>46032</v>
      </c>
      <c r="D657" t="inlineStr">
        <is>
          <t>JÄMTLANDS LÄN</t>
        </is>
      </c>
      <c r="E657" t="inlineStr">
        <is>
          <t>ÅRE</t>
        </is>
      </c>
      <c r="G657" t="n">
        <v>90.8</v>
      </c>
      <c r="H657" t="n">
        <v>0</v>
      </c>
      <c r="I657" t="n">
        <v>0</v>
      </c>
      <c r="J657" t="n">
        <v>0</v>
      </c>
      <c r="K657" t="n">
        <v>0</v>
      </c>
      <c r="L657" t="n">
        <v>0</v>
      </c>
      <c r="M657" t="n">
        <v>0</v>
      </c>
      <c r="N657" t="n">
        <v>0</v>
      </c>
      <c r="O657" t="n">
        <v>0</v>
      </c>
      <c r="P657" t="n">
        <v>0</v>
      </c>
      <c r="Q657" t="n">
        <v>0</v>
      </c>
      <c r="R657" s="2" t="inlineStr"/>
    </row>
    <row r="658" ht="15" customHeight="1">
      <c r="A658" t="inlineStr">
        <is>
          <t>A 59666-2023</t>
        </is>
      </c>
      <c r="B658" s="1" t="n">
        <v>45254.96476851852</v>
      </c>
      <c r="C658" s="1" t="n">
        <v>46032</v>
      </c>
      <c r="D658" t="inlineStr">
        <is>
          <t>JÄMTLANDS LÄN</t>
        </is>
      </c>
      <c r="E658" t="inlineStr">
        <is>
          <t>ÅRE</t>
        </is>
      </c>
      <c r="G658" t="n">
        <v>6.6</v>
      </c>
      <c r="H658" t="n">
        <v>0</v>
      </c>
      <c r="I658" t="n">
        <v>0</v>
      </c>
      <c r="J658" t="n">
        <v>0</v>
      </c>
      <c r="K658" t="n">
        <v>0</v>
      </c>
      <c r="L658" t="n">
        <v>0</v>
      </c>
      <c r="M658" t="n">
        <v>0</v>
      </c>
      <c r="N658" t="n">
        <v>0</v>
      </c>
      <c r="O658" t="n">
        <v>0</v>
      </c>
      <c r="P658" t="n">
        <v>0</v>
      </c>
      <c r="Q658" t="n">
        <v>0</v>
      </c>
      <c r="R658" s="2" t="inlineStr"/>
    </row>
    <row r="659" ht="15" customHeight="1">
      <c r="A659" t="inlineStr">
        <is>
          <t>A 20999-2024</t>
        </is>
      </c>
      <c r="B659" s="1" t="n">
        <v>45439</v>
      </c>
      <c r="C659" s="1" t="n">
        <v>46032</v>
      </c>
      <c r="D659" t="inlineStr">
        <is>
          <t>JÄMTLANDS LÄN</t>
        </is>
      </c>
      <c r="E659" t="inlineStr">
        <is>
          <t>ÅRE</t>
        </is>
      </c>
      <c r="G659" t="n">
        <v>5.7</v>
      </c>
      <c r="H659" t="n">
        <v>0</v>
      </c>
      <c r="I659" t="n">
        <v>0</v>
      </c>
      <c r="J659" t="n">
        <v>0</v>
      </c>
      <c r="K659" t="n">
        <v>0</v>
      </c>
      <c r="L659" t="n">
        <v>0</v>
      </c>
      <c r="M659" t="n">
        <v>0</v>
      </c>
      <c r="N659" t="n">
        <v>0</v>
      </c>
      <c r="O659" t="n">
        <v>0</v>
      </c>
      <c r="P659" t="n">
        <v>0</v>
      </c>
      <c r="Q659" t="n">
        <v>0</v>
      </c>
      <c r="R659" s="2" t="inlineStr"/>
    </row>
    <row r="660" ht="15" customHeight="1">
      <c r="A660" t="inlineStr">
        <is>
          <t>A 41686-2024</t>
        </is>
      </c>
      <c r="B660" s="1" t="n">
        <v>45560.67016203704</v>
      </c>
      <c r="C660" s="1" t="n">
        <v>46032</v>
      </c>
      <c r="D660" t="inlineStr">
        <is>
          <t>JÄMTLANDS LÄN</t>
        </is>
      </c>
      <c r="E660" t="inlineStr">
        <is>
          <t>ÅRE</t>
        </is>
      </c>
      <c r="G660" t="n">
        <v>0.6</v>
      </c>
      <c r="H660" t="n">
        <v>0</v>
      </c>
      <c r="I660" t="n">
        <v>0</v>
      </c>
      <c r="J660" t="n">
        <v>0</v>
      </c>
      <c r="K660" t="n">
        <v>0</v>
      </c>
      <c r="L660" t="n">
        <v>0</v>
      </c>
      <c r="M660" t="n">
        <v>0</v>
      </c>
      <c r="N660" t="n">
        <v>0</v>
      </c>
      <c r="O660" t="n">
        <v>0</v>
      </c>
      <c r="P660" t="n">
        <v>0</v>
      </c>
      <c r="Q660" t="n">
        <v>0</v>
      </c>
      <c r="R660" s="2" t="inlineStr"/>
    </row>
    <row r="661" ht="15" customHeight="1">
      <c r="A661" t="inlineStr">
        <is>
          <t>A 56609-2023</t>
        </is>
      </c>
      <c r="B661" s="1" t="n">
        <v>45243.66828703704</v>
      </c>
      <c r="C661" s="1" t="n">
        <v>46032</v>
      </c>
      <c r="D661" t="inlineStr">
        <is>
          <t>JÄMTLANDS LÄN</t>
        </is>
      </c>
      <c r="E661" t="inlineStr">
        <is>
          <t>ÅRE</t>
        </is>
      </c>
      <c r="G661" t="n">
        <v>17.9</v>
      </c>
      <c r="H661" t="n">
        <v>0</v>
      </c>
      <c r="I661" t="n">
        <v>0</v>
      </c>
      <c r="J661" t="n">
        <v>0</v>
      </c>
      <c r="K661" t="n">
        <v>0</v>
      </c>
      <c r="L661" t="n">
        <v>0</v>
      </c>
      <c r="M661" t="n">
        <v>0</v>
      </c>
      <c r="N661" t="n">
        <v>0</v>
      </c>
      <c r="O661" t="n">
        <v>0</v>
      </c>
      <c r="P661" t="n">
        <v>0</v>
      </c>
      <c r="Q661" t="n">
        <v>0</v>
      </c>
      <c r="R661" s="2" t="inlineStr"/>
    </row>
    <row r="662" ht="15" customHeight="1">
      <c r="A662" t="inlineStr">
        <is>
          <t>A 12182-2023</t>
        </is>
      </c>
      <c r="B662" s="1" t="n">
        <v>44998</v>
      </c>
      <c r="C662" s="1" t="n">
        <v>46032</v>
      </c>
      <c r="D662" t="inlineStr">
        <is>
          <t>JÄMTLANDS LÄN</t>
        </is>
      </c>
      <c r="E662" t="inlineStr">
        <is>
          <t>ÅRE</t>
        </is>
      </c>
      <c r="G662" t="n">
        <v>11.7</v>
      </c>
      <c r="H662" t="n">
        <v>0</v>
      </c>
      <c r="I662" t="n">
        <v>0</v>
      </c>
      <c r="J662" t="n">
        <v>0</v>
      </c>
      <c r="K662" t="n">
        <v>0</v>
      </c>
      <c r="L662" t="n">
        <v>0</v>
      </c>
      <c r="M662" t="n">
        <v>0</v>
      </c>
      <c r="N662" t="n">
        <v>0</v>
      </c>
      <c r="O662" t="n">
        <v>0</v>
      </c>
      <c r="P662" t="n">
        <v>0</v>
      </c>
      <c r="Q662" t="n">
        <v>0</v>
      </c>
      <c r="R662" s="2" t="inlineStr"/>
    </row>
    <row r="663" ht="15" customHeight="1">
      <c r="A663" t="inlineStr">
        <is>
          <t>A 71968-2021</t>
        </is>
      </c>
      <c r="B663" s="1" t="n">
        <v>44540</v>
      </c>
      <c r="C663" s="1" t="n">
        <v>46032</v>
      </c>
      <c r="D663" t="inlineStr">
        <is>
          <t>JÄMTLANDS LÄN</t>
        </is>
      </c>
      <c r="E663" t="inlineStr">
        <is>
          <t>ÅRE</t>
        </is>
      </c>
      <c r="G663" t="n">
        <v>7</v>
      </c>
      <c r="H663" t="n">
        <v>0</v>
      </c>
      <c r="I663" t="n">
        <v>0</v>
      </c>
      <c r="J663" t="n">
        <v>0</v>
      </c>
      <c r="K663" t="n">
        <v>0</v>
      </c>
      <c r="L663" t="n">
        <v>0</v>
      </c>
      <c r="M663" t="n">
        <v>0</v>
      </c>
      <c r="N663" t="n">
        <v>0</v>
      </c>
      <c r="O663" t="n">
        <v>0</v>
      </c>
      <c r="P663" t="n">
        <v>0</v>
      </c>
      <c r="Q663" t="n">
        <v>0</v>
      </c>
      <c r="R663" s="2" t="inlineStr"/>
    </row>
    <row r="664" ht="15" customHeight="1">
      <c r="A664" t="inlineStr">
        <is>
          <t>A 54324-2023</t>
        </is>
      </c>
      <c r="B664" s="1" t="n">
        <v>45225</v>
      </c>
      <c r="C664" s="1" t="n">
        <v>46032</v>
      </c>
      <c r="D664" t="inlineStr">
        <is>
          <t>JÄMTLANDS LÄN</t>
        </is>
      </c>
      <c r="E664" t="inlineStr">
        <is>
          <t>ÅRE</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54385-2023</t>
        </is>
      </c>
      <c r="B665" s="1" t="n">
        <v>45233.35863425926</v>
      </c>
      <c r="C665" s="1" t="n">
        <v>46032</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3149-2023</t>
        </is>
      </c>
      <c r="B666" s="1" t="n">
        <v>44946.5500925926</v>
      </c>
      <c r="C666" s="1" t="n">
        <v>46032</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42244-2024</t>
        </is>
      </c>
      <c r="B667" s="1" t="n">
        <v>45562.56747685185</v>
      </c>
      <c r="C667" s="1" t="n">
        <v>46032</v>
      </c>
      <c r="D667" t="inlineStr">
        <is>
          <t>JÄMTLANDS LÄN</t>
        </is>
      </c>
      <c r="E667" t="inlineStr">
        <is>
          <t>ÅRE</t>
        </is>
      </c>
      <c r="F667" t="inlineStr">
        <is>
          <t>Övriga Aktiebolag</t>
        </is>
      </c>
      <c r="G667" t="n">
        <v>6</v>
      </c>
      <c r="H667" t="n">
        <v>0</v>
      </c>
      <c r="I667" t="n">
        <v>0</v>
      </c>
      <c r="J667" t="n">
        <v>0</v>
      </c>
      <c r="K667" t="n">
        <v>0</v>
      </c>
      <c r="L667" t="n">
        <v>0</v>
      </c>
      <c r="M667" t="n">
        <v>0</v>
      </c>
      <c r="N667" t="n">
        <v>0</v>
      </c>
      <c r="O667" t="n">
        <v>0</v>
      </c>
      <c r="P667" t="n">
        <v>0</v>
      </c>
      <c r="Q667" t="n">
        <v>0</v>
      </c>
      <c r="R667" s="2" t="inlineStr"/>
    </row>
    <row r="668" ht="15" customHeight="1">
      <c r="A668" t="inlineStr">
        <is>
          <t>A 34357-2021</t>
        </is>
      </c>
      <c r="B668" s="1" t="n">
        <v>44379</v>
      </c>
      <c r="C668" s="1" t="n">
        <v>46032</v>
      </c>
      <c r="D668" t="inlineStr">
        <is>
          <t>JÄMTLANDS LÄN</t>
        </is>
      </c>
      <c r="E668" t="inlineStr">
        <is>
          <t>ÅRE</t>
        </is>
      </c>
      <c r="G668" t="n">
        <v>7.1</v>
      </c>
      <c r="H668" t="n">
        <v>0</v>
      </c>
      <c r="I668" t="n">
        <v>0</v>
      </c>
      <c r="J668" t="n">
        <v>0</v>
      </c>
      <c r="K668" t="n">
        <v>0</v>
      </c>
      <c r="L668" t="n">
        <v>0</v>
      </c>
      <c r="M668" t="n">
        <v>0</v>
      </c>
      <c r="N668" t="n">
        <v>0</v>
      </c>
      <c r="O668" t="n">
        <v>0</v>
      </c>
      <c r="P668" t="n">
        <v>0</v>
      </c>
      <c r="Q668" t="n">
        <v>0</v>
      </c>
      <c r="R668" s="2" t="inlineStr"/>
    </row>
    <row r="669" ht="15" customHeight="1">
      <c r="A669" t="inlineStr">
        <is>
          <t>A 61803-2021</t>
        </is>
      </c>
      <c r="B669" s="1" t="n">
        <v>44498</v>
      </c>
      <c r="C669" s="1" t="n">
        <v>46032</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61622-2023</t>
        </is>
      </c>
      <c r="B670" s="1" t="n">
        <v>45261</v>
      </c>
      <c r="C670" s="1" t="n">
        <v>46032</v>
      </c>
      <c r="D670" t="inlineStr">
        <is>
          <t>JÄMTLANDS LÄN</t>
        </is>
      </c>
      <c r="E670" t="inlineStr">
        <is>
          <t>ÅRE</t>
        </is>
      </c>
      <c r="G670" t="n">
        <v>1.6</v>
      </c>
      <c r="H670" t="n">
        <v>0</v>
      </c>
      <c r="I670" t="n">
        <v>0</v>
      </c>
      <c r="J670" t="n">
        <v>0</v>
      </c>
      <c r="K670" t="n">
        <v>0</v>
      </c>
      <c r="L670" t="n">
        <v>0</v>
      </c>
      <c r="M670" t="n">
        <v>0</v>
      </c>
      <c r="N670" t="n">
        <v>0</v>
      </c>
      <c r="O670" t="n">
        <v>0</v>
      </c>
      <c r="P670" t="n">
        <v>0</v>
      </c>
      <c r="Q670" t="n">
        <v>0</v>
      </c>
      <c r="R670" s="2" t="inlineStr"/>
    </row>
    <row r="671" ht="15" customHeight="1">
      <c r="A671" t="inlineStr">
        <is>
          <t>A 69592-2021</t>
        </is>
      </c>
      <c r="B671" s="1" t="n">
        <v>44531</v>
      </c>
      <c r="C671" s="1" t="n">
        <v>46032</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60426-2022</t>
        </is>
      </c>
      <c r="B672" s="1" t="n">
        <v>44911.32092592592</v>
      </c>
      <c r="C672" s="1" t="n">
        <v>46032</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57102-2024</t>
        </is>
      </c>
      <c r="B673" s="1" t="n">
        <v>45629.35856481481</v>
      </c>
      <c r="C673" s="1" t="n">
        <v>46032</v>
      </c>
      <c r="D673" t="inlineStr">
        <is>
          <t>JÄMTLANDS LÄN</t>
        </is>
      </c>
      <c r="E673" t="inlineStr">
        <is>
          <t>ÅRE</t>
        </is>
      </c>
      <c r="G673" t="n">
        <v>3.3</v>
      </c>
      <c r="H673" t="n">
        <v>0</v>
      </c>
      <c r="I673" t="n">
        <v>0</v>
      </c>
      <c r="J673" t="n">
        <v>0</v>
      </c>
      <c r="K673" t="n">
        <v>0</v>
      </c>
      <c r="L673" t="n">
        <v>0</v>
      </c>
      <c r="M673" t="n">
        <v>0</v>
      </c>
      <c r="N673" t="n">
        <v>0</v>
      </c>
      <c r="O673" t="n">
        <v>0</v>
      </c>
      <c r="P673" t="n">
        <v>0</v>
      </c>
      <c r="Q673" t="n">
        <v>0</v>
      </c>
      <c r="R673" s="2" t="inlineStr"/>
    </row>
    <row r="674" ht="15" customHeight="1">
      <c r="A674" t="inlineStr">
        <is>
          <t>A 12286-2023</t>
        </is>
      </c>
      <c r="B674" s="1" t="n">
        <v>44998.72263888889</v>
      </c>
      <c r="C674" s="1" t="n">
        <v>46032</v>
      </c>
      <c r="D674" t="inlineStr">
        <is>
          <t>JÄMTLANDS LÄN</t>
        </is>
      </c>
      <c r="E674" t="inlineStr">
        <is>
          <t>ÅRE</t>
        </is>
      </c>
      <c r="G674" t="n">
        <v>7.3</v>
      </c>
      <c r="H674" t="n">
        <v>0</v>
      </c>
      <c r="I674" t="n">
        <v>0</v>
      </c>
      <c r="J674" t="n">
        <v>0</v>
      </c>
      <c r="K674" t="n">
        <v>0</v>
      </c>
      <c r="L674" t="n">
        <v>0</v>
      </c>
      <c r="M674" t="n">
        <v>0</v>
      </c>
      <c r="N674" t="n">
        <v>0</v>
      </c>
      <c r="O674" t="n">
        <v>0</v>
      </c>
      <c r="P674" t="n">
        <v>0</v>
      </c>
      <c r="Q674" t="n">
        <v>0</v>
      </c>
      <c r="R674" s="2" t="inlineStr"/>
    </row>
    <row r="675" ht="15" customHeight="1">
      <c r="A675" t="inlineStr">
        <is>
          <t>A 15889-2025</t>
        </is>
      </c>
      <c r="B675" s="1" t="n">
        <v>45749.4075</v>
      </c>
      <c r="C675" s="1" t="n">
        <v>46032</v>
      </c>
      <c r="D675" t="inlineStr">
        <is>
          <t>JÄMTLANDS LÄN</t>
        </is>
      </c>
      <c r="E675" t="inlineStr">
        <is>
          <t>ÅRE</t>
        </is>
      </c>
      <c r="G675" t="n">
        <v>1.4</v>
      </c>
      <c r="H675" t="n">
        <v>0</v>
      </c>
      <c r="I675" t="n">
        <v>0</v>
      </c>
      <c r="J675" t="n">
        <v>0</v>
      </c>
      <c r="K675" t="n">
        <v>0</v>
      </c>
      <c r="L675" t="n">
        <v>0</v>
      </c>
      <c r="M675" t="n">
        <v>0</v>
      </c>
      <c r="N675" t="n">
        <v>0</v>
      </c>
      <c r="O675" t="n">
        <v>0</v>
      </c>
      <c r="P675" t="n">
        <v>0</v>
      </c>
      <c r="Q675" t="n">
        <v>0</v>
      </c>
      <c r="R675" s="2" t="inlineStr"/>
    </row>
    <row r="676" ht="15" customHeight="1">
      <c r="A676" t="inlineStr">
        <is>
          <t>A 59753-2023</t>
        </is>
      </c>
      <c r="B676" s="1" t="n">
        <v>45254</v>
      </c>
      <c r="C676" s="1" t="n">
        <v>46032</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21167-2025</t>
        </is>
      </c>
      <c r="B677" s="1" t="n">
        <v>45779.41253472222</v>
      </c>
      <c r="C677" s="1" t="n">
        <v>46032</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46032</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c r="A679" t="inlineStr">
        <is>
          <t>A 8983-2021</t>
        </is>
      </c>
      <c r="B679" s="1" t="n">
        <v>44231</v>
      </c>
      <c r="C679" s="1" t="n">
        <v>46032</v>
      </c>
      <c r="D679" t="inlineStr">
        <is>
          <t>JÄMTLANDS LÄN</t>
        </is>
      </c>
      <c r="E679" t="inlineStr">
        <is>
          <t>ÅRE</t>
        </is>
      </c>
      <c r="G679" t="n">
        <v>4.1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2026-01-10T10:47:10Z</dcterms:created>
  <dcterms:modified xmlns:dcterms="http://purl.org/dc/terms/" xmlns:xsi="http://www.w3.org/2001/XMLSchema-instance" xsi:type="dcterms:W3CDTF">2026-01-10T10:47:11Z</dcterms:modified>
</cp:coreProperties>
</file>