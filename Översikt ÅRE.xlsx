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45680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45680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45680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45680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45680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45680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45680</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45680</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45680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45680</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45680</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45680</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45680</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45680</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45680</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45680</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45680</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45680</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45680</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45680</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45680</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45680</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45680</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45680</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45680</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45680</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45680</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45680</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45680</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45680</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45680</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45680</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45680</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45680</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45680</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45680</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45680</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45680</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45680</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45680</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45680</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45680</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45680</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45680</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45680</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45680</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45680</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45680</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45680</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45680</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45680</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45680</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45680</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45680</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45680</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45680</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45680</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45680</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45680</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45680</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45680</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45680</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45680</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45680</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57888-2024</t>
        </is>
      </c>
      <c r="B66" s="1" t="n">
        <v>45631</v>
      </c>
      <c r="C66" s="1" t="n">
        <v>45680</v>
      </c>
      <c r="D66" t="inlineStr">
        <is>
          <t>JÄMTLANDS LÄN</t>
        </is>
      </c>
      <c r="E66" t="inlineStr">
        <is>
          <t>ÅRE</t>
        </is>
      </c>
      <c r="F66" t="inlineStr">
        <is>
          <t>Övriga Aktiebolag</t>
        </is>
      </c>
      <c r="G66" t="n">
        <v>23.9</v>
      </c>
      <c r="H66" t="n">
        <v>2</v>
      </c>
      <c r="I66" t="n">
        <v>0</v>
      </c>
      <c r="J66" t="n">
        <v>5</v>
      </c>
      <c r="K66" t="n">
        <v>0</v>
      </c>
      <c r="L66" t="n">
        <v>0</v>
      </c>
      <c r="M66" t="n">
        <v>0</v>
      </c>
      <c r="N66" t="n">
        <v>0</v>
      </c>
      <c r="O66" t="n">
        <v>5</v>
      </c>
      <c r="P66" t="n">
        <v>0</v>
      </c>
      <c r="Q66" t="n">
        <v>6</v>
      </c>
      <c r="R66" s="2" t="inlineStr">
        <is>
          <t>Brunpudrad nållav
Garnlav
Skrovellav
Tretåig hackspett
Vitgrynig nållav
Lavskrika</t>
        </is>
      </c>
      <c r="S66">
        <f>HYPERLINK("https://klasma.github.io/Logging_2321/artfynd/A 57888-2024 artfynd.xlsx", "A 57888-2024")</f>
        <v/>
      </c>
      <c r="T66">
        <f>HYPERLINK("https://klasma.github.io/Logging_2321/kartor/A 57888-2024 karta.png", "A 57888-2024")</f>
        <v/>
      </c>
      <c r="V66">
        <f>HYPERLINK("https://klasma.github.io/Logging_2321/klagomål/A 57888-2024 FSC-klagomål.docx", "A 57888-2024")</f>
        <v/>
      </c>
      <c r="W66">
        <f>HYPERLINK("https://klasma.github.io/Logging_2321/klagomålsmail/A 57888-2024 FSC-klagomål mail.docx", "A 57888-2024")</f>
        <v/>
      </c>
      <c r="X66">
        <f>HYPERLINK("https://klasma.github.io/Logging_2321/tillsyn/A 57888-2024 tillsynsbegäran.docx", "A 57888-2024")</f>
        <v/>
      </c>
      <c r="Y66">
        <f>HYPERLINK("https://klasma.github.io/Logging_2321/tillsynsmail/A 57888-2024 tillsynsbegäran mail.docx", "A 57888-2024")</f>
        <v/>
      </c>
      <c r="Z66">
        <f>HYPERLINK("https://klasma.github.io/Logging_2321/fåglar/A 57888-2024 prioriterade fågelarter.docx", "A 57888-2024")</f>
        <v/>
      </c>
    </row>
    <row r="67" ht="15" customHeight="1">
      <c r="A67" t="inlineStr">
        <is>
          <t>A 25066-2019</t>
        </is>
      </c>
      <c r="B67" s="1" t="n">
        <v>43605</v>
      </c>
      <c r="C67" s="1" t="n">
        <v>45680</v>
      </c>
      <c r="D67" t="inlineStr">
        <is>
          <t>JÄMTLANDS LÄN</t>
        </is>
      </c>
      <c r="E67" t="inlineStr">
        <is>
          <t>ÅRE</t>
        </is>
      </c>
      <c r="G67" t="n">
        <v>5.4</v>
      </c>
      <c r="H67" t="n">
        <v>2</v>
      </c>
      <c r="I67" t="n">
        <v>1</v>
      </c>
      <c r="J67" t="n">
        <v>4</v>
      </c>
      <c r="K67" t="n">
        <v>0</v>
      </c>
      <c r="L67" t="n">
        <v>0</v>
      </c>
      <c r="M67" t="n">
        <v>0</v>
      </c>
      <c r="N67" t="n">
        <v>0</v>
      </c>
      <c r="O67" t="n">
        <v>4</v>
      </c>
      <c r="P67" t="n">
        <v>0</v>
      </c>
      <c r="Q67" t="n">
        <v>5</v>
      </c>
      <c r="R67" s="2" t="inlineStr">
        <is>
          <t>Garnlav
Granticka
Tretåig hackspett
Ullticka
Spindelblomster</t>
        </is>
      </c>
      <c r="S67">
        <f>HYPERLINK("https://klasma.github.io/Logging_2321/artfynd/A 25066-2019 artfynd.xlsx", "A 25066-2019")</f>
        <v/>
      </c>
      <c r="T67">
        <f>HYPERLINK("https://klasma.github.io/Logging_2321/kartor/A 25066-2019 karta.png", "A 25066-2019")</f>
        <v/>
      </c>
      <c r="V67">
        <f>HYPERLINK("https://klasma.github.io/Logging_2321/klagomål/A 25066-2019 FSC-klagomål.docx", "A 25066-2019")</f>
        <v/>
      </c>
      <c r="W67">
        <f>HYPERLINK("https://klasma.github.io/Logging_2321/klagomålsmail/A 25066-2019 FSC-klagomål mail.docx", "A 25066-2019")</f>
        <v/>
      </c>
      <c r="X67">
        <f>HYPERLINK("https://klasma.github.io/Logging_2321/tillsyn/A 25066-2019 tillsynsbegäran.docx", "A 25066-2019")</f>
        <v/>
      </c>
      <c r="Y67">
        <f>HYPERLINK("https://klasma.github.io/Logging_2321/tillsynsmail/A 25066-2019 tillsynsbegäran mail.docx", "A 25066-2019")</f>
        <v/>
      </c>
      <c r="Z67">
        <f>HYPERLINK("https://klasma.github.io/Logging_2321/fåglar/A 25066-2019 prioriterade fågelarter.docx", "A 25066-2019")</f>
        <v/>
      </c>
    </row>
    <row r="68" ht="15" customHeight="1">
      <c r="A68" t="inlineStr">
        <is>
          <t>A 42629-2020</t>
        </is>
      </c>
      <c r="B68" s="1" t="n">
        <v>44077</v>
      </c>
      <c r="C68" s="1" t="n">
        <v>45680</v>
      </c>
      <c r="D68" t="inlineStr">
        <is>
          <t>JÄMTLANDS LÄN</t>
        </is>
      </c>
      <c r="E68" t="inlineStr">
        <is>
          <t>ÅRE</t>
        </is>
      </c>
      <c r="G68" t="n">
        <v>6.3</v>
      </c>
      <c r="H68" t="n">
        <v>1</v>
      </c>
      <c r="I68" t="n">
        <v>0</v>
      </c>
      <c r="J68" t="n">
        <v>5</v>
      </c>
      <c r="K68" t="n">
        <v>0</v>
      </c>
      <c r="L68" t="n">
        <v>0</v>
      </c>
      <c r="M68" t="n">
        <v>0</v>
      </c>
      <c r="N68" t="n">
        <v>0</v>
      </c>
      <c r="O68" t="n">
        <v>5</v>
      </c>
      <c r="P68" t="n">
        <v>0</v>
      </c>
      <c r="Q68" t="n">
        <v>5</v>
      </c>
      <c r="R68" s="2" t="inlineStr">
        <is>
          <t>Garnlav
Granticka
Knottrig blåslav
Tretåig hackspett
Ullticka</t>
        </is>
      </c>
      <c r="S68">
        <f>HYPERLINK("https://klasma.github.io/Logging_2321/artfynd/A 42629-2020 artfynd.xlsx", "A 42629-2020")</f>
        <v/>
      </c>
      <c r="T68">
        <f>HYPERLINK("https://klasma.github.io/Logging_2321/kartor/A 42629-2020 karta.png", "A 42629-2020")</f>
        <v/>
      </c>
      <c r="V68">
        <f>HYPERLINK("https://klasma.github.io/Logging_2321/klagomål/A 42629-2020 FSC-klagomål.docx", "A 42629-2020")</f>
        <v/>
      </c>
      <c r="W68">
        <f>HYPERLINK("https://klasma.github.io/Logging_2321/klagomålsmail/A 42629-2020 FSC-klagomål mail.docx", "A 42629-2020")</f>
        <v/>
      </c>
      <c r="X68">
        <f>HYPERLINK("https://klasma.github.io/Logging_2321/tillsyn/A 42629-2020 tillsynsbegäran.docx", "A 42629-2020")</f>
        <v/>
      </c>
      <c r="Y68">
        <f>HYPERLINK("https://klasma.github.io/Logging_2321/tillsynsmail/A 42629-2020 tillsynsbegäran mail.docx", "A 42629-2020")</f>
        <v/>
      </c>
      <c r="Z68">
        <f>HYPERLINK("https://klasma.github.io/Logging_2321/fåglar/A 42629-2020 prioriterade fågelarter.docx", "A 42629-2020")</f>
        <v/>
      </c>
    </row>
    <row r="69" ht="15" customHeight="1">
      <c r="A69" t="inlineStr">
        <is>
          <t>A 59380-2020</t>
        </is>
      </c>
      <c r="B69" s="1" t="n">
        <v>44145</v>
      </c>
      <c r="C69" s="1" t="n">
        <v>45680</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12988-2021</t>
        </is>
      </c>
      <c r="B70" s="1" t="n">
        <v>44271</v>
      </c>
      <c r="C70" s="1" t="n">
        <v>45680</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12988-2021 artfynd.xlsx", "A 12988-2021")</f>
        <v/>
      </c>
      <c r="T70">
        <f>HYPERLINK("https://klasma.github.io/Logging_2321/kartor/A 12988-2021 karta.png", "A 12988-2021")</f>
        <v/>
      </c>
      <c r="V70">
        <f>HYPERLINK("https://klasma.github.io/Logging_2321/klagomål/A 12988-2021 FSC-klagomål.docx", "A 12988-2021")</f>
        <v/>
      </c>
      <c r="W70">
        <f>HYPERLINK("https://klasma.github.io/Logging_2321/klagomålsmail/A 12988-2021 FSC-klagomål mail.docx", "A 12988-2021")</f>
        <v/>
      </c>
      <c r="X70">
        <f>HYPERLINK("https://klasma.github.io/Logging_2321/tillsyn/A 12988-2021 tillsynsbegäran.docx", "A 12988-2021")</f>
        <v/>
      </c>
      <c r="Y70">
        <f>HYPERLINK("https://klasma.github.io/Logging_2321/tillsynsmail/A 12988-2021 tillsynsbegäran mail.docx", "A 12988-2021")</f>
        <v/>
      </c>
    </row>
    <row r="71" ht="15" customHeight="1">
      <c r="A71" t="inlineStr">
        <is>
          <t>A 14195-2021</t>
        </is>
      </c>
      <c r="B71" s="1" t="n">
        <v>44278</v>
      </c>
      <c r="C71" s="1" t="n">
        <v>45680</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20644-2021</t>
        </is>
      </c>
      <c r="B72" s="1" t="n">
        <v>44316</v>
      </c>
      <c r="C72" s="1" t="n">
        <v>45680</v>
      </c>
      <c r="D72" t="inlineStr">
        <is>
          <t>JÄMTLANDS LÄN</t>
        </is>
      </c>
      <c r="E72" t="inlineStr">
        <is>
          <t>ÅRE</t>
        </is>
      </c>
      <c r="G72" t="n">
        <v>42.9</v>
      </c>
      <c r="H72" t="n">
        <v>2</v>
      </c>
      <c r="I72" t="n">
        <v>1</v>
      </c>
      <c r="J72" t="n">
        <v>4</v>
      </c>
      <c r="K72" t="n">
        <v>0</v>
      </c>
      <c r="L72" t="n">
        <v>0</v>
      </c>
      <c r="M72" t="n">
        <v>0</v>
      </c>
      <c r="N72" t="n">
        <v>0</v>
      </c>
      <c r="O72" t="n">
        <v>4</v>
      </c>
      <c r="P72" t="n">
        <v>0</v>
      </c>
      <c r="Q72" t="n">
        <v>5</v>
      </c>
      <c r="R72" s="2" t="inlineStr">
        <is>
          <t>Doftskinn
Garnlav
Månlåsbräken
Tretåig hackspett
Tvåblad</t>
        </is>
      </c>
      <c r="S72">
        <f>HYPERLINK("https://klasma.github.io/Logging_2321/artfynd/A 20644-2021 artfynd.xlsx", "A 20644-2021")</f>
        <v/>
      </c>
      <c r="T72">
        <f>HYPERLINK("https://klasma.github.io/Logging_2321/kartor/A 20644-2021 karta.png", "A 20644-2021")</f>
        <v/>
      </c>
      <c r="V72">
        <f>HYPERLINK("https://klasma.github.io/Logging_2321/klagomål/A 20644-2021 FSC-klagomål.docx", "A 20644-2021")</f>
        <v/>
      </c>
      <c r="W72">
        <f>HYPERLINK("https://klasma.github.io/Logging_2321/klagomålsmail/A 20644-2021 FSC-klagomål mail.docx", "A 20644-2021")</f>
        <v/>
      </c>
      <c r="X72">
        <f>HYPERLINK("https://klasma.github.io/Logging_2321/tillsyn/A 20644-2021 tillsynsbegäran.docx", "A 20644-2021")</f>
        <v/>
      </c>
      <c r="Y72">
        <f>HYPERLINK("https://klasma.github.io/Logging_2321/tillsynsmail/A 20644-2021 tillsynsbegäran mail.docx", "A 20644-2021")</f>
        <v/>
      </c>
      <c r="Z72">
        <f>HYPERLINK("https://klasma.github.io/Logging_2321/fåglar/A 20644-2021 prioriterade fågelarter.docx", "A 20644-2021")</f>
        <v/>
      </c>
    </row>
    <row r="73" ht="15" customHeight="1">
      <c r="A73" t="inlineStr">
        <is>
          <t>A 58238-2021</t>
        </is>
      </c>
      <c r="B73" s="1" t="n">
        <v>44487</v>
      </c>
      <c r="C73" s="1" t="n">
        <v>45680</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45680</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v>
      </c>
      <c r="C75" s="1" t="n">
        <v>45680</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54448-2022</t>
        </is>
      </c>
      <c r="B76" s="1" t="n">
        <v>44882</v>
      </c>
      <c r="C76" s="1" t="n">
        <v>45680</v>
      </c>
      <c r="D76" t="inlineStr">
        <is>
          <t>JÄMTLANDS LÄN</t>
        </is>
      </c>
      <c r="E76" t="inlineStr">
        <is>
          <t>ÅRE</t>
        </is>
      </c>
      <c r="G76" t="n">
        <v>7.4</v>
      </c>
      <c r="H76" t="n">
        <v>0</v>
      </c>
      <c r="I76" t="n">
        <v>0</v>
      </c>
      <c r="J76" t="n">
        <v>5</v>
      </c>
      <c r="K76" t="n">
        <v>0</v>
      </c>
      <c r="L76" t="n">
        <v>0</v>
      </c>
      <c r="M76" t="n">
        <v>0</v>
      </c>
      <c r="N76" t="n">
        <v>0</v>
      </c>
      <c r="O76" t="n">
        <v>5</v>
      </c>
      <c r="P76" t="n">
        <v>0</v>
      </c>
      <c r="Q76" t="n">
        <v>5</v>
      </c>
      <c r="R76" s="2" t="inlineStr">
        <is>
          <t>Garnlav
Granticka
Gränsticka
Rosenticka
Ullticka</t>
        </is>
      </c>
      <c r="S76">
        <f>HYPERLINK("https://klasma.github.io/Logging_2321/artfynd/A 54448-2022 artfynd.xlsx", "A 54448-2022")</f>
        <v/>
      </c>
      <c r="T76">
        <f>HYPERLINK("https://klasma.github.io/Logging_2321/kartor/A 54448-2022 karta.png", "A 54448-2022")</f>
        <v/>
      </c>
      <c r="V76">
        <f>HYPERLINK("https://klasma.github.io/Logging_2321/klagomål/A 54448-2022 FSC-klagomål.docx", "A 54448-2022")</f>
        <v/>
      </c>
      <c r="W76">
        <f>HYPERLINK("https://klasma.github.io/Logging_2321/klagomålsmail/A 54448-2022 FSC-klagomål mail.docx", "A 54448-2022")</f>
        <v/>
      </c>
      <c r="X76">
        <f>HYPERLINK("https://klasma.github.io/Logging_2321/tillsyn/A 54448-2022 tillsynsbegäran.docx", "A 54448-2022")</f>
        <v/>
      </c>
      <c r="Y76">
        <f>HYPERLINK("https://klasma.github.io/Logging_2321/tillsynsmail/A 54448-2022 tillsynsbegäran mail.docx", "A 54448-2022")</f>
        <v/>
      </c>
    </row>
    <row r="77" ht="15" customHeight="1">
      <c r="A77" t="inlineStr">
        <is>
          <t>A 8515-2023</t>
        </is>
      </c>
      <c r="B77" s="1" t="n">
        <v>44977</v>
      </c>
      <c r="C77" s="1" t="n">
        <v>45680</v>
      </c>
      <c r="D77" t="inlineStr">
        <is>
          <t>JÄMTLANDS LÄN</t>
        </is>
      </c>
      <c r="E77" t="inlineStr">
        <is>
          <t>ÅRE</t>
        </is>
      </c>
      <c r="F77" t="inlineStr">
        <is>
          <t>Övriga Aktiebolag</t>
        </is>
      </c>
      <c r="G77" t="n">
        <v>34.2</v>
      </c>
      <c r="H77" t="n">
        <v>1</v>
      </c>
      <c r="I77" t="n">
        <v>2</v>
      </c>
      <c r="J77" t="n">
        <v>3</v>
      </c>
      <c r="K77" t="n">
        <v>0</v>
      </c>
      <c r="L77" t="n">
        <v>0</v>
      </c>
      <c r="M77" t="n">
        <v>0</v>
      </c>
      <c r="N77" t="n">
        <v>0</v>
      </c>
      <c r="O77" t="n">
        <v>3</v>
      </c>
      <c r="P77" t="n">
        <v>0</v>
      </c>
      <c r="Q77" t="n">
        <v>5</v>
      </c>
      <c r="R77" s="2" t="inlineStr">
        <is>
          <t>Gränsticka
Skrovellav
Tretåig hackspett
Skinnlav
Stuplav</t>
        </is>
      </c>
      <c r="S77">
        <f>HYPERLINK("https://klasma.github.io/Logging_2321/artfynd/A 8515-2023 artfynd.xlsx", "A 8515-2023")</f>
        <v/>
      </c>
      <c r="T77">
        <f>HYPERLINK("https://klasma.github.io/Logging_2321/kartor/A 8515-2023 karta.png", "A 8515-2023")</f>
        <v/>
      </c>
      <c r="V77">
        <f>HYPERLINK("https://klasma.github.io/Logging_2321/klagomål/A 8515-2023 FSC-klagomål.docx", "A 8515-2023")</f>
        <v/>
      </c>
      <c r="W77">
        <f>HYPERLINK("https://klasma.github.io/Logging_2321/klagomålsmail/A 8515-2023 FSC-klagomål mail.docx", "A 8515-2023")</f>
        <v/>
      </c>
      <c r="X77">
        <f>HYPERLINK("https://klasma.github.io/Logging_2321/tillsyn/A 8515-2023 tillsynsbegäran.docx", "A 8515-2023")</f>
        <v/>
      </c>
      <c r="Y77">
        <f>HYPERLINK("https://klasma.github.io/Logging_2321/tillsynsmail/A 8515-2023 tillsynsbegäran mail.docx", "A 8515-2023")</f>
        <v/>
      </c>
      <c r="Z77">
        <f>HYPERLINK("https://klasma.github.io/Logging_2321/fåglar/A 8515-2023 prioriterade fågelarter.docx", "A 8515-2023")</f>
        <v/>
      </c>
    </row>
    <row r="78" ht="15" customHeight="1">
      <c r="A78" t="inlineStr">
        <is>
          <t>A 45828-2023</t>
        </is>
      </c>
      <c r="B78" s="1" t="n">
        <v>45195</v>
      </c>
      <c r="C78" s="1" t="n">
        <v>45680</v>
      </c>
      <c r="D78" t="inlineStr">
        <is>
          <t>JÄMTLANDS LÄN</t>
        </is>
      </c>
      <c r="E78" t="inlineStr">
        <is>
          <t>ÅRE</t>
        </is>
      </c>
      <c r="G78" t="n">
        <v>10.9</v>
      </c>
      <c r="H78" t="n">
        <v>3</v>
      </c>
      <c r="I78" t="n">
        <v>0</v>
      </c>
      <c r="J78" t="n">
        <v>4</v>
      </c>
      <c r="K78" t="n">
        <v>0</v>
      </c>
      <c r="L78" t="n">
        <v>0</v>
      </c>
      <c r="M78" t="n">
        <v>0</v>
      </c>
      <c r="N78" t="n">
        <v>0</v>
      </c>
      <c r="O78" t="n">
        <v>4</v>
      </c>
      <c r="P78" t="n">
        <v>0</v>
      </c>
      <c r="Q78" t="n">
        <v>5</v>
      </c>
      <c r="R78" s="2" t="inlineStr">
        <is>
          <t>Granticka
Harticka
Spillkråka
Tretåig hackspett
Lavskrika</t>
        </is>
      </c>
      <c r="S78">
        <f>HYPERLINK("https://klasma.github.io/Logging_2321/artfynd/A 45828-2023 artfynd.xlsx", "A 45828-2023")</f>
        <v/>
      </c>
      <c r="T78">
        <f>HYPERLINK("https://klasma.github.io/Logging_2321/kartor/A 45828-2023 karta.png", "A 45828-2023")</f>
        <v/>
      </c>
      <c r="V78">
        <f>HYPERLINK("https://klasma.github.io/Logging_2321/klagomål/A 45828-2023 FSC-klagomål.docx", "A 45828-2023")</f>
        <v/>
      </c>
      <c r="W78">
        <f>HYPERLINK("https://klasma.github.io/Logging_2321/klagomålsmail/A 45828-2023 FSC-klagomål mail.docx", "A 45828-2023")</f>
        <v/>
      </c>
      <c r="X78">
        <f>HYPERLINK("https://klasma.github.io/Logging_2321/tillsyn/A 45828-2023 tillsynsbegäran.docx", "A 45828-2023")</f>
        <v/>
      </c>
      <c r="Y78">
        <f>HYPERLINK("https://klasma.github.io/Logging_2321/tillsynsmail/A 45828-2023 tillsynsbegäran mail.docx", "A 45828-2023")</f>
        <v/>
      </c>
      <c r="Z78">
        <f>HYPERLINK("https://klasma.github.io/Logging_2321/fåglar/A 45828-2023 prioriterade fågelarter.docx", "A 45828-2023")</f>
        <v/>
      </c>
    </row>
    <row r="79" ht="15" customHeight="1">
      <c r="A79" t="inlineStr">
        <is>
          <t>A 10491-2024</t>
        </is>
      </c>
      <c r="B79" s="1" t="n">
        <v>45366</v>
      </c>
      <c r="C79" s="1" t="n">
        <v>45680</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16920-2024</t>
        </is>
      </c>
      <c r="B80" s="1" t="n">
        <v>45411</v>
      </c>
      <c r="C80" s="1" t="n">
        <v>45680</v>
      </c>
      <c r="D80" t="inlineStr">
        <is>
          <t>JÄMTLANDS LÄN</t>
        </is>
      </c>
      <c r="E80" t="inlineStr">
        <is>
          <t>ÅRE</t>
        </is>
      </c>
      <c r="G80" t="n">
        <v>12.1</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HYPERLINK("https://klasma.github.io/Logging_2321/artfynd/A 16920-2024 artfynd.xlsx", "A 16920-2024")</f>
        <v/>
      </c>
      <c r="T80">
        <f>HYPERLINK("https://klasma.github.io/Logging_2321/kartor/A 16920-2024 karta.png", "A 16920-2024")</f>
        <v/>
      </c>
      <c r="V80">
        <f>HYPERLINK("https://klasma.github.io/Logging_2321/klagomål/A 16920-2024 FSC-klagomål.docx", "A 16920-2024")</f>
        <v/>
      </c>
      <c r="W80">
        <f>HYPERLINK("https://klasma.github.io/Logging_2321/klagomålsmail/A 16920-2024 FSC-klagomål mail.docx", "A 16920-2024")</f>
        <v/>
      </c>
      <c r="X80">
        <f>HYPERLINK("https://klasma.github.io/Logging_2321/tillsyn/A 16920-2024 tillsynsbegäran.docx", "A 16920-2024")</f>
        <v/>
      </c>
      <c r="Y80">
        <f>HYPERLINK("https://klasma.github.io/Logging_2321/tillsynsmail/A 16920-2024 tillsynsbegäran mail.docx", "A 16920-2024")</f>
        <v/>
      </c>
      <c r="Z80">
        <f>HYPERLINK("https://klasma.github.io/Logging_2321/fåglar/A 16920-2024 prioriterade fågelarter.docx", "A 16920-2024")</f>
        <v/>
      </c>
    </row>
    <row r="81" ht="15" customHeight="1">
      <c r="A81" t="inlineStr">
        <is>
          <t>A 17855-2024</t>
        </is>
      </c>
      <c r="B81" s="1" t="n">
        <v>45419</v>
      </c>
      <c r="C81" s="1" t="n">
        <v>45680</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18106-2024</t>
        </is>
      </c>
      <c r="B82" s="1" t="n">
        <v>45420</v>
      </c>
      <c r="C82" s="1" t="n">
        <v>45680</v>
      </c>
      <c r="D82" t="inlineStr">
        <is>
          <t>JÄMTLANDS LÄN</t>
        </is>
      </c>
      <c r="E82" t="inlineStr">
        <is>
          <t>ÅRE</t>
        </is>
      </c>
      <c r="F82" t="inlineStr">
        <is>
          <t>Övriga Aktiebolag</t>
        </is>
      </c>
      <c r="G82" t="n">
        <v>19</v>
      </c>
      <c r="H82" t="n">
        <v>1</v>
      </c>
      <c r="I82" t="n">
        <v>0</v>
      </c>
      <c r="J82" t="n">
        <v>5</v>
      </c>
      <c r="K82" t="n">
        <v>0</v>
      </c>
      <c r="L82" t="n">
        <v>0</v>
      </c>
      <c r="M82" t="n">
        <v>0</v>
      </c>
      <c r="N82" t="n">
        <v>0</v>
      </c>
      <c r="O82" t="n">
        <v>5</v>
      </c>
      <c r="P82" t="n">
        <v>0</v>
      </c>
      <c r="Q82" t="n">
        <v>5</v>
      </c>
      <c r="R82" s="2" t="inlineStr">
        <is>
          <t>Doftskinn
Granticka
Gränsticka
Tretåig hackspett
Ullticka</t>
        </is>
      </c>
      <c r="S82">
        <f>HYPERLINK("https://klasma.github.io/Logging_2321/artfynd/A 18106-2024 artfynd.xlsx", "A 18106-2024")</f>
        <v/>
      </c>
      <c r="T82">
        <f>HYPERLINK("https://klasma.github.io/Logging_2321/kartor/A 18106-2024 karta.png", "A 18106-2024")</f>
        <v/>
      </c>
      <c r="V82">
        <f>HYPERLINK("https://klasma.github.io/Logging_2321/klagomål/A 18106-2024 FSC-klagomål.docx", "A 18106-2024")</f>
        <v/>
      </c>
      <c r="W82">
        <f>HYPERLINK("https://klasma.github.io/Logging_2321/klagomålsmail/A 18106-2024 FSC-klagomål mail.docx", "A 18106-2024")</f>
        <v/>
      </c>
      <c r="X82">
        <f>HYPERLINK("https://klasma.github.io/Logging_2321/tillsyn/A 18106-2024 tillsynsbegäran.docx", "A 18106-2024")</f>
        <v/>
      </c>
      <c r="Y82">
        <f>HYPERLINK("https://klasma.github.io/Logging_2321/tillsynsmail/A 18106-2024 tillsynsbegäran mail.docx", "A 18106-2024")</f>
        <v/>
      </c>
      <c r="Z82">
        <f>HYPERLINK("https://klasma.github.io/Logging_2321/fåglar/A 18106-2024 prioriterade fågelarter.docx", "A 18106-2024")</f>
        <v/>
      </c>
    </row>
    <row r="83" ht="15" customHeight="1">
      <c r="A83" t="inlineStr">
        <is>
          <t>A 20039-2024</t>
        </is>
      </c>
      <c r="B83" s="1" t="n">
        <v>45434</v>
      </c>
      <c r="C83" s="1" t="n">
        <v>45680</v>
      </c>
      <c r="D83" t="inlineStr">
        <is>
          <t>JÄMTLANDS LÄN</t>
        </is>
      </c>
      <c r="E83" t="inlineStr">
        <is>
          <t>ÅRE</t>
        </is>
      </c>
      <c r="G83" t="n">
        <v>5.3</v>
      </c>
      <c r="H83" t="n">
        <v>1</v>
      </c>
      <c r="I83" t="n">
        <v>0</v>
      </c>
      <c r="J83" t="n">
        <v>4</v>
      </c>
      <c r="K83" t="n">
        <v>1</v>
      </c>
      <c r="L83" t="n">
        <v>0</v>
      </c>
      <c r="M83" t="n">
        <v>0</v>
      </c>
      <c r="N83" t="n">
        <v>0</v>
      </c>
      <c r="O83" t="n">
        <v>5</v>
      </c>
      <c r="P83" t="n">
        <v>1</v>
      </c>
      <c r="Q83" t="n">
        <v>5</v>
      </c>
      <c r="R83" s="2" t="inlineStr">
        <is>
          <t>Vågticka
Garnlav
Gränsticka
Tretåig hackspett
Ullticka</t>
        </is>
      </c>
      <c r="S83">
        <f>HYPERLINK("https://klasma.github.io/Logging_2321/artfynd/A 20039-2024 artfynd.xlsx", "A 20039-2024")</f>
        <v/>
      </c>
      <c r="T83">
        <f>HYPERLINK("https://klasma.github.io/Logging_2321/kartor/A 20039-2024 karta.png", "A 20039-2024")</f>
        <v/>
      </c>
      <c r="V83">
        <f>HYPERLINK("https://klasma.github.io/Logging_2321/klagomål/A 20039-2024 FSC-klagomål.docx", "A 20039-2024")</f>
        <v/>
      </c>
      <c r="W83">
        <f>HYPERLINK("https://klasma.github.io/Logging_2321/klagomålsmail/A 20039-2024 FSC-klagomål mail.docx", "A 20039-2024")</f>
        <v/>
      </c>
      <c r="X83">
        <f>HYPERLINK("https://klasma.github.io/Logging_2321/tillsyn/A 20039-2024 tillsynsbegäran.docx", "A 20039-2024")</f>
        <v/>
      </c>
      <c r="Y83">
        <f>HYPERLINK("https://klasma.github.io/Logging_2321/tillsynsmail/A 20039-2024 tillsynsbegäran mail.docx", "A 20039-2024")</f>
        <v/>
      </c>
      <c r="Z83">
        <f>HYPERLINK("https://klasma.github.io/Logging_2321/fåglar/A 20039-2024 prioriterade fågelarter.docx", "A 20039-2024")</f>
        <v/>
      </c>
    </row>
    <row r="84" ht="15" customHeight="1">
      <c r="A84" t="inlineStr">
        <is>
          <t>A 30034-2024</t>
        </is>
      </c>
      <c r="B84" s="1" t="n">
        <v>45485</v>
      </c>
      <c r="C84" s="1" t="n">
        <v>45680</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30034-2024 artfynd.xlsx", "A 30034-2024")</f>
        <v/>
      </c>
      <c r="T84">
        <f>HYPERLINK("https://klasma.github.io/Logging_2321/kartor/A 30034-2024 karta.png", "A 30034-2024")</f>
        <v/>
      </c>
      <c r="V84">
        <f>HYPERLINK("https://klasma.github.io/Logging_2321/klagomål/A 30034-2024 FSC-klagomål.docx", "A 30034-2024")</f>
        <v/>
      </c>
      <c r="W84">
        <f>HYPERLINK("https://klasma.github.io/Logging_2321/klagomålsmail/A 30034-2024 FSC-klagomål mail.docx", "A 30034-2024")</f>
        <v/>
      </c>
      <c r="X84">
        <f>HYPERLINK("https://klasma.github.io/Logging_2321/tillsyn/A 30034-2024 tillsynsbegäran.docx", "A 30034-2024")</f>
        <v/>
      </c>
      <c r="Y84">
        <f>HYPERLINK("https://klasma.github.io/Logging_2321/tillsynsmail/A 30034-2024 tillsynsbegäran mail.docx", "A 30034-2024")</f>
        <v/>
      </c>
    </row>
    <row r="85" ht="15" customHeight="1">
      <c r="A85" t="inlineStr">
        <is>
          <t>A 42565-2024</t>
        </is>
      </c>
      <c r="B85" s="1" t="n">
        <v>45565</v>
      </c>
      <c r="C85" s="1" t="n">
        <v>45680</v>
      </c>
      <c r="D85" t="inlineStr">
        <is>
          <t>JÄMTLANDS LÄN</t>
        </is>
      </c>
      <c r="E85" t="inlineStr">
        <is>
          <t>ÅRE</t>
        </is>
      </c>
      <c r="F85" t="inlineStr">
        <is>
          <t>Övriga Aktiebolag</t>
        </is>
      </c>
      <c r="G85" t="n">
        <v>8.4</v>
      </c>
      <c r="H85" t="n">
        <v>0</v>
      </c>
      <c r="I85" t="n">
        <v>0</v>
      </c>
      <c r="J85" t="n">
        <v>4</v>
      </c>
      <c r="K85" t="n">
        <v>1</v>
      </c>
      <c r="L85" t="n">
        <v>0</v>
      </c>
      <c r="M85" t="n">
        <v>0</v>
      </c>
      <c r="N85" t="n">
        <v>0</v>
      </c>
      <c r="O85" t="n">
        <v>5</v>
      </c>
      <c r="P85" t="n">
        <v>1</v>
      </c>
      <c r="Q85" t="n">
        <v>5</v>
      </c>
      <c r="R85" s="2" t="inlineStr">
        <is>
          <t>Norsk näverlav
Gammelgransskål
Garnlav
Gränsticka
Skrovellav</t>
        </is>
      </c>
      <c r="S85">
        <f>HYPERLINK("https://klasma.github.io/Logging_2321/artfynd/A 42565-2024 artfynd.xlsx", "A 42565-2024")</f>
        <v/>
      </c>
      <c r="T85">
        <f>HYPERLINK("https://klasma.github.io/Logging_2321/kartor/A 42565-2024 karta.png", "A 42565-2024")</f>
        <v/>
      </c>
      <c r="V85">
        <f>HYPERLINK("https://klasma.github.io/Logging_2321/klagomål/A 42565-2024 FSC-klagomål.docx", "A 42565-2024")</f>
        <v/>
      </c>
      <c r="W85">
        <f>HYPERLINK("https://klasma.github.io/Logging_2321/klagomålsmail/A 42565-2024 FSC-klagomål mail.docx", "A 42565-2024")</f>
        <v/>
      </c>
      <c r="X85">
        <f>HYPERLINK("https://klasma.github.io/Logging_2321/tillsyn/A 42565-2024 tillsynsbegäran.docx", "A 42565-2024")</f>
        <v/>
      </c>
      <c r="Y85">
        <f>HYPERLINK("https://klasma.github.io/Logging_2321/tillsynsmail/A 42565-2024 tillsynsbegäran mail.docx", "A 42565-2024")</f>
        <v/>
      </c>
    </row>
    <row r="86" ht="15" customHeight="1">
      <c r="A86" t="inlineStr">
        <is>
          <t>A 53844-2024</t>
        </is>
      </c>
      <c r="B86" s="1" t="n">
        <v>45615</v>
      </c>
      <c r="C86" s="1" t="n">
        <v>45680</v>
      </c>
      <c r="D86" t="inlineStr">
        <is>
          <t>JÄMTLANDS LÄN</t>
        </is>
      </c>
      <c r="E86" t="inlineStr">
        <is>
          <t>ÅRE</t>
        </is>
      </c>
      <c r="G86" t="n">
        <v>9.300000000000001</v>
      </c>
      <c r="H86" t="n">
        <v>1</v>
      </c>
      <c r="I86" t="n">
        <v>3</v>
      </c>
      <c r="J86" t="n">
        <v>2</v>
      </c>
      <c r="K86" t="n">
        <v>0</v>
      </c>
      <c r="L86" t="n">
        <v>0</v>
      </c>
      <c r="M86" t="n">
        <v>0</v>
      </c>
      <c r="N86" t="n">
        <v>0</v>
      </c>
      <c r="O86" t="n">
        <v>2</v>
      </c>
      <c r="P86" t="n">
        <v>0</v>
      </c>
      <c r="Q86" t="n">
        <v>5</v>
      </c>
      <c r="R86" s="2" t="inlineStr">
        <is>
          <t>Garnlav
Vitgrynig nållav
Spindelblomster
Stuplav
Trådticka</t>
        </is>
      </c>
      <c r="S86">
        <f>HYPERLINK("https://klasma.github.io/Logging_2321/artfynd/A 53844-2024 artfynd.xlsx", "A 53844-2024")</f>
        <v/>
      </c>
      <c r="T86">
        <f>HYPERLINK("https://klasma.github.io/Logging_2321/kartor/A 53844-2024 karta.png", "A 53844-2024")</f>
        <v/>
      </c>
      <c r="V86">
        <f>HYPERLINK("https://klasma.github.io/Logging_2321/klagomål/A 53844-2024 FSC-klagomål.docx", "A 53844-2024")</f>
        <v/>
      </c>
      <c r="W86">
        <f>HYPERLINK("https://klasma.github.io/Logging_2321/klagomålsmail/A 53844-2024 FSC-klagomål mail.docx", "A 53844-2024")</f>
        <v/>
      </c>
      <c r="X86">
        <f>HYPERLINK("https://klasma.github.io/Logging_2321/tillsyn/A 53844-2024 tillsynsbegäran.docx", "A 53844-2024")</f>
        <v/>
      </c>
      <c r="Y86">
        <f>HYPERLINK("https://klasma.github.io/Logging_2321/tillsynsmail/A 53844-2024 tillsynsbegäran mail.docx", "A 53844-2024")</f>
        <v/>
      </c>
    </row>
    <row r="87" ht="15" customHeight="1">
      <c r="A87" t="inlineStr">
        <is>
          <t>A 32051-2019</t>
        </is>
      </c>
      <c r="B87" s="1" t="n">
        <v>43643</v>
      </c>
      <c r="C87" s="1" t="n">
        <v>45680</v>
      </c>
      <c r="D87" t="inlineStr">
        <is>
          <t>JÄMTLANDS LÄN</t>
        </is>
      </c>
      <c r="E87" t="inlineStr">
        <is>
          <t>ÅRE</t>
        </is>
      </c>
      <c r="G87" t="n">
        <v>7.1</v>
      </c>
      <c r="H87" t="n">
        <v>2</v>
      </c>
      <c r="I87" t="n">
        <v>2</v>
      </c>
      <c r="J87" t="n">
        <v>1</v>
      </c>
      <c r="K87" t="n">
        <v>0</v>
      </c>
      <c r="L87" t="n">
        <v>0</v>
      </c>
      <c r="M87" t="n">
        <v>0</v>
      </c>
      <c r="N87" t="n">
        <v>0</v>
      </c>
      <c r="O87" t="n">
        <v>1</v>
      </c>
      <c r="P87" t="n">
        <v>0</v>
      </c>
      <c r="Q87" t="n">
        <v>4</v>
      </c>
      <c r="R87" s="2" t="inlineStr">
        <is>
          <t>Lunglav
Guckusko
Tibast
Blåsippa</t>
        </is>
      </c>
      <c r="S87">
        <f>HYPERLINK("https://klasma.github.io/Logging_2321/artfynd/A 32051-2019 artfynd.xlsx", "A 32051-2019")</f>
        <v/>
      </c>
      <c r="T87">
        <f>HYPERLINK("https://klasma.github.io/Logging_2321/kartor/A 32051-2019 karta.png", "A 32051-2019")</f>
        <v/>
      </c>
      <c r="V87">
        <f>HYPERLINK("https://klasma.github.io/Logging_2321/klagomål/A 32051-2019 FSC-klagomål.docx", "A 32051-2019")</f>
        <v/>
      </c>
      <c r="W87">
        <f>HYPERLINK("https://klasma.github.io/Logging_2321/klagomålsmail/A 32051-2019 FSC-klagomål mail.docx", "A 32051-2019")</f>
        <v/>
      </c>
      <c r="X87">
        <f>HYPERLINK("https://klasma.github.io/Logging_2321/tillsyn/A 32051-2019 tillsynsbegäran.docx", "A 32051-2019")</f>
        <v/>
      </c>
      <c r="Y87">
        <f>HYPERLINK("https://klasma.github.io/Logging_2321/tillsynsmail/A 32051-2019 tillsynsbegäran mail.docx", "A 32051-2019")</f>
        <v/>
      </c>
    </row>
    <row r="88" ht="15" customHeight="1">
      <c r="A88" t="inlineStr">
        <is>
          <t>A 34717-2019</t>
        </is>
      </c>
      <c r="B88" s="1" t="n">
        <v>43657</v>
      </c>
      <c r="C88" s="1" t="n">
        <v>45680</v>
      </c>
      <c r="D88" t="inlineStr">
        <is>
          <t>JÄMTLANDS LÄN</t>
        </is>
      </c>
      <c r="E88" t="inlineStr">
        <is>
          <t>ÅRE</t>
        </is>
      </c>
      <c r="G88" t="n">
        <v>14.4</v>
      </c>
      <c r="H88" t="n">
        <v>0</v>
      </c>
      <c r="I88" t="n">
        <v>1</v>
      </c>
      <c r="J88" t="n">
        <v>3</v>
      </c>
      <c r="K88" t="n">
        <v>0</v>
      </c>
      <c r="L88" t="n">
        <v>0</v>
      </c>
      <c r="M88" t="n">
        <v>0</v>
      </c>
      <c r="N88" t="n">
        <v>0</v>
      </c>
      <c r="O88" t="n">
        <v>3</v>
      </c>
      <c r="P88" t="n">
        <v>0</v>
      </c>
      <c r="Q88" t="n">
        <v>4</v>
      </c>
      <c r="R88" s="2" t="inlineStr">
        <is>
          <t>Blanksvart spiklav
Blågrå svartspik
Vedflamlav
Dropptaggsvamp</t>
        </is>
      </c>
      <c r="S88">
        <f>HYPERLINK("https://klasma.github.io/Logging_2321/artfynd/A 34717-2019 artfynd.xlsx", "A 34717-2019")</f>
        <v/>
      </c>
      <c r="T88">
        <f>HYPERLINK("https://klasma.github.io/Logging_2321/kartor/A 34717-2019 karta.png", "A 34717-2019")</f>
        <v/>
      </c>
      <c r="V88">
        <f>HYPERLINK("https://klasma.github.io/Logging_2321/klagomål/A 34717-2019 FSC-klagomål.docx", "A 34717-2019")</f>
        <v/>
      </c>
      <c r="W88">
        <f>HYPERLINK("https://klasma.github.io/Logging_2321/klagomålsmail/A 34717-2019 FSC-klagomål mail.docx", "A 34717-2019")</f>
        <v/>
      </c>
      <c r="X88">
        <f>HYPERLINK("https://klasma.github.io/Logging_2321/tillsyn/A 34717-2019 tillsynsbegäran.docx", "A 34717-2019")</f>
        <v/>
      </c>
      <c r="Y88">
        <f>HYPERLINK("https://klasma.github.io/Logging_2321/tillsynsmail/A 34717-2019 tillsynsbegäran mail.docx", "A 34717-2019")</f>
        <v/>
      </c>
    </row>
    <row r="89" ht="15" customHeight="1">
      <c r="A89" t="inlineStr">
        <is>
          <t>A 1781-2020</t>
        </is>
      </c>
      <c r="B89" s="1" t="n">
        <v>43844</v>
      </c>
      <c r="C89" s="1" t="n">
        <v>45680</v>
      </c>
      <c r="D89" t="inlineStr">
        <is>
          <t>JÄMTLANDS LÄN</t>
        </is>
      </c>
      <c r="E89" t="inlineStr">
        <is>
          <t>ÅRE</t>
        </is>
      </c>
      <c r="G89" t="n">
        <v>9.300000000000001</v>
      </c>
      <c r="H89" t="n">
        <v>0</v>
      </c>
      <c r="I89" t="n">
        <v>3</v>
      </c>
      <c r="J89" t="n">
        <v>1</v>
      </c>
      <c r="K89" t="n">
        <v>0</v>
      </c>
      <c r="L89" t="n">
        <v>0</v>
      </c>
      <c r="M89" t="n">
        <v>0</v>
      </c>
      <c r="N89" t="n">
        <v>0</v>
      </c>
      <c r="O89" t="n">
        <v>1</v>
      </c>
      <c r="P89" t="n">
        <v>0</v>
      </c>
      <c r="Q89" t="n">
        <v>4</v>
      </c>
      <c r="R89" s="2" t="inlineStr">
        <is>
          <t>Vitgrynig nållav
Kransrams
Kryddspindling
Svavelriska</t>
        </is>
      </c>
      <c r="S89">
        <f>HYPERLINK("https://klasma.github.io/Logging_2321/artfynd/A 1781-2020 artfynd.xlsx", "A 1781-2020")</f>
        <v/>
      </c>
      <c r="T89">
        <f>HYPERLINK("https://klasma.github.io/Logging_2321/kartor/A 1781-2020 karta.png", "A 1781-2020")</f>
        <v/>
      </c>
      <c r="V89">
        <f>HYPERLINK("https://klasma.github.io/Logging_2321/klagomål/A 1781-2020 FSC-klagomål.docx", "A 1781-2020")</f>
        <v/>
      </c>
      <c r="W89">
        <f>HYPERLINK("https://klasma.github.io/Logging_2321/klagomålsmail/A 1781-2020 FSC-klagomål mail.docx", "A 1781-2020")</f>
        <v/>
      </c>
      <c r="X89">
        <f>HYPERLINK("https://klasma.github.io/Logging_2321/tillsyn/A 1781-2020 tillsynsbegäran.docx", "A 1781-2020")</f>
        <v/>
      </c>
      <c r="Y89">
        <f>HYPERLINK("https://klasma.github.io/Logging_2321/tillsynsmail/A 1781-2020 tillsynsbegäran mail.docx", "A 1781-2020")</f>
        <v/>
      </c>
    </row>
    <row r="90" ht="15" customHeight="1">
      <c r="A90" t="inlineStr">
        <is>
          <t>A 16005-2020</t>
        </is>
      </c>
      <c r="B90" s="1" t="n">
        <v>43916</v>
      </c>
      <c r="C90" s="1" t="n">
        <v>45680</v>
      </c>
      <c r="D90" t="inlineStr">
        <is>
          <t>JÄMTLANDS LÄN</t>
        </is>
      </c>
      <c r="E90" t="inlineStr">
        <is>
          <t>ÅRE</t>
        </is>
      </c>
      <c r="G90" t="n">
        <v>13.3</v>
      </c>
      <c r="H90" t="n">
        <v>1</v>
      </c>
      <c r="I90" t="n">
        <v>2</v>
      </c>
      <c r="J90" t="n">
        <v>1</v>
      </c>
      <c r="K90" t="n">
        <v>0</v>
      </c>
      <c r="L90" t="n">
        <v>0</v>
      </c>
      <c r="M90" t="n">
        <v>0</v>
      </c>
      <c r="N90" t="n">
        <v>0</v>
      </c>
      <c r="O90" t="n">
        <v>1</v>
      </c>
      <c r="P90" t="n">
        <v>0</v>
      </c>
      <c r="Q90" t="n">
        <v>4</v>
      </c>
      <c r="R90" s="2" t="inlineStr">
        <is>
          <t>Orange taggsvamp
Dropptaggsvamp
Kransrams
Blåsippa</t>
        </is>
      </c>
      <c r="S90">
        <f>HYPERLINK("https://klasma.github.io/Logging_2321/artfynd/A 16005-2020 artfynd.xlsx", "A 16005-2020")</f>
        <v/>
      </c>
      <c r="T90">
        <f>HYPERLINK("https://klasma.github.io/Logging_2321/kartor/A 16005-2020 karta.png", "A 16005-2020")</f>
        <v/>
      </c>
      <c r="V90">
        <f>HYPERLINK("https://klasma.github.io/Logging_2321/klagomål/A 16005-2020 FSC-klagomål.docx", "A 16005-2020")</f>
        <v/>
      </c>
      <c r="W90">
        <f>HYPERLINK("https://klasma.github.io/Logging_2321/klagomålsmail/A 16005-2020 FSC-klagomål mail.docx", "A 16005-2020")</f>
        <v/>
      </c>
      <c r="X90">
        <f>HYPERLINK("https://klasma.github.io/Logging_2321/tillsyn/A 16005-2020 tillsynsbegäran.docx", "A 16005-2020")</f>
        <v/>
      </c>
      <c r="Y90">
        <f>HYPERLINK("https://klasma.github.io/Logging_2321/tillsynsmail/A 16005-2020 tillsynsbegäran mail.docx", "A 16005-2020")</f>
        <v/>
      </c>
    </row>
    <row r="91" ht="15" customHeight="1">
      <c r="A91" t="inlineStr">
        <is>
          <t>A 45849-2020</t>
        </is>
      </c>
      <c r="B91" s="1" t="n">
        <v>44090</v>
      </c>
      <c r="C91" s="1" t="n">
        <v>45680</v>
      </c>
      <c r="D91" t="inlineStr">
        <is>
          <t>JÄMTLANDS LÄN</t>
        </is>
      </c>
      <c r="E91" t="inlineStr">
        <is>
          <t>ÅRE</t>
        </is>
      </c>
      <c r="G91" t="n">
        <v>2.7</v>
      </c>
      <c r="H91" t="n">
        <v>0</v>
      </c>
      <c r="I91" t="n">
        <v>1</v>
      </c>
      <c r="J91" t="n">
        <v>3</v>
      </c>
      <c r="K91" t="n">
        <v>0</v>
      </c>
      <c r="L91" t="n">
        <v>0</v>
      </c>
      <c r="M91" t="n">
        <v>0</v>
      </c>
      <c r="N91" t="n">
        <v>0</v>
      </c>
      <c r="O91" t="n">
        <v>3</v>
      </c>
      <c r="P91" t="n">
        <v>0</v>
      </c>
      <c r="Q91" t="n">
        <v>4</v>
      </c>
      <c r="R91" s="2" t="inlineStr">
        <is>
          <t>Garnlav
Granticka
Harticka
Stuplav</t>
        </is>
      </c>
      <c r="S91">
        <f>HYPERLINK("https://klasma.github.io/Logging_2321/artfynd/A 45849-2020 artfynd.xlsx", "A 45849-2020")</f>
        <v/>
      </c>
      <c r="T91">
        <f>HYPERLINK("https://klasma.github.io/Logging_2321/kartor/A 45849-2020 karta.png", "A 45849-2020")</f>
        <v/>
      </c>
      <c r="V91">
        <f>HYPERLINK("https://klasma.github.io/Logging_2321/klagomål/A 45849-2020 FSC-klagomål.docx", "A 45849-2020")</f>
        <v/>
      </c>
      <c r="W91">
        <f>HYPERLINK("https://klasma.github.io/Logging_2321/klagomålsmail/A 45849-2020 FSC-klagomål mail.docx", "A 45849-2020")</f>
        <v/>
      </c>
      <c r="X91">
        <f>HYPERLINK("https://klasma.github.io/Logging_2321/tillsyn/A 45849-2020 tillsynsbegäran.docx", "A 45849-2020")</f>
        <v/>
      </c>
      <c r="Y91">
        <f>HYPERLINK("https://klasma.github.io/Logging_2321/tillsynsmail/A 45849-2020 tillsynsbegäran mail.docx", "A 45849-2020")</f>
        <v/>
      </c>
    </row>
    <row r="92" ht="15" customHeight="1">
      <c r="A92" t="inlineStr">
        <is>
          <t>A 69317-2020</t>
        </is>
      </c>
      <c r="B92" s="1" t="n">
        <v>44193</v>
      </c>
      <c r="C92" s="1" t="n">
        <v>45680</v>
      </c>
      <c r="D92" t="inlineStr">
        <is>
          <t>JÄMTLANDS LÄN</t>
        </is>
      </c>
      <c r="E92" t="inlineStr">
        <is>
          <t>ÅRE</t>
        </is>
      </c>
      <c r="G92" t="n">
        <v>10.3</v>
      </c>
      <c r="H92" t="n">
        <v>2</v>
      </c>
      <c r="I92" t="n">
        <v>0</v>
      </c>
      <c r="J92" t="n">
        <v>4</v>
      </c>
      <c r="K92" t="n">
        <v>0</v>
      </c>
      <c r="L92" t="n">
        <v>0</v>
      </c>
      <c r="M92" t="n">
        <v>0</v>
      </c>
      <c r="N92" t="n">
        <v>0</v>
      </c>
      <c r="O92" t="n">
        <v>4</v>
      </c>
      <c r="P92" t="n">
        <v>0</v>
      </c>
      <c r="Q92" t="n">
        <v>4</v>
      </c>
      <c r="R92" s="2" t="inlineStr">
        <is>
          <t>Garnlav
Granticka
Spillkråka
Tretåig hackspett</t>
        </is>
      </c>
      <c r="S92">
        <f>HYPERLINK("https://klasma.github.io/Logging_2321/artfynd/A 69317-2020 artfynd.xlsx", "A 69317-2020")</f>
        <v/>
      </c>
      <c r="T92">
        <f>HYPERLINK("https://klasma.github.io/Logging_2321/kartor/A 69317-2020 karta.png", "A 69317-2020")</f>
        <v/>
      </c>
      <c r="V92">
        <f>HYPERLINK("https://klasma.github.io/Logging_2321/klagomål/A 69317-2020 FSC-klagomål.docx", "A 69317-2020")</f>
        <v/>
      </c>
      <c r="W92">
        <f>HYPERLINK("https://klasma.github.io/Logging_2321/klagomålsmail/A 69317-2020 FSC-klagomål mail.docx", "A 69317-2020")</f>
        <v/>
      </c>
      <c r="X92">
        <f>HYPERLINK("https://klasma.github.io/Logging_2321/tillsyn/A 69317-2020 tillsynsbegäran.docx", "A 69317-2020")</f>
        <v/>
      </c>
      <c r="Y92">
        <f>HYPERLINK("https://klasma.github.io/Logging_2321/tillsynsmail/A 69317-2020 tillsynsbegäran mail.docx", "A 69317-2020")</f>
        <v/>
      </c>
      <c r="Z92">
        <f>HYPERLINK("https://klasma.github.io/Logging_2321/fåglar/A 69317-2020 prioriterade fågelarter.docx", "A 69317-2020")</f>
        <v/>
      </c>
    </row>
    <row r="93" ht="15" customHeight="1">
      <c r="A93" t="inlineStr">
        <is>
          <t>A 6236-2021</t>
        </is>
      </c>
      <c r="B93" s="1" t="n">
        <v>44231</v>
      </c>
      <c r="C93" s="1" t="n">
        <v>45680</v>
      </c>
      <c r="D93" t="inlineStr">
        <is>
          <t>JÄMTLANDS LÄN</t>
        </is>
      </c>
      <c r="E93" t="inlineStr">
        <is>
          <t>ÅRE</t>
        </is>
      </c>
      <c r="G93" t="n">
        <v>39.1</v>
      </c>
      <c r="H93" t="n">
        <v>0</v>
      </c>
      <c r="I93" t="n">
        <v>3</v>
      </c>
      <c r="J93" t="n">
        <v>1</v>
      </c>
      <c r="K93" t="n">
        <v>0</v>
      </c>
      <c r="L93" t="n">
        <v>0</v>
      </c>
      <c r="M93" t="n">
        <v>0</v>
      </c>
      <c r="N93" t="n">
        <v>0</v>
      </c>
      <c r="O93" t="n">
        <v>1</v>
      </c>
      <c r="P93" t="n">
        <v>0</v>
      </c>
      <c r="Q93" t="n">
        <v>4</v>
      </c>
      <c r="R93" s="2" t="inlineStr">
        <is>
          <t>Garnlav
Bårdlav
Gytterlav
Stuplav</t>
        </is>
      </c>
      <c r="S93">
        <f>HYPERLINK("https://klasma.github.io/Logging_2321/artfynd/A 6236-2021 artfynd.xlsx", "A 6236-2021")</f>
        <v/>
      </c>
      <c r="T93">
        <f>HYPERLINK("https://klasma.github.io/Logging_2321/kartor/A 6236-2021 karta.png", "A 6236-2021")</f>
        <v/>
      </c>
      <c r="V93">
        <f>HYPERLINK("https://klasma.github.io/Logging_2321/klagomål/A 6236-2021 FSC-klagomål.docx", "A 6236-2021")</f>
        <v/>
      </c>
      <c r="W93">
        <f>HYPERLINK("https://klasma.github.io/Logging_2321/klagomålsmail/A 6236-2021 FSC-klagomål mail.docx", "A 6236-2021")</f>
        <v/>
      </c>
      <c r="X93">
        <f>HYPERLINK("https://klasma.github.io/Logging_2321/tillsyn/A 6236-2021 tillsynsbegäran.docx", "A 6236-2021")</f>
        <v/>
      </c>
      <c r="Y93">
        <f>HYPERLINK("https://klasma.github.io/Logging_2321/tillsynsmail/A 6236-2021 tillsynsbegäran mail.docx", "A 6236-2021")</f>
        <v/>
      </c>
    </row>
    <row r="94" ht="15" customHeight="1">
      <c r="A94" t="inlineStr">
        <is>
          <t>A 19277-2021</t>
        </is>
      </c>
      <c r="B94" s="1" t="n">
        <v>44309</v>
      </c>
      <c r="C94" s="1" t="n">
        <v>45680</v>
      </c>
      <c r="D94" t="inlineStr">
        <is>
          <t>JÄMTLANDS LÄN</t>
        </is>
      </c>
      <c r="E94" t="inlineStr">
        <is>
          <t>ÅRE</t>
        </is>
      </c>
      <c r="G94" t="n">
        <v>3.2</v>
      </c>
      <c r="H94" t="n">
        <v>0</v>
      </c>
      <c r="I94" t="n">
        <v>2</v>
      </c>
      <c r="J94" t="n">
        <v>2</v>
      </c>
      <c r="K94" t="n">
        <v>0</v>
      </c>
      <c r="L94" t="n">
        <v>0</v>
      </c>
      <c r="M94" t="n">
        <v>0</v>
      </c>
      <c r="N94" t="n">
        <v>0</v>
      </c>
      <c r="O94" t="n">
        <v>2</v>
      </c>
      <c r="P94" t="n">
        <v>0</v>
      </c>
      <c r="Q94" t="n">
        <v>4</v>
      </c>
      <c r="R94" s="2" t="inlineStr">
        <is>
          <t>Garnlav
Gränsticka
Korallblylav
Stuplav</t>
        </is>
      </c>
      <c r="S94">
        <f>HYPERLINK("https://klasma.github.io/Logging_2321/artfynd/A 19277-2021 artfynd.xlsx", "A 19277-2021")</f>
        <v/>
      </c>
      <c r="T94">
        <f>HYPERLINK("https://klasma.github.io/Logging_2321/kartor/A 19277-2021 karta.png", "A 19277-2021")</f>
        <v/>
      </c>
      <c r="V94">
        <f>HYPERLINK("https://klasma.github.io/Logging_2321/klagomål/A 19277-2021 FSC-klagomål.docx", "A 19277-2021")</f>
        <v/>
      </c>
      <c r="W94">
        <f>HYPERLINK("https://klasma.github.io/Logging_2321/klagomålsmail/A 19277-2021 FSC-klagomål mail.docx", "A 19277-2021")</f>
        <v/>
      </c>
      <c r="X94">
        <f>HYPERLINK("https://klasma.github.io/Logging_2321/tillsyn/A 19277-2021 tillsynsbegäran.docx", "A 19277-2021")</f>
        <v/>
      </c>
      <c r="Y94">
        <f>HYPERLINK("https://klasma.github.io/Logging_2321/tillsynsmail/A 19277-2021 tillsynsbegäran mail.docx", "A 19277-2021")</f>
        <v/>
      </c>
    </row>
    <row r="95" ht="15" customHeight="1">
      <c r="A95" t="inlineStr">
        <is>
          <t>A 12271-2022</t>
        </is>
      </c>
      <c r="B95" s="1" t="n">
        <v>44637</v>
      </c>
      <c r="C95" s="1" t="n">
        <v>45680</v>
      </c>
      <c r="D95" t="inlineStr">
        <is>
          <t>JÄMTLANDS LÄN</t>
        </is>
      </c>
      <c r="E95" t="inlineStr">
        <is>
          <t>ÅRE</t>
        </is>
      </c>
      <c r="G95" t="n">
        <v>19.9</v>
      </c>
      <c r="H95" t="n">
        <v>0</v>
      </c>
      <c r="I95" t="n">
        <v>1</v>
      </c>
      <c r="J95" t="n">
        <v>3</v>
      </c>
      <c r="K95" t="n">
        <v>0</v>
      </c>
      <c r="L95" t="n">
        <v>0</v>
      </c>
      <c r="M95" t="n">
        <v>0</v>
      </c>
      <c r="N95" t="n">
        <v>0</v>
      </c>
      <c r="O95" t="n">
        <v>3</v>
      </c>
      <c r="P95" t="n">
        <v>0</v>
      </c>
      <c r="Q95" t="n">
        <v>4</v>
      </c>
      <c r="R95" s="2" t="inlineStr">
        <is>
          <t>Granticka
Gränsticka
Skrovellav
Stuplav</t>
        </is>
      </c>
      <c r="S95">
        <f>HYPERLINK("https://klasma.github.io/Logging_2321/artfynd/A 12271-2022 artfynd.xlsx", "A 12271-2022")</f>
        <v/>
      </c>
      <c r="T95">
        <f>HYPERLINK("https://klasma.github.io/Logging_2321/kartor/A 12271-2022 karta.png", "A 12271-2022")</f>
        <v/>
      </c>
      <c r="V95">
        <f>HYPERLINK("https://klasma.github.io/Logging_2321/klagomål/A 12271-2022 FSC-klagomål.docx", "A 12271-2022")</f>
        <v/>
      </c>
      <c r="W95">
        <f>HYPERLINK("https://klasma.github.io/Logging_2321/klagomålsmail/A 12271-2022 FSC-klagomål mail.docx", "A 12271-2022")</f>
        <v/>
      </c>
      <c r="X95">
        <f>HYPERLINK("https://klasma.github.io/Logging_2321/tillsyn/A 12271-2022 tillsynsbegäran.docx", "A 12271-2022")</f>
        <v/>
      </c>
      <c r="Y95">
        <f>HYPERLINK("https://klasma.github.io/Logging_2321/tillsynsmail/A 12271-2022 tillsynsbegäran mail.docx", "A 12271-2022")</f>
        <v/>
      </c>
    </row>
    <row r="96" ht="15" customHeight="1">
      <c r="A96" t="inlineStr">
        <is>
          <t>A 52464-2022</t>
        </is>
      </c>
      <c r="B96" s="1" t="n">
        <v>44874</v>
      </c>
      <c r="C96" s="1" t="n">
        <v>45680</v>
      </c>
      <c r="D96" t="inlineStr">
        <is>
          <t>JÄMTLANDS LÄN</t>
        </is>
      </c>
      <c r="E96" t="inlineStr">
        <is>
          <t>ÅRE</t>
        </is>
      </c>
      <c r="G96" t="n">
        <v>6.5</v>
      </c>
      <c r="H96" t="n">
        <v>1</v>
      </c>
      <c r="I96" t="n">
        <v>0</v>
      </c>
      <c r="J96" t="n">
        <v>4</v>
      </c>
      <c r="K96" t="n">
        <v>0</v>
      </c>
      <c r="L96" t="n">
        <v>0</v>
      </c>
      <c r="M96" t="n">
        <v>0</v>
      </c>
      <c r="N96" t="n">
        <v>0</v>
      </c>
      <c r="O96" t="n">
        <v>4</v>
      </c>
      <c r="P96" t="n">
        <v>0</v>
      </c>
      <c r="Q96" t="n">
        <v>4</v>
      </c>
      <c r="R96" s="2" t="inlineStr">
        <is>
          <t>Garnlav
Liten svartspik
Tretåig hackspett
Vitgrynig nållav</t>
        </is>
      </c>
      <c r="S96">
        <f>HYPERLINK("https://klasma.github.io/Logging_2321/artfynd/A 52464-2022 artfynd.xlsx", "A 52464-2022")</f>
        <v/>
      </c>
      <c r="T96">
        <f>HYPERLINK("https://klasma.github.io/Logging_2321/kartor/A 52464-2022 karta.png", "A 52464-2022")</f>
        <v/>
      </c>
      <c r="V96">
        <f>HYPERLINK("https://klasma.github.io/Logging_2321/klagomål/A 52464-2022 FSC-klagomål.docx", "A 52464-2022")</f>
        <v/>
      </c>
      <c r="W96">
        <f>HYPERLINK("https://klasma.github.io/Logging_2321/klagomålsmail/A 52464-2022 FSC-klagomål mail.docx", "A 52464-2022")</f>
        <v/>
      </c>
      <c r="X96">
        <f>HYPERLINK("https://klasma.github.io/Logging_2321/tillsyn/A 52464-2022 tillsynsbegäran.docx", "A 52464-2022")</f>
        <v/>
      </c>
      <c r="Y96">
        <f>HYPERLINK("https://klasma.github.io/Logging_2321/tillsynsmail/A 52464-2022 tillsynsbegäran mail.docx", "A 52464-2022")</f>
        <v/>
      </c>
      <c r="Z96">
        <f>HYPERLINK("https://klasma.github.io/Logging_2321/fåglar/A 52464-2022 prioriterade fågelarter.docx", "A 52464-2022")</f>
        <v/>
      </c>
    </row>
    <row r="97" ht="15" customHeight="1">
      <c r="A97" t="inlineStr">
        <is>
          <t>A 56183-2022</t>
        </is>
      </c>
      <c r="B97" s="1" t="n">
        <v>44889</v>
      </c>
      <c r="C97" s="1" t="n">
        <v>45680</v>
      </c>
      <c r="D97" t="inlineStr">
        <is>
          <t>JÄMTLANDS LÄN</t>
        </is>
      </c>
      <c r="E97" t="inlineStr">
        <is>
          <t>ÅRE</t>
        </is>
      </c>
      <c r="G97" t="n">
        <v>29.8</v>
      </c>
      <c r="H97" t="n">
        <v>1</v>
      </c>
      <c r="I97" t="n">
        <v>0</v>
      </c>
      <c r="J97" t="n">
        <v>4</v>
      </c>
      <c r="K97" t="n">
        <v>0</v>
      </c>
      <c r="L97" t="n">
        <v>0</v>
      </c>
      <c r="M97" t="n">
        <v>0</v>
      </c>
      <c r="N97" t="n">
        <v>0</v>
      </c>
      <c r="O97" t="n">
        <v>4</v>
      </c>
      <c r="P97" t="n">
        <v>0</v>
      </c>
      <c r="Q97" t="n">
        <v>4</v>
      </c>
      <c r="R97" s="2" t="inlineStr">
        <is>
          <t>Gammelgransskål
Granticka
Skrovellav
Tretåig hackspett</t>
        </is>
      </c>
      <c r="S97">
        <f>HYPERLINK("https://klasma.github.io/Logging_2321/artfynd/A 56183-2022 artfynd.xlsx", "A 56183-2022")</f>
        <v/>
      </c>
      <c r="T97">
        <f>HYPERLINK("https://klasma.github.io/Logging_2321/kartor/A 56183-2022 karta.png", "A 56183-2022")</f>
        <v/>
      </c>
      <c r="V97">
        <f>HYPERLINK("https://klasma.github.io/Logging_2321/klagomål/A 56183-2022 FSC-klagomål.docx", "A 56183-2022")</f>
        <v/>
      </c>
      <c r="W97">
        <f>HYPERLINK("https://klasma.github.io/Logging_2321/klagomålsmail/A 56183-2022 FSC-klagomål mail.docx", "A 56183-2022")</f>
        <v/>
      </c>
      <c r="X97">
        <f>HYPERLINK("https://klasma.github.io/Logging_2321/tillsyn/A 56183-2022 tillsynsbegäran.docx", "A 56183-2022")</f>
        <v/>
      </c>
      <c r="Y97">
        <f>HYPERLINK("https://klasma.github.io/Logging_2321/tillsynsmail/A 56183-2022 tillsynsbegäran mail.docx", "A 56183-2022")</f>
        <v/>
      </c>
      <c r="Z97">
        <f>HYPERLINK("https://klasma.github.io/Logging_2321/fåglar/A 56183-2022 prioriterade fågelarter.docx", "A 56183-2022")</f>
        <v/>
      </c>
    </row>
    <row r="98" ht="15" customHeight="1">
      <c r="A98" t="inlineStr">
        <is>
          <t>A 19701-2023</t>
        </is>
      </c>
      <c r="B98" s="1" t="n">
        <v>45051</v>
      </c>
      <c r="C98" s="1" t="n">
        <v>45680</v>
      </c>
      <c r="D98" t="inlineStr">
        <is>
          <t>JÄMTLANDS LÄN</t>
        </is>
      </c>
      <c r="E98" t="inlineStr">
        <is>
          <t>ÅRE</t>
        </is>
      </c>
      <c r="G98" t="n">
        <v>9.800000000000001</v>
      </c>
      <c r="H98" t="n">
        <v>2</v>
      </c>
      <c r="I98" t="n">
        <v>2</v>
      </c>
      <c r="J98" t="n">
        <v>1</v>
      </c>
      <c r="K98" t="n">
        <v>0</v>
      </c>
      <c r="L98" t="n">
        <v>0</v>
      </c>
      <c r="M98" t="n">
        <v>0</v>
      </c>
      <c r="N98" t="n">
        <v>0</v>
      </c>
      <c r="O98" t="n">
        <v>1</v>
      </c>
      <c r="P98" t="n">
        <v>0</v>
      </c>
      <c r="Q98" t="n">
        <v>4</v>
      </c>
      <c r="R98" s="2" t="inlineStr">
        <is>
          <t>Granticka
Spindelblomster
Ögonpyrola
Revlummer</t>
        </is>
      </c>
      <c r="S98">
        <f>HYPERLINK("https://klasma.github.io/Logging_2321/artfynd/A 19701-2023 artfynd.xlsx", "A 19701-2023")</f>
        <v/>
      </c>
      <c r="T98">
        <f>HYPERLINK("https://klasma.github.io/Logging_2321/kartor/A 19701-2023 karta.png", "A 19701-2023")</f>
        <v/>
      </c>
      <c r="V98">
        <f>HYPERLINK("https://klasma.github.io/Logging_2321/klagomål/A 19701-2023 FSC-klagomål.docx", "A 19701-2023")</f>
        <v/>
      </c>
      <c r="W98">
        <f>HYPERLINK("https://klasma.github.io/Logging_2321/klagomålsmail/A 19701-2023 FSC-klagomål mail.docx", "A 19701-2023")</f>
        <v/>
      </c>
      <c r="X98">
        <f>HYPERLINK("https://klasma.github.io/Logging_2321/tillsyn/A 19701-2023 tillsynsbegäran.docx", "A 19701-2023")</f>
        <v/>
      </c>
      <c r="Y98">
        <f>HYPERLINK("https://klasma.github.io/Logging_2321/tillsynsmail/A 19701-2023 tillsynsbegäran mail.docx", "A 19701-2023")</f>
        <v/>
      </c>
    </row>
    <row r="99" ht="15" customHeight="1">
      <c r="A99" t="inlineStr">
        <is>
          <t>A 20035-2024</t>
        </is>
      </c>
      <c r="B99" s="1" t="n">
        <v>45434</v>
      </c>
      <c r="C99" s="1" t="n">
        <v>45680</v>
      </c>
      <c r="D99" t="inlineStr">
        <is>
          <t>JÄMTLANDS LÄN</t>
        </is>
      </c>
      <c r="E99" t="inlineStr">
        <is>
          <t>ÅRE</t>
        </is>
      </c>
      <c r="F99" t="inlineStr">
        <is>
          <t>Övriga Aktiebolag</t>
        </is>
      </c>
      <c r="G99" t="n">
        <v>15.4</v>
      </c>
      <c r="H99" t="n">
        <v>0</v>
      </c>
      <c r="I99" t="n">
        <v>0</v>
      </c>
      <c r="J99" t="n">
        <v>3</v>
      </c>
      <c r="K99" t="n">
        <v>1</v>
      </c>
      <c r="L99" t="n">
        <v>0</v>
      </c>
      <c r="M99" t="n">
        <v>0</v>
      </c>
      <c r="N99" t="n">
        <v>0</v>
      </c>
      <c r="O99" t="n">
        <v>4</v>
      </c>
      <c r="P99" t="n">
        <v>1</v>
      </c>
      <c r="Q99" t="n">
        <v>4</v>
      </c>
      <c r="R99" s="2" t="inlineStr">
        <is>
          <t>Norsk näverlav
Gammelgransskål
Garnlav
Gränsticka</t>
        </is>
      </c>
      <c r="S99">
        <f>HYPERLINK("https://klasma.github.io/Logging_2321/artfynd/A 20035-2024 artfynd.xlsx", "A 20035-2024")</f>
        <v/>
      </c>
      <c r="T99">
        <f>HYPERLINK("https://klasma.github.io/Logging_2321/kartor/A 20035-2024 karta.png", "A 20035-2024")</f>
        <v/>
      </c>
      <c r="V99">
        <f>HYPERLINK("https://klasma.github.io/Logging_2321/klagomål/A 20035-2024 FSC-klagomål.docx", "A 20035-2024")</f>
        <v/>
      </c>
      <c r="W99">
        <f>HYPERLINK("https://klasma.github.io/Logging_2321/klagomålsmail/A 20035-2024 FSC-klagomål mail.docx", "A 20035-2024")</f>
        <v/>
      </c>
      <c r="X99">
        <f>HYPERLINK("https://klasma.github.io/Logging_2321/tillsyn/A 20035-2024 tillsynsbegäran.docx", "A 20035-2024")</f>
        <v/>
      </c>
      <c r="Y99">
        <f>HYPERLINK("https://klasma.github.io/Logging_2321/tillsynsmail/A 20035-2024 tillsynsbegäran mail.docx", "A 20035-2024")</f>
        <v/>
      </c>
    </row>
    <row r="100" ht="15" customHeight="1">
      <c r="A100" t="inlineStr">
        <is>
          <t>A 31842-2024</t>
        </is>
      </c>
      <c r="B100" s="1" t="n">
        <v>45509</v>
      </c>
      <c r="C100" s="1" t="n">
        <v>45680</v>
      </c>
      <c r="D100" t="inlineStr">
        <is>
          <t>JÄMTLANDS LÄN</t>
        </is>
      </c>
      <c r="E100" t="inlineStr">
        <is>
          <t>ÅRE</t>
        </is>
      </c>
      <c r="G100" t="n">
        <v>7.6</v>
      </c>
      <c r="H100" t="n">
        <v>1</v>
      </c>
      <c r="I100" t="n">
        <v>0</v>
      </c>
      <c r="J100" t="n">
        <v>4</v>
      </c>
      <c r="K100" t="n">
        <v>0</v>
      </c>
      <c r="L100" t="n">
        <v>0</v>
      </c>
      <c r="M100" t="n">
        <v>0</v>
      </c>
      <c r="N100" t="n">
        <v>0</v>
      </c>
      <c r="O100" t="n">
        <v>4</v>
      </c>
      <c r="P100" t="n">
        <v>0</v>
      </c>
      <c r="Q100" t="n">
        <v>4</v>
      </c>
      <c r="R100" s="2" t="inlineStr">
        <is>
          <t>Garnlav
Harticka
Tretåig hackspett
Ullticka</t>
        </is>
      </c>
      <c r="S100">
        <f>HYPERLINK("https://klasma.github.io/Logging_2321/artfynd/A 31842-2024 artfynd.xlsx", "A 31842-2024")</f>
        <v/>
      </c>
      <c r="T100">
        <f>HYPERLINK("https://klasma.github.io/Logging_2321/kartor/A 31842-2024 karta.png", "A 31842-2024")</f>
        <v/>
      </c>
      <c r="V100">
        <f>HYPERLINK("https://klasma.github.io/Logging_2321/klagomål/A 31842-2024 FSC-klagomål.docx", "A 31842-2024")</f>
        <v/>
      </c>
      <c r="W100">
        <f>HYPERLINK("https://klasma.github.io/Logging_2321/klagomålsmail/A 31842-2024 FSC-klagomål mail.docx", "A 31842-2024")</f>
        <v/>
      </c>
      <c r="X100">
        <f>HYPERLINK("https://klasma.github.io/Logging_2321/tillsyn/A 31842-2024 tillsynsbegäran.docx", "A 31842-2024")</f>
        <v/>
      </c>
      <c r="Y100">
        <f>HYPERLINK("https://klasma.github.io/Logging_2321/tillsynsmail/A 31842-2024 tillsynsbegäran mail.docx", "A 31842-2024")</f>
        <v/>
      </c>
      <c r="Z100">
        <f>HYPERLINK("https://klasma.github.io/Logging_2321/fåglar/A 31842-2024 prioriterade fågelarter.docx", "A 31842-2024")</f>
        <v/>
      </c>
    </row>
    <row r="101" ht="15" customHeight="1">
      <c r="A101" t="inlineStr">
        <is>
          <t>A 45799-2024</t>
        </is>
      </c>
      <c r="B101" s="1" t="n">
        <v>45579</v>
      </c>
      <c r="C101" s="1" t="n">
        <v>45680</v>
      </c>
      <c r="D101" t="inlineStr">
        <is>
          <t>JÄMTLANDS LÄN</t>
        </is>
      </c>
      <c r="E101" t="inlineStr">
        <is>
          <t>ÅRE</t>
        </is>
      </c>
      <c r="G101" t="n">
        <v>8.6</v>
      </c>
      <c r="H101" t="n">
        <v>0</v>
      </c>
      <c r="I101" t="n">
        <v>2</v>
      </c>
      <c r="J101" t="n">
        <v>2</v>
      </c>
      <c r="K101" t="n">
        <v>0</v>
      </c>
      <c r="L101" t="n">
        <v>0</v>
      </c>
      <c r="M101" t="n">
        <v>0</v>
      </c>
      <c r="N101" t="n">
        <v>0</v>
      </c>
      <c r="O101" t="n">
        <v>2</v>
      </c>
      <c r="P101" t="n">
        <v>0</v>
      </c>
      <c r="Q101" t="n">
        <v>4</v>
      </c>
      <c r="R101" s="2" t="inlineStr">
        <is>
          <t>Granticka
Vitterspindling
Granriska
Svavelriska</t>
        </is>
      </c>
      <c r="S101">
        <f>HYPERLINK("https://klasma.github.io/Logging_2321/artfynd/A 45799-2024 artfynd.xlsx", "A 45799-2024")</f>
        <v/>
      </c>
      <c r="T101">
        <f>HYPERLINK("https://klasma.github.io/Logging_2321/kartor/A 45799-2024 karta.png", "A 45799-2024")</f>
        <v/>
      </c>
      <c r="V101">
        <f>HYPERLINK("https://klasma.github.io/Logging_2321/klagomål/A 45799-2024 FSC-klagomål.docx", "A 45799-2024")</f>
        <v/>
      </c>
      <c r="W101">
        <f>HYPERLINK("https://klasma.github.io/Logging_2321/klagomålsmail/A 45799-2024 FSC-klagomål mail.docx", "A 45799-2024")</f>
        <v/>
      </c>
      <c r="X101">
        <f>HYPERLINK("https://klasma.github.io/Logging_2321/tillsyn/A 45799-2024 tillsynsbegäran.docx", "A 45799-2024")</f>
        <v/>
      </c>
      <c r="Y101">
        <f>HYPERLINK("https://klasma.github.io/Logging_2321/tillsynsmail/A 45799-2024 tillsynsbegäran mail.docx", "A 45799-2024")</f>
        <v/>
      </c>
    </row>
    <row r="102" ht="15" customHeight="1">
      <c r="A102" t="inlineStr">
        <is>
          <t>A 49488-2024</t>
        </is>
      </c>
      <c r="B102" s="1" t="n">
        <v>45596</v>
      </c>
      <c r="C102" s="1" t="n">
        <v>45680</v>
      </c>
      <c r="D102" t="inlineStr">
        <is>
          <t>JÄMTLANDS LÄN</t>
        </is>
      </c>
      <c r="E102" t="inlineStr">
        <is>
          <t>ÅRE</t>
        </is>
      </c>
      <c r="G102" t="n">
        <v>13.5</v>
      </c>
      <c r="H102" t="n">
        <v>1</v>
      </c>
      <c r="I102" t="n">
        <v>0</v>
      </c>
      <c r="J102" t="n">
        <v>4</v>
      </c>
      <c r="K102" t="n">
        <v>0</v>
      </c>
      <c r="L102" t="n">
        <v>0</v>
      </c>
      <c r="M102" t="n">
        <v>0</v>
      </c>
      <c r="N102" t="n">
        <v>0</v>
      </c>
      <c r="O102" t="n">
        <v>4</v>
      </c>
      <c r="P102" t="n">
        <v>0</v>
      </c>
      <c r="Q102" t="n">
        <v>4</v>
      </c>
      <c r="R102" s="2" t="inlineStr">
        <is>
          <t>Granticka
Harticka
Tretåig hackspett
Ullticka</t>
        </is>
      </c>
      <c r="S102">
        <f>HYPERLINK("https://klasma.github.io/Logging_2321/artfynd/A 49488-2024 artfynd.xlsx", "A 49488-2024")</f>
        <v/>
      </c>
      <c r="T102">
        <f>HYPERLINK("https://klasma.github.io/Logging_2321/kartor/A 49488-2024 karta.png", "A 49488-2024")</f>
        <v/>
      </c>
      <c r="V102">
        <f>HYPERLINK("https://klasma.github.io/Logging_2321/klagomål/A 49488-2024 FSC-klagomål.docx", "A 49488-2024")</f>
        <v/>
      </c>
      <c r="W102">
        <f>HYPERLINK("https://klasma.github.io/Logging_2321/klagomålsmail/A 49488-2024 FSC-klagomål mail.docx", "A 49488-2024")</f>
        <v/>
      </c>
      <c r="X102">
        <f>HYPERLINK("https://klasma.github.io/Logging_2321/tillsyn/A 49488-2024 tillsynsbegäran.docx", "A 49488-2024")</f>
        <v/>
      </c>
      <c r="Y102">
        <f>HYPERLINK("https://klasma.github.io/Logging_2321/tillsynsmail/A 49488-2024 tillsynsbegäran mail.docx", "A 49488-2024")</f>
        <v/>
      </c>
      <c r="Z102">
        <f>HYPERLINK("https://klasma.github.io/Logging_2321/fåglar/A 49488-2024 prioriterade fågelarter.docx", "A 49488-2024")</f>
        <v/>
      </c>
    </row>
    <row r="103" ht="15" customHeight="1">
      <c r="A103" t="inlineStr">
        <is>
          <t>A 57537-2024</t>
        </is>
      </c>
      <c r="B103" s="1" t="n">
        <v>45630</v>
      </c>
      <c r="C103" s="1" t="n">
        <v>45680</v>
      </c>
      <c r="D103" t="inlineStr">
        <is>
          <t>JÄMTLANDS LÄN</t>
        </is>
      </c>
      <c r="E103" t="inlineStr">
        <is>
          <t>ÅRE</t>
        </is>
      </c>
      <c r="G103" t="n">
        <v>19.1</v>
      </c>
      <c r="H103" t="n">
        <v>1</v>
      </c>
      <c r="I103" t="n">
        <v>0</v>
      </c>
      <c r="J103" t="n">
        <v>4</v>
      </c>
      <c r="K103" t="n">
        <v>0</v>
      </c>
      <c r="L103" t="n">
        <v>0</v>
      </c>
      <c r="M103" t="n">
        <v>0</v>
      </c>
      <c r="N103" t="n">
        <v>0</v>
      </c>
      <c r="O103" t="n">
        <v>4</v>
      </c>
      <c r="P103" t="n">
        <v>0</v>
      </c>
      <c r="Q103" t="n">
        <v>4</v>
      </c>
      <c r="R103" s="2" t="inlineStr">
        <is>
          <t>Garnlav
Granticka
Tretåig hackspett
Ullticka</t>
        </is>
      </c>
      <c r="S103">
        <f>HYPERLINK("https://klasma.github.io/Logging_2321/artfynd/A 57537-2024 artfynd.xlsx", "A 57537-2024")</f>
        <v/>
      </c>
      <c r="T103">
        <f>HYPERLINK("https://klasma.github.io/Logging_2321/kartor/A 57537-2024 karta.png", "A 57537-2024")</f>
        <v/>
      </c>
      <c r="V103">
        <f>HYPERLINK("https://klasma.github.io/Logging_2321/klagomål/A 57537-2024 FSC-klagomål.docx", "A 57537-2024")</f>
        <v/>
      </c>
      <c r="W103">
        <f>HYPERLINK("https://klasma.github.io/Logging_2321/klagomålsmail/A 57537-2024 FSC-klagomål mail.docx", "A 57537-2024")</f>
        <v/>
      </c>
      <c r="X103">
        <f>HYPERLINK("https://klasma.github.io/Logging_2321/tillsyn/A 57537-2024 tillsynsbegäran.docx", "A 57537-2024")</f>
        <v/>
      </c>
      <c r="Y103">
        <f>HYPERLINK("https://klasma.github.io/Logging_2321/tillsynsmail/A 57537-2024 tillsynsbegäran mail.docx", "A 57537-2024")</f>
        <v/>
      </c>
      <c r="Z103">
        <f>HYPERLINK("https://klasma.github.io/Logging_2321/fåglar/A 57537-2024 prioriterade fågelarter.docx", "A 57537-2024")</f>
        <v/>
      </c>
    </row>
    <row r="104" ht="15" customHeight="1">
      <c r="A104" t="inlineStr">
        <is>
          <t>A 24163-2019</t>
        </is>
      </c>
      <c r="B104" s="1" t="n">
        <v>43598</v>
      </c>
      <c r="C104" s="1" t="n">
        <v>45680</v>
      </c>
      <c r="D104" t="inlineStr">
        <is>
          <t>JÄMTLANDS LÄN</t>
        </is>
      </c>
      <c r="E104" t="inlineStr">
        <is>
          <t>ÅRE</t>
        </is>
      </c>
      <c r="G104" t="n">
        <v>16.5</v>
      </c>
      <c r="H104" t="n">
        <v>0</v>
      </c>
      <c r="I104" t="n">
        <v>0</v>
      </c>
      <c r="J104" t="n">
        <v>3</v>
      </c>
      <c r="K104" t="n">
        <v>0</v>
      </c>
      <c r="L104" t="n">
        <v>0</v>
      </c>
      <c r="M104" t="n">
        <v>0</v>
      </c>
      <c r="N104" t="n">
        <v>0</v>
      </c>
      <c r="O104" t="n">
        <v>3</v>
      </c>
      <c r="P104" t="n">
        <v>0</v>
      </c>
      <c r="Q104" t="n">
        <v>3</v>
      </c>
      <c r="R104" s="2" t="inlineStr">
        <is>
          <t>Garnlav
Lunglav
Rosenticka</t>
        </is>
      </c>
      <c r="S104">
        <f>HYPERLINK("https://klasma.github.io/Logging_2321/artfynd/A 24163-2019 artfynd.xlsx", "A 24163-2019")</f>
        <v/>
      </c>
      <c r="T104">
        <f>HYPERLINK("https://klasma.github.io/Logging_2321/kartor/A 24163-2019 karta.png", "A 24163-2019")</f>
        <v/>
      </c>
      <c r="V104">
        <f>HYPERLINK("https://klasma.github.io/Logging_2321/klagomål/A 24163-2019 FSC-klagomål.docx", "A 24163-2019")</f>
        <v/>
      </c>
      <c r="W104">
        <f>HYPERLINK("https://klasma.github.io/Logging_2321/klagomålsmail/A 24163-2019 FSC-klagomål mail.docx", "A 24163-2019")</f>
        <v/>
      </c>
      <c r="X104">
        <f>HYPERLINK("https://klasma.github.io/Logging_2321/tillsyn/A 24163-2019 tillsynsbegäran.docx", "A 24163-2019")</f>
        <v/>
      </c>
      <c r="Y104">
        <f>HYPERLINK("https://klasma.github.io/Logging_2321/tillsynsmail/A 24163-2019 tillsynsbegäran mail.docx", "A 24163-2019")</f>
        <v/>
      </c>
    </row>
    <row r="105" ht="15" customHeight="1">
      <c r="A105" t="inlineStr">
        <is>
          <t>A 29082-2020</t>
        </is>
      </c>
      <c r="B105" s="1" t="n">
        <v>44002</v>
      </c>
      <c r="C105" s="1" t="n">
        <v>45680</v>
      </c>
      <c r="D105" t="inlineStr">
        <is>
          <t>JÄMTLANDS LÄN</t>
        </is>
      </c>
      <c r="E105" t="inlineStr">
        <is>
          <t>ÅRE</t>
        </is>
      </c>
      <c r="G105" t="n">
        <v>3.1</v>
      </c>
      <c r="H105" t="n">
        <v>1</v>
      </c>
      <c r="I105" t="n">
        <v>0</v>
      </c>
      <c r="J105" t="n">
        <v>2</v>
      </c>
      <c r="K105" t="n">
        <v>0</v>
      </c>
      <c r="L105" t="n">
        <v>0</v>
      </c>
      <c r="M105" t="n">
        <v>0</v>
      </c>
      <c r="N105" t="n">
        <v>0</v>
      </c>
      <c r="O105" t="n">
        <v>2</v>
      </c>
      <c r="P105" t="n">
        <v>0</v>
      </c>
      <c r="Q105" t="n">
        <v>3</v>
      </c>
      <c r="R105" s="2" t="inlineStr">
        <is>
          <t>Garnlav
Granticka
Fläcknycklar</t>
        </is>
      </c>
      <c r="S105">
        <f>HYPERLINK("https://klasma.github.io/Logging_2321/artfynd/A 29082-2020 artfynd.xlsx", "A 29082-2020")</f>
        <v/>
      </c>
      <c r="T105">
        <f>HYPERLINK("https://klasma.github.io/Logging_2321/kartor/A 29082-2020 karta.png", "A 29082-2020")</f>
        <v/>
      </c>
      <c r="V105">
        <f>HYPERLINK("https://klasma.github.io/Logging_2321/klagomål/A 29082-2020 FSC-klagomål.docx", "A 29082-2020")</f>
        <v/>
      </c>
      <c r="W105">
        <f>HYPERLINK("https://klasma.github.io/Logging_2321/klagomålsmail/A 29082-2020 FSC-klagomål mail.docx", "A 29082-2020")</f>
        <v/>
      </c>
      <c r="X105">
        <f>HYPERLINK("https://klasma.github.io/Logging_2321/tillsyn/A 29082-2020 tillsynsbegäran.docx", "A 29082-2020")</f>
        <v/>
      </c>
      <c r="Y105">
        <f>HYPERLINK("https://klasma.github.io/Logging_2321/tillsynsmail/A 29082-2020 tillsynsbegäran mail.docx", "A 29082-2020")</f>
        <v/>
      </c>
    </row>
    <row r="106" ht="15" customHeight="1">
      <c r="A106" t="inlineStr">
        <is>
          <t>A 54743-2020</t>
        </is>
      </c>
      <c r="B106" s="1" t="n">
        <v>44127</v>
      </c>
      <c r="C106" s="1" t="n">
        <v>45680</v>
      </c>
      <c r="D106" t="inlineStr">
        <is>
          <t>JÄMTLANDS LÄN</t>
        </is>
      </c>
      <c r="E106" t="inlineStr">
        <is>
          <t>ÅRE</t>
        </is>
      </c>
      <c r="G106" t="n">
        <v>3.4</v>
      </c>
      <c r="H106" t="n">
        <v>0</v>
      </c>
      <c r="I106" t="n">
        <v>2</v>
      </c>
      <c r="J106" t="n">
        <v>1</v>
      </c>
      <c r="K106" t="n">
        <v>0</v>
      </c>
      <c r="L106" t="n">
        <v>0</v>
      </c>
      <c r="M106" t="n">
        <v>0</v>
      </c>
      <c r="N106" t="n">
        <v>0</v>
      </c>
      <c r="O106" t="n">
        <v>1</v>
      </c>
      <c r="P106" t="n">
        <v>0</v>
      </c>
      <c r="Q106" t="n">
        <v>3</v>
      </c>
      <c r="R106" s="2" t="inlineStr">
        <is>
          <t>Dofttaggsvamp
Kryddspindling
Svavelriska</t>
        </is>
      </c>
      <c r="S106">
        <f>HYPERLINK("https://klasma.github.io/Logging_2321/artfynd/A 54743-2020 artfynd.xlsx", "A 54743-2020")</f>
        <v/>
      </c>
      <c r="T106">
        <f>HYPERLINK("https://klasma.github.io/Logging_2321/kartor/A 54743-2020 karta.png", "A 54743-2020")</f>
        <v/>
      </c>
      <c r="V106">
        <f>HYPERLINK("https://klasma.github.io/Logging_2321/klagomål/A 54743-2020 FSC-klagomål.docx", "A 54743-2020")</f>
        <v/>
      </c>
      <c r="W106">
        <f>HYPERLINK("https://klasma.github.io/Logging_2321/klagomålsmail/A 54743-2020 FSC-klagomål mail.docx", "A 54743-2020")</f>
        <v/>
      </c>
      <c r="X106">
        <f>HYPERLINK("https://klasma.github.io/Logging_2321/tillsyn/A 54743-2020 tillsynsbegäran.docx", "A 54743-2020")</f>
        <v/>
      </c>
      <c r="Y106">
        <f>HYPERLINK("https://klasma.github.io/Logging_2321/tillsynsmail/A 54743-2020 tillsynsbegäran mail.docx", "A 54743-2020")</f>
        <v/>
      </c>
    </row>
    <row r="107" ht="15" customHeight="1">
      <c r="A107" t="inlineStr">
        <is>
          <t>A 54988-2020</t>
        </is>
      </c>
      <c r="B107" s="1" t="n">
        <v>44130</v>
      </c>
      <c r="C107" s="1" t="n">
        <v>45680</v>
      </c>
      <c r="D107" t="inlineStr">
        <is>
          <t>JÄMTLANDS LÄN</t>
        </is>
      </c>
      <c r="E107" t="inlineStr">
        <is>
          <t>ÅRE</t>
        </is>
      </c>
      <c r="G107" t="n">
        <v>13.2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54988-2020 artfynd.xlsx", "A 54988-2020")</f>
        <v/>
      </c>
      <c r="T107">
        <f>HYPERLINK("https://klasma.github.io/Logging_2321/kartor/A 54988-2020 karta.png", "A 54988-2020")</f>
        <v/>
      </c>
      <c r="V107">
        <f>HYPERLINK("https://klasma.github.io/Logging_2321/klagomål/A 54988-2020 FSC-klagomål.docx", "A 54988-2020")</f>
        <v/>
      </c>
      <c r="W107">
        <f>HYPERLINK("https://klasma.github.io/Logging_2321/klagomålsmail/A 54988-2020 FSC-klagomål mail.docx", "A 54988-2020")</f>
        <v/>
      </c>
      <c r="X107">
        <f>HYPERLINK("https://klasma.github.io/Logging_2321/tillsyn/A 54988-2020 tillsynsbegäran.docx", "A 54988-2020")</f>
        <v/>
      </c>
      <c r="Y107">
        <f>HYPERLINK("https://klasma.github.io/Logging_2321/tillsynsmail/A 54988-2020 tillsynsbegäran mail.docx", "A 54988-2020")</f>
        <v/>
      </c>
      <c r="Z107">
        <f>HYPERLINK("https://klasma.github.io/Logging_2321/fåglar/A 54988-2020 prioriterade fågelarter.docx", "A 54988-2020")</f>
        <v/>
      </c>
    </row>
    <row r="108" ht="15" customHeight="1">
      <c r="A108" t="inlineStr">
        <is>
          <t>A 61189-2020</t>
        </is>
      </c>
      <c r="B108" s="1" t="n">
        <v>44155</v>
      </c>
      <c r="C108" s="1" t="n">
        <v>45680</v>
      </c>
      <c r="D108" t="inlineStr">
        <is>
          <t>JÄMTLANDS LÄN</t>
        </is>
      </c>
      <c r="E108" t="inlineStr">
        <is>
          <t>ÅRE</t>
        </is>
      </c>
      <c r="F108" t="inlineStr">
        <is>
          <t>Övriga Aktiebolag</t>
        </is>
      </c>
      <c r="G108" t="n">
        <v>26.5</v>
      </c>
      <c r="H108" t="n">
        <v>0</v>
      </c>
      <c r="I108" t="n">
        <v>0</v>
      </c>
      <c r="J108" t="n">
        <v>3</v>
      </c>
      <c r="K108" t="n">
        <v>0</v>
      </c>
      <c r="L108" t="n">
        <v>0</v>
      </c>
      <c r="M108" t="n">
        <v>0</v>
      </c>
      <c r="N108" t="n">
        <v>0</v>
      </c>
      <c r="O108" t="n">
        <v>3</v>
      </c>
      <c r="P108" t="n">
        <v>0</v>
      </c>
      <c r="Q108" t="n">
        <v>3</v>
      </c>
      <c r="R108" s="2" t="inlineStr">
        <is>
          <t>Gammelgransskål
Garnlav
Gränsticka</t>
        </is>
      </c>
      <c r="S108">
        <f>HYPERLINK("https://klasma.github.io/Logging_2321/artfynd/A 61189-2020 artfynd.xlsx", "A 61189-2020")</f>
        <v/>
      </c>
      <c r="T108">
        <f>HYPERLINK("https://klasma.github.io/Logging_2321/kartor/A 61189-2020 karta.png", "A 61189-2020")</f>
        <v/>
      </c>
      <c r="V108">
        <f>HYPERLINK("https://klasma.github.io/Logging_2321/klagomål/A 61189-2020 FSC-klagomål.docx", "A 61189-2020")</f>
        <v/>
      </c>
      <c r="W108">
        <f>HYPERLINK("https://klasma.github.io/Logging_2321/klagomålsmail/A 61189-2020 FSC-klagomål mail.docx", "A 61189-2020")</f>
        <v/>
      </c>
      <c r="X108">
        <f>HYPERLINK("https://klasma.github.io/Logging_2321/tillsyn/A 61189-2020 tillsynsbegäran.docx", "A 61189-2020")</f>
        <v/>
      </c>
      <c r="Y108">
        <f>HYPERLINK("https://klasma.github.io/Logging_2321/tillsynsmail/A 61189-2020 tillsynsbegäran mail.docx", "A 61189-2020")</f>
        <v/>
      </c>
    </row>
    <row r="109" ht="15" customHeight="1">
      <c r="A109" t="inlineStr">
        <is>
          <t>A 61510-2020</t>
        </is>
      </c>
      <c r="B109" s="1" t="n">
        <v>44158</v>
      </c>
      <c r="C109" s="1" t="n">
        <v>45680</v>
      </c>
      <c r="D109" t="inlineStr">
        <is>
          <t>JÄMTLANDS LÄN</t>
        </is>
      </c>
      <c r="E109" t="inlineStr">
        <is>
          <t>ÅRE</t>
        </is>
      </c>
      <c r="F109" t="inlineStr">
        <is>
          <t>Övriga Aktiebolag</t>
        </is>
      </c>
      <c r="G109" t="n">
        <v>5.9</v>
      </c>
      <c r="H109" t="n">
        <v>2</v>
      </c>
      <c r="I109" t="n">
        <v>0</v>
      </c>
      <c r="J109" t="n">
        <v>2</v>
      </c>
      <c r="K109" t="n">
        <v>0</v>
      </c>
      <c r="L109" t="n">
        <v>0</v>
      </c>
      <c r="M109" t="n">
        <v>0</v>
      </c>
      <c r="N109" t="n">
        <v>0</v>
      </c>
      <c r="O109" t="n">
        <v>2</v>
      </c>
      <c r="P109" t="n">
        <v>0</v>
      </c>
      <c r="Q109" t="n">
        <v>3</v>
      </c>
      <c r="R109" s="2" t="inlineStr">
        <is>
          <t>Garnlav
Tretåig hackspett
Enkelbeckasin</t>
        </is>
      </c>
      <c r="S109">
        <f>HYPERLINK("https://klasma.github.io/Logging_2321/artfynd/A 61510-2020 artfynd.xlsx", "A 61510-2020")</f>
        <v/>
      </c>
      <c r="T109">
        <f>HYPERLINK("https://klasma.github.io/Logging_2321/kartor/A 61510-2020 karta.png", "A 61510-2020")</f>
        <v/>
      </c>
      <c r="V109">
        <f>HYPERLINK("https://klasma.github.io/Logging_2321/klagomål/A 61510-2020 FSC-klagomål.docx", "A 61510-2020")</f>
        <v/>
      </c>
      <c r="W109">
        <f>HYPERLINK("https://klasma.github.io/Logging_2321/klagomålsmail/A 61510-2020 FSC-klagomål mail.docx", "A 61510-2020")</f>
        <v/>
      </c>
      <c r="X109">
        <f>HYPERLINK("https://klasma.github.io/Logging_2321/tillsyn/A 61510-2020 tillsynsbegäran.docx", "A 61510-2020")</f>
        <v/>
      </c>
      <c r="Y109">
        <f>HYPERLINK("https://klasma.github.io/Logging_2321/tillsynsmail/A 61510-2020 tillsynsbegäran mail.docx", "A 61510-2020")</f>
        <v/>
      </c>
      <c r="Z109">
        <f>HYPERLINK("https://klasma.github.io/Logging_2321/fåglar/A 61510-2020 prioriterade fågelarter.docx", "A 61510-2020")</f>
        <v/>
      </c>
    </row>
    <row r="110" ht="15" customHeight="1">
      <c r="A110" t="inlineStr">
        <is>
          <t>A 10773-2021</t>
        </is>
      </c>
      <c r="B110" s="1" t="n">
        <v>44259</v>
      </c>
      <c r="C110" s="1" t="n">
        <v>45680</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10773-2021 artfynd.xlsx", "A 10773-2021")</f>
        <v/>
      </c>
      <c r="T110">
        <f>HYPERLINK("https://klasma.github.io/Logging_2321/kartor/A 10773-2021 karta.png", "A 10773-2021")</f>
        <v/>
      </c>
      <c r="V110">
        <f>HYPERLINK("https://klasma.github.io/Logging_2321/klagomål/A 10773-2021 FSC-klagomål.docx", "A 10773-2021")</f>
        <v/>
      </c>
      <c r="W110">
        <f>HYPERLINK("https://klasma.github.io/Logging_2321/klagomålsmail/A 10773-2021 FSC-klagomål mail.docx", "A 10773-2021")</f>
        <v/>
      </c>
      <c r="X110">
        <f>HYPERLINK("https://klasma.github.io/Logging_2321/tillsyn/A 10773-2021 tillsynsbegäran.docx", "A 10773-2021")</f>
        <v/>
      </c>
      <c r="Y110">
        <f>HYPERLINK("https://klasma.github.io/Logging_2321/tillsynsmail/A 10773-2021 tillsynsbegäran mail.docx", "A 10773-2021")</f>
        <v/>
      </c>
      <c r="Z110">
        <f>HYPERLINK("https://klasma.github.io/Logging_2321/fåglar/A 10773-2021 prioriterade fågelarter.docx", "A 10773-2021")</f>
        <v/>
      </c>
    </row>
    <row r="111" ht="15" customHeight="1">
      <c r="A111" t="inlineStr">
        <is>
          <t>A 14198-2021</t>
        </is>
      </c>
      <c r="B111" s="1" t="n">
        <v>44278</v>
      </c>
      <c r="C111" s="1" t="n">
        <v>45680</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23572-2021</t>
        </is>
      </c>
      <c r="B112" s="1" t="n">
        <v>44334</v>
      </c>
      <c r="C112" s="1" t="n">
        <v>45680</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72934-2021</t>
        </is>
      </c>
      <c r="B113" s="1" t="n">
        <v>44547</v>
      </c>
      <c r="C113" s="1" t="n">
        <v>45680</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12269-2022</t>
        </is>
      </c>
      <c r="B114" s="1" t="n">
        <v>44637</v>
      </c>
      <c r="C114" s="1" t="n">
        <v>45680</v>
      </c>
      <c r="D114" t="inlineStr">
        <is>
          <t>JÄMTLANDS LÄN</t>
        </is>
      </c>
      <c r="E114" t="inlineStr">
        <is>
          <t>ÅRE</t>
        </is>
      </c>
      <c r="G114" t="n">
        <v>16.6</v>
      </c>
      <c r="H114" t="n">
        <v>0</v>
      </c>
      <c r="I114" t="n">
        <v>0</v>
      </c>
      <c r="J114" t="n">
        <v>3</v>
      </c>
      <c r="K114" t="n">
        <v>0</v>
      </c>
      <c r="L114" t="n">
        <v>0</v>
      </c>
      <c r="M114" t="n">
        <v>0</v>
      </c>
      <c r="N114" t="n">
        <v>0</v>
      </c>
      <c r="O114" t="n">
        <v>3</v>
      </c>
      <c r="P114" t="n">
        <v>0</v>
      </c>
      <c r="Q114" t="n">
        <v>3</v>
      </c>
      <c r="R114" s="2" t="inlineStr">
        <is>
          <t>Gammelgransskål
Granticka
Knottrig blåslav</t>
        </is>
      </c>
      <c r="S114">
        <f>HYPERLINK("https://klasma.github.io/Logging_2321/artfynd/A 12269-2022 artfynd.xlsx", "A 12269-2022")</f>
        <v/>
      </c>
      <c r="T114">
        <f>HYPERLINK("https://klasma.github.io/Logging_2321/kartor/A 12269-2022 karta.png", "A 12269-2022")</f>
        <v/>
      </c>
      <c r="V114">
        <f>HYPERLINK("https://klasma.github.io/Logging_2321/klagomål/A 12269-2022 FSC-klagomål.docx", "A 12269-2022")</f>
        <v/>
      </c>
      <c r="W114">
        <f>HYPERLINK("https://klasma.github.io/Logging_2321/klagomålsmail/A 12269-2022 FSC-klagomål mail.docx", "A 12269-2022")</f>
        <v/>
      </c>
      <c r="X114">
        <f>HYPERLINK("https://klasma.github.io/Logging_2321/tillsyn/A 12269-2022 tillsynsbegäran.docx", "A 12269-2022")</f>
        <v/>
      </c>
      <c r="Y114">
        <f>HYPERLINK("https://klasma.github.io/Logging_2321/tillsynsmail/A 12269-2022 tillsynsbegäran mail.docx", "A 12269-2022")</f>
        <v/>
      </c>
    </row>
    <row r="115" ht="15" customHeight="1">
      <c r="A115" t="inlineStr">
        <is>
          <t>A 21006-2022</t>
        </is>
      </c>
      <c r="B115" s="1" t="n">
        <v>44701</v>
      </c>
      <c r="C115" s="1" t="n">
        <v>45680</v>
      </c>
      <c r="D115" t="inlineStr">
        <is>
          <t>JÄMTLANDS LÄN</t>
        </is>
      </c>
      <c r="E115" t="inlineStr">
        <is>
          <t>ÅRE</t>
        </is>
      </c>
      <c r="G115" t="n">
        <v>5.5</v>
      </c>
      <c r="H115" t="n">
        <v>1</v>
      </c>
      <c r="I115" t="n">
        <v>0</v>
      </c>
      <c r="J115" t="n">
        <v>3</v>
      </c>
      <c r="K115" t="n">
        <v>0</v>
      </c>
      <c r="L115" t="n">
        <v>0</v>
      </c>
      <c r="M115" t="n">
        <v>0</v>
      </c>
      <c r="N115" t="n">
        <v>0</v>
      </c>
      <c r="O115" t="n">
        <v>3</v>
      </c>
      <c r="P115" t="n">
        <v>0</v>
      </c>
      <c r="Q115" t="n">
        <v>3</v>
      </c>
      <c r="R115" s="2" t="inlineStr">
        <is>
          <t>Gammelgransskål
Granticka
Tretåig hackspett</t>
        </is>
      </c>
      <c r="S115">
        <f>HYPERLINK("https://klasma.github.io/Logging_2321/artfynd/A 21006-2022 artfynd.xlsx", "A 21006-2022")</f>
        <v/>
      </c>
      <c r="T115">
        <f>HYPERLINK("https://klasma.github.io/Logging_2321/kartor/A 21006-2022 karta.png", "A 21006-2022")</f>
        <v/>
      </c>
      <c r="V115">
        <f>HYPERLINK("https://klasma.github.io/Logging_2321/klagomål/A 21006-2022 FSC-klagomål.docx", "A 21006-2022")</f>
        <v/>
      </c>
      <c r="W115">
        <f>HYPERLINK("https://klasma.github.io/Logging_2321/klagomålsmail/A 21006-2022 FSC-klagomål mail.docx", "A 21006-2022")</f>
        <v/>
      </c>
      <c r="X115">
        <f>HYPERLINK("https://klasma.github.io/Logging_2321/tillsyn/A 21006-2022 tillsynsbegäran.docx", "A 21006-2022")</f>
        <v/>
      </c>
      <c r="Y115">
        <f>HYPERLINK("https://klasma.github.io/Logging_2321/tillsynsmail/A 21006-2022 tillsynsbegäran mail.docx", "A 21006-2022")</f>
        <v/>
      </c>
      <c r="Z115">
        <f>HYPERLINK("https://klasma.github.io/Logging_2321/fåglar/A 21006-2022 prioriterade fågelarter.docx", "A 21006-2022")</f>
        <v/>
      </c>
    </row>
    <row r="116" ht="15" customHeight="1">
      <c r="A116" t="inlineStr">
        <is>
          <t>A 58082-2022</t>
        </is>
      </c>
      <c r="B116" s="1" t="n">
        <v>44900</v>
      </c>
      <c r="C116" s="1" t="n">
        <v>45680</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59237-2022</t>
        </is>
      </c>
      <c r="B117" s="1" t="n">
        <v>44904</v>
      </c>
      <c r="C117" s="1" t="n">
        <v>45680</v>
      </c>
      <c r="D117" t="inlineStr">
        <is>
          <t>JÄMTLANDS LÄN</t>
        </is>
      </c>
      <c r="E117" t="inlineStr">
        <is>
          <t>ÅRE</t>
        </is>
      </c>
      <c r="G117" t="n">
        <v>33.7</v>
      </c>
      <c r="H117" t="n">
        <v>1</v>
      </c>
      <c r="I117" t="n">
        <v>0</v>
      </c>
      <c r="J117" t="n">
        <v>3</v>
      </c>
      <c r="K117" t="n">
        <v>0</v>
      </c>
      <c r="L117" t="n">
        <v>0</v>
      </c>
      <c r="M117" t="n">
        <v>0</v>
      </c>
      <c r="N117" t="n">
        <v>0</v>
      </c>
      <c r="O117" t="n">
        <v>3</v>
      </c>
      <c r="P117" t="n">
        <v>0</v>
      </c>
      <c r="Q117" t="n">
        <v>3</v>
      </c>
      <c r="R117" s="2" t="inlineStr">
        <is>
          <t>Granticka
Tretåig hackspett
Vitgrynig nållav</t>
        </is>
      </c>
      <c r="S117">
        <f>HYPERLINK("https://klasma.github.io/Logging_2321/artfynd/A 59237-2022 artfynd.xlsx", "A 59237-2022")</f>
        <v/>
      </c>
      <c r="T117">
        <f>HYPERLINK("https://klasma.github.io/Logging_2321/kartor/A 59237-2022 karta.png", "A 59237-2022")</f>
        <v/>
      </c>
      <c r="V117">
        <f>HYPERLINK("https://klasma.github.io/Logging_2321/klagomål/A 59237-2022 FSC-klagomål.docx", "A 59237-2022")</f>
        <v/>
      </c>
      <c r="W117">
        <f>HYPERLINK("https://klasma.github.io/Logging_2321/klagomålsmail/A 59237-2022 FSC-klagomål mail.docx", "A 59237-2022")</f>
        <v/>
      </c>
      <c r="X117">
        <f>HYPERLINK("https://klasma.github.io/Logging_2321/tillsyn/A 59237-2022 tillsynsbegäran.docx", "A 59237-2022")</f>
        <v/>
      </c>
      <c r="Y117">
        <f>HYPERLINK("https://klasma.github.io/Logging_2321/tillsynsmail/A 59237-2022 tillsynsbegäran mail.docx", "A 59237-2022")</f>
        <v/>
      </c>
      <c r="Z117">
        <f>HYPERLINK("https://klasma.github.io/Logging_2321/fåglar/A 59237-2022 prioriterade fågelarter.docx", "A 59237-2022")</f>
        <v/>
      </c>
    </row>
    <row r="118" ht="15" customHeight="1">
      <c r="A118" t="inlineStr">
        <is>
          <t>A 8438-2023</t>
        </is>
      </c>
      <c r="B118" s="1" t="n">
        <v>44977</v>
      </c>
      <c r="C118" s="1" t="n">
        <v>45680</v>
      </c>
      <c r="D118" t="inlineStr">
        <is>
          <t>JÄMTLANDS LÄN</t>
        </is>
      </c>
      <c r="E118" t="inlineStr">
        <is>
          <t>ÅRE</t>
        </is>
      </c>
      <c r="F118" t="inlineStr">
        <is>
          <t>Övriga Aktiebolag</t>
        </is>
      </c>
      <c r="G118" t="n">
        <v>0.6</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8438-2023 artfynd.xlsx", "A 8438-2023")</f>
        <v/>
      </c>
      <c r="T118">
        <f>HYPERLINK("https://klasma.github.io/Logging_2321/kartor/A 8438-2023 karta.png", "A 8438-2023")</f>
        <v/>
      </c>
      <c r="V118">
        <f>HYPERLINK("https://klasma.github.io/Logging_2321/klagomål/A 8438-2023 FSC-klagomål.docx", "A 8438-2023")</f>
        <v/>
      </c>
      <c r="W118">
        <f>HYPERLINK("https://klasma.github.io/Logging_2321/klagomålsmail/A 8438-2023 FSC-klagomål mail.docx", "A 8438-2023")</f>
        <v/>
      </c>
      <c r="X118">
        <f>HYPERLINK("https://klasma.github.io/Logging_2321/tillsyn/A 8438-2023 tillsynsbegäran.docx", "A 8438-2023")</f>
        <v/>
      </c>
      <c r="Y118">
        <f>HYPERLINK("https://klasma.github.io/Logging_2321/tillsynsmail/A 8438-2023 tillsynsbegäran mail.docx", "A 8438-2023")</f>
        <v/>
      </c>
      <c r="Z118">
        <f>HYPERLINK("https://klasma.github.io/Logging_2321/fåglar/A 8438-2023 prioriterade fågelarter.docx", "A 8438-2023")</f>
        <v/>
      </c>
    </row>
    <row r="119" ht="15" customHeight="1">
      <c r="A119" t="inlineStr">
        <is>
          <t>A 8470-2023</t>
        </is>
      </c>
      <c r="B119" s="1" t="n">
        <v>44977</v>
      </c>
      <c r="C119" s="1" t="n">
        <v>45680</v>
      </c>
      <c r="D119" t="inlineStr">
        <is>
          <t>JÄMTLANDS LÄN</t>
        </is>
      </c>
      <c r="E119" t="inlineStr">
        <is>
          <t>ÅRE</t>
        </is>
      </c>
      <c r="F119" t="inlineStr">
        <is>
          <t>Övriga Aktiebolag</t>
        </is>
      </c>
      <c r="G119" t="n">
        <v>8.699999999999999</v>
      </c>
      <c r="H119" t="n">
        <v>1</v>
      </c>
      <c r="I119" t="n">
        <v>1</v>
      </c>
      <c r="J119" t="n">
        <v>2</v>
      </c>
      <c r="K119" t="n">
        <v>0</v>
      </c>
      <c r="L119" t="n">
        <v>0</v>
      </c>
      <c r="M119" t="n">
        <v>0</v>
      </c>
      <c r="N119" t="n">
        <v>0</v>
      </c>
      <c r="O119" t="n">
        <v>2</v>
      </c>
      <c r="P119" t="n">
        <v>0</v>
      </c>
      <c r="Q119" t="n">
        <v>3</v>
      </c>
      <c r="R119" s="2" t="inlineStr">
        <is>
          <t>Granticka
Tretåig hackspett
Skinnlav</t>
        </is>
      </c>
      <c r="S119">
        <f>HYPERLINK("https://klasma.github.io/Logging_2321/artfynd/A 8470-2023 artfynd.xlsx", "A 8470-2023")</f>
        <v/>
      </c>
      <c r="T119">
        <f>HYPERLINK("https://klasma.github.io/Logging_2321/kartor/A 8470-2023 karta.png", "A 8470-2023")</f>
        <v/>
      </c>
      <c r="V119">
        <f>HYPERLINK("https://klasma.github.io/Logging_2321/klagomål/A 8470-2023 FSC-klagomål.docx", "A 8470-2023")</f>
        <v/>
      </c>
      <c r="W119">
        <f>HYPERLINK("https://klasma.github.io/Logging_2321/klagomålsmail/A 8470-2023 FSC-klagomål mail.docx", "A 8470-2023")</f>
        <v/>
      </c>
      <c r="X119">
        <f>HYPERLINK("https://klasma.github.io/Logging_2321/tillsyn/A 8470-2023 tillsynsbegäran.docx", "A 8470-2023")</f>
        <v/>
      </c>
      <c r="Y119">
        <f>HYPERLINK("https://klasma.github.io/Logging_2321/tillsynsmail/A 8470-2023 tillsynsbegäran mail.docx", "A 8470-2023")</f>
        <v/>
      </c>
      <c r="Z119">
        <f>HYPERLINK("https://klasma.github.io/Logging_2321/fåglar/A 8470-2023 prioriterade fågelarter.docx", "A 8470-2023")</f>
        <v/>
      </c>
    </row>
    <row r="120" ht="15" customHeight="1">
      <c r="A120" t="inlineStr">
        <is>
          <t>A 10627-2023</t>
        </is>
      </c>
      <c r="B120" s="1" t="n">
        <v>44984</v>
      </c>
      <c r="C120" s="1" t="n">
        <v>45680</v>
      </c>
      <c r="D120" t="inlineStr">
        <is>
          <t>JÄMTLANDS LÄN</t>
        </is>
      </c>
      <c r="E120" t="inlineStr">
        <is>
          <t>ÅRE</t>
        </is>
      </c>
      <c r="G120" t="n">
        <v>29.1</v>
      </c>
      <c r="H120" t="n">
        <v>1</v>
      </c>
      <c r="I120" t="n">
        <v>0</v>
      </c>
      <c r="J120" t="n">
        <v>3</v>
      </c>
      <c r="K120" t="n">
        <v>0</v>
      </c>
      <c r="L120" t="n">
        <v>0</v>
      </c>
      <c r="M120" t="n">
        <v>0</v>
      </c>
      <c r="N120" t="n">
        <v>0</v>
      </c>
      <c r="O120" t="n">
        <v>3</v>
      </c>
      <c r="P120" t="n">
        <v>0</v>
      </c>
      <c r="Q120" t="n">
        <v>3</v>
      </c>
      <c r="R120" s="2" t="inlineStr">
        <is>
          <t>Harticka
Tretåig hackspett
Vitgrynig nållav</t>
        </is>
      </c>
      <c r="S120">
        <f>HYPERLINK("https://klasma.github.io/Logging_2321/artfynd/A 10627-2023 artfynd.xlsx", "A 10627-2023")</f>
        <v/>
      </c>
      <c r="T120">
        <f>HYPERLINK("https://klasma.github.io/Logging_2321/kartor/A 10627-2023 karta.png", "A 10627-2023")</f>
        <v/>
      </c>
      <c r="V120">
        <f>HYPERLINK("https://klasma.github.io/Logging_2321/klagomål/A 10627-2023 FSC-klagomål.docx", "A 10627-2023")</f>
        <v/>
      </c>
      <c r="W120">
        <f>HYPERLINK("https://klasma.github.io/Logging_2321/klagomålsmail/A 10627-2023 FSC-klagomål mail.docx", "A 10627-2023")</f>
        <v/>
      </c>
      <c r="X120">
        <f>HYPERLINK("https://klasma.github.io/Logging_2321/tillsyn/A 10627-2023 tillsynsbegäran.docx", "A 10627-2023")</f>
        <v/>
      </c>
      <c r="Y120">
        <f>HYPERLINK("https://klasma.github.io/Logging_2321/tillsynsmail/A 10627-2023 tillsynsbegäran mail.docx", "A 10627-2023")</f>
        <v/>
      </c>
      <c r="Z120">
        <f>HYPERLINK("https://klasma.github.io/Logging_2321/fåglar/A 10627-2023 prioriterade fågelarter.docx", "A 10627-2023")</f>
        <v/>
      </c>
    </row>
    <row r="121" ht="15" customHeight="1">
      <c r="A121" t="inlineStr">
        <is>
          <t>A 13625-2023</t>
        </is>
      </c>
      <c r="B121" s="1" t="n">
        <v>45006</v>
      </c>
      <c r="C121" s="1" t="n">
        <v>45680</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Lunglav
Tretåig hackspett
Vitskaftad svartspik</t>
        </is>
      </c>
      <c r="S121">
        <f>HYPERLINK("https://klasma.github.io/Logging_2321/artfynd/A 13625-2023 artfynd.xlsx", "A 13625-2023")</f>
        <v/>
      </c>
      <c r="T121">
        <f>HYPERLINK("https://klasma.github.io/Logging_2321/kartor/A 13625-2023 karta.png", "A 13625-2023")</f>
        <v/>
      </c>
      <c r="V121">
        <f>HYPERLINK("https://klasma.github.io/Logging_2321/klagomål/A 13625-2023 FSC-klagomål.docx", "A 13625-2023")</f>
        <v/>
      </c>
      <c r="W121">
        <f>HYPERLINK("https://klasma.github.io/Logging_2321/klagomålsmail/A 13625-2023 FSC-klagomål mail.docx", "A 13625-2023")</f>
        <v/>
      </c>
      <c r="X121">
        <f>HYPERLINK("https://klasma.github.io/Logging_2321/tillsyn/A 13625-2023 tillsynsbegäran.docx", "A 13625-2023")</f>
        <v/>
      </c>
      <c r="Y121">
        <f>HYPERLINK("https://klasma.github.io/Logging_2321/tillsynsmail/A 13625-2023 tillsynsbegäran mail.docx", "A 13625-2023")</f>
        <v/>
      </c>
      <c r="Z121">
        <f>HYPERLINK("https://klasma.github.io/Logging_2321/fåglar/A 13625-2023 prioriterade fågelarter.docx", "A 13625-2023")</f>
        <v/>
      </c>
    </row>
    <row r="122" ht="15" customHeight="1">
      <c r="A122" t="inlineStr">
        <is>
          <t>A 20124-2023</t>
        </is>
      </c>
      <c r="B122" s="1" t="n">
        <v>45055</v>
      </c>
      <c r="C122" s="1" t="n">
        <v>45680</v>
      </c>
      <c r="D122" t="inlineStr">
        <is>
          <t>JÄMTLANDS LÄN</t>
        </is>
      </c>
      <c r="E122" t="inlineStr">
        <is>
          <t>ÅRE</t>
        </is>
      </c>
      <c r="G122" t="n">
        <v>3.4</v>
      </c>
      <c r="H122" t="n">
        <v>0</v>
      </c>
      <c r="I122" t="n">
        <v>3</v>
      </c>
      <c r="J122" t="n">
        <v>0</v>
      </c>
      <c r="K122" t="n">
        <v>0</v>
      </c>
      <c r="L122" t="n">
        <v>0</v>
      </c>
      <c r="M122" t="n">
        <v>0</v>
      </c>
      <c r="N122" t="n">
        <v>0</v>
      </c>
      <c r="O122" t="n">
        <v>0</v>
      </c>
      <c r="P122" t="n">
        <v>0</v>
      </c>
      <c r="Q122" t="n">
        <v>3</v>
      </c>
      <c r="R122" s="2" t="inlineStr">
        <is>
          <t>Finbräken
Svart trolldruva
Underviol</t>
        </is>
      </c>
      <c r="S122">
        <f>HYPERLINK("https://klasma.github.io/Logging_2321/artfynd/A 20124-2023 artfynd.xlsx", "A 20124-2023")</f>
        <v/>
      </c>
      <c r="T122">
        <f>HYPERLINK("https://klasma.github.io/Logging_2321/kartor/A 20124-2023 karta.png", "A 20124-2023")</f>
        <v/>
      </c>
      <c r="V122">
        <f>HYPERLINK("https://klasma.github.io/Logging_2321/klagomål/A 20124-2023 FSC-klagomål.docx", "A 20124-2023")</f>
        <v/>
      </c>
      <c r="W122">
        <f>HYPERLINK("https://klasma.github.io/Logging_2321/klagomålsmail/A 20124-2023 FSC-klagomål mail.docx", "A 20124-2023")</f>
        <v/>
      </c>
      <c r="X122">
        <f>HYPERLINK("https://klasma.github.io/Logging_2321/tillsyn/A 20124-2023 tillsynsbegäran.docx", "A 20124-2023")</f>
        <v/>
      </c>
      <c r="Y122">
        <f>HYPERLINK("https://klasma.github.io/Logging_2321/tillsynsmail/A 20124-2023 tillsynsbegäran mail.docx", "A 20124-2023")</f>
        <v/>
      </c>
    </row>
    <row r="123" ht="15" customHeight="1">
      <c r="A123" t="inlineStr">
        <is>
          <t>A 23638-2023</t>
        </is>
      </c>
      <c r="B123" s="1" t="n">
        <v>45072</v>
      </c>
      <c r="C123" s="1" t="n">
        <v>45680</v>
      </c>
      <c r="D123" t="inlineStr">
        <is>
          <t>JÄMTLANDS LÄN</t>
        </is>
      </c>
      <c r="E123" t="inlineStr">
        <is>
          <t>ÅRE</t>
        </is>
      </c>
      <c r="G123" t="n">
        <v>11.2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23729-2023</t>
        </is>
      </c>
      <c r="B124" s="1" t="n">
        <v>45072</v>
      </c>
      <c r="C124" s="1" t="n">
        <v>45680</v>
      </c>
      <c r="D124" t="inlineStr">
        <is>
          <t>JÄMTLANDS LÄN</t>
        </is>
      </c>
      <c r="E124" t="inlineStr">
        <is>
          <t>ÅRE</t>
        </is>
      </c>
      <c r="G124" t="n">
        <v>4.3</v>
      </c>
      <c r="H124" t="n">
        <v>1</v>
      </c>
      <c r="I124" t="n">
        <v>0</v>
      </c>
      <c r="J124" t="n">
        <v>3</v>
      </c>
      <c r="K124" t="n">
        <v>0</v>
      </c>
      <c r="L124" t="n">
        <v>0</v>
      </c>
      <c r="M124" t="n">
        <v>0</v>
      </c>
      <c r="N124" t="n">
        <v>0</v>
      </c>
      <c r="O124" t="n">
        <v>3</v>
      </c>
      <c r="P124" t="n">
        <v>0</v>
      </c>
      <c r="Q124" t="n">
        <v>3</v>
      </c>
      <c r="R124" s="2" t="inlineStr">
        <is>
          <t>Granticka
Lunglav
Tretåig hackspett</t>
        </is>
      </c>
      <c r="S124">
        <f>HYPERLINK("https://klasma.github.io/Logging_2321/artfynd/A 23729-2023 artfynd.xlsx", "A 23729-2023")</f>
        <v/>
      </c>
      <c r="T124">
        <f>HYPERLINK("https://klasma.github.io/Logging_2321/kartor/A 23729-2023 karta.png", "A 23729-2023")</f>
        <v/>
      </c>
      <c r="V124">
        <f>HYPERLINK("https://klasma.github.io/Logging_2321/klagomål/A 23729-2023 FSC-klagomål.docx", "A 23729-2023")</f>
        <v/>
      </c>
      <c r="W124">
        <f>HYPERLINK("https://klasma.github.io/Logging_2321/klagomålsmail/A 23729-2023 FSC-klagomål mail.docx", "A 23729-2023")</f>
        <v/>
      </c>
      <c r="X124">
        <f>HYPERLINK("https://klasma.github.io/Logging_2321/tillsyn/A 23729-2023 tillsynsbegäran.docx", "A 23729-2023")</f>
        <v/>
      </c>
      <c r="Y124">
        <f>HYPERLINK("https://klasma.github.io/Logging_2321/tillsynsmail/A 23729-2023 tillsynsbegäran mail.docx", "A 23729-2023")</f>
        <v/>
      </c>
      <c r="Z124">
        <f>HYPERLINK("https://klasma.github.io/Logging_2321/fåglar/A 23729-2023 prioriterade fågelarter.docx", "A 23729-2023")</f>
        <v/>
      </c>
    </row>
    <row r="125" ht="15" customHeight="1">
      <c r="A125" t="inlineStr">
        <is>
          <t>A 24549-2023</t>
        </is>
      </c>
      <c r="B125" s="1" t="n">
        <v>45082</v>
      </c>
      <c r="C125" s="1" t="n">
        <v>45680</v>
      </c>
      <c r="D125" t="inlineStr">
        <is>
          <t>JÄMTLANDS LÄN</t>
        </is>
      </c>
      <c r="E125" t="inlineStr">
        <is>
          <t>ÅRE</t>
        </is>
      </c>
      <c r="G125" t="n">
        <v>6.4</v>
      </c>
      <c r="H125" t="n">
        <v>2</v>
      </c>
      <c r="I125" t="n">
        <v>2</v>
      </c>
      <c r="J125" t="n">
        <v>0</v>
      </c>
      <c r="K125" t="n">
        <v>0</v>
      </c>
      <c r="L125" t="n">
        <v>0</v>
      </c>
      <c r="M125" t="n">
        <v>0</v>
      </c>
      <c r="N125" t="n">
        <v>0</v>
      </c>
      <c r="O125" t="n">
        <v>0</v>
      </c>
      <c r="P125" t="n">
        <v>0</v>
      </c>
      <c r="Q125" t="n">
        <v>3</v>
      </c>
      <c r="R125" s="2" t="inlineStr">
        <is>
          <t>Spindelblomster
Ögonpyrola
Revlummer</t>
        </is>
      </c>
      <c r="S125">
        <f>HYPERLINK("https://klasma.github.io/Logging_2321/artfynd/A 24549-2023 artfynd.xlsx", "A 24549-2023")</f>
        <v/>
      </c>
      <c r="T125">
        <f>HYPERLINK("https://klasma.github.io/Logging_2321/kartor/A 24549-2023 karta.png", "A 24549-2023")</f>
        <v/>
      </c>
      <c r="V125">
        <f>HYPERLINK("https://klasma.github.io/Logging_2321/klagomål/A 24549-2023 FSC-klagomål.docx", "A 24549-2023")</f>
        <v/>
      </c>
      <c r="W125">
        <f>HYPERLINK("https://klasma.github.io/Logging_2321/klagomålsmail/A 24549-2023 FSC-klagomål mail.docx", "A 24549-2023")</f>
        <v/>
      </c>
      <c r="X125">
        <f>HYPERLINK("https://klasma.github.io/Logging_2321/tillsyn/A 24549-2023 tillsynsbegäran.docx", "A 24549-2023")</f>
        <v/>
      </c>
      <c r="Y125">
        <f>HYPERLINK("https://klasma.github.io/Logging_2321/tillsynsmail/A 24549-2023 tillsynsbegäran mail.docx", "A 24549-2023")</f>
        <v/>
      </c>
    </row>
    <row r="126" ht="15" customHeight="1">
      <c r="A126" t="inlineStr">
        <is>
          <t>A 36260-2023</t>
        </is>
      </c>
      <c r="B126" s="1" t="n">
        <v>45151</v>
      </c>
      <c r="C126" s="1" t="n">
        <v>45680</v>
      </c>
      <c r="D126" t="inlineStr">
        <is>
          <t>JÄMTLANDS LÄN</t>
        </is>
      </c>
      <c r="E126" t="inlineStr">
        <is>
          <t>ÅRE</t>
        </is>
      </c>
      <c r="G126" t="n">
        <v>2.6</v>
      </c>
      <c r="H126" t="n">
        <v>0</v>
      </c>
      <c r="I126" t="n">
        <v>3</v>
      </c>
      <c r="J126" t="n">
        <v>0</v>
      </c>
      <c r="K126" t="n">
        <v>0</v>
      </c>
      <c r="L126" t="n">
        <v>0</v>
      </c>
      <c r="M126" t="n">
        <v>0</v>
      </c>
      <c r="N126" t="n">
        <v>0</v>
      </c>
      <c r="O126" t="n">
        <v>0</v>
      </c>
      <c r="P126" t="n">
        <v>0</v>
      </c>
      <c r="Q126" t="n">
        <v>3</v>
      </c>
      <c r="R126" s="2" t="inlineStr">
        <is>
          <t>Svavelriska
Underviol
Vedticka</t>
        </is>
      </c>
      <c r="S126">
        <f>HYPERLINK("https://klasma.github.io/Logging_2321/artfynd/A 36260-2023 artfynd.xlsx", "A 36260-2023")</f>
        <v/>
      </c>
      <c r="T126">
        <f>HYPERLINK("https://klasma.github.io/Logging_2321/kartor/A 36260-2023 karta.png", "A 36260-2023")</f>
        <v/>
      </c>
      <c r="V126">
        <f>HYPERLINK("https://klasma.github.io/Logging_2321/klagomål/A 36260-2023 FSC-klagomål.docx", "A 36260-2023")</f>
        <v/>
      </c>
      <c r="W126">
        <f>HYPERLINK("https://klasma.github.io/Logging_2321/klagomålsmail/A 36260-2023 FSC-klagomål mail.docx", "A 36260-2023")</f>
        <v/>
      </c>
      <c r="X126">
        <f>HYPERLINK("https://klasma.github.io/Logging_2321/tillsyn/A 36260-2023 tillsynsbegäran.docx", "A 36260-2023")</f>
        <v/>
      </c>
      <c r="Y126">
        <f>HYPERLINK("https://klasma.github.io/Logging_2321/tillsynsmail/A 36260-2023 tillsynsbegäran mail.docx", "A 36260-2023")</f>
        <v/>
      </c>
    </row>
    <row r="127" ht="15" customHeight="1">
      <c r="A127" t="inlineStr">
        <is>
          <t>A 40245-2023</t>
        </is>
      </c>
      <c r="B127" s="1" t="n">
        <v>45167</v>
      </c>
      <c r="C127" s="1" t="n">
        <v>45680</v>
      </c>
      <c r="D127" t="inlineStr">
        <is>
          <t>JÄMTLANDS LÄN</t>
        </is>
      </c>
      <c r="E127" t="inlineStr">
        <is>
          <t>ÅRE</t>
        </is>
      </c>
      <c r="G127" t="n">
        <v>18.8</v>
      </c>
      <c r="H127" t="n">
        <v>1</v>
      </c>
      <c r="I127" t="n">
        <v>0</v>
      </c>
      <c r="J127" t="n">
        <v>3</v>
      </c>
      <c r="K127" t="n">
        <v>0</v>
      </c>
      <c r="L127" t="n">
        <v>0</v>
      </c>
      <c r="M127" t="n">
        <v>0</v>
      </c>
      <c r="N127" t="n">
        <v>0</v>
      </c>
      <c r="O127" t="n">
        <v>3</v>
      </c>
      <c r="P127" t="n">
        <v>0</v>
      </c>
      <c r="Q127" t="n">
        <v>3</v>
      </c>
      <c r="R127" s="2" t="inlineStr">
        <is>
          <t>Lunglav
Skrovellav
Tretåig hackspett</t>
        </is>
      </c>
      <c r="S127">
        <f>HYPERLINK("https://klasma.github.io/Logging_2321/artfynd/A 40245-2023 artfynd.xlsx", "A 40245-2023")</f>
        <v/>
      </c>
      <c r="T127">
        <f>HYPERLINK("https://klasma.github.io/Logging_2321/kartor/A 40245-2023 karta.png", "A 40245-2023")</f>
        <v/>
      </c>
      <c r="V127">
        <f>HYPERLINK("https://klasma.github.io/Logging_2321/klagomål/A 40245-2023 FSC-klagomål.docx", "A 40245-2023")</f>
        <v/>
      </c>
      <c r="W127">
        <f>HYPERLINK("https://klasma.github.io/Logging_2321/klagomålsmail/A 40245-2023 FSC-klagomål mail.docx", "A 40245-2023")</f>
        <v/>
      </c>
      <c r="X127">
        <f>HYPERLINK("https://klasma.github.io/Logging_2321/tillsyn/A 40245-2023 tillsynsbegäran.docx", "A 40245-2023")</f>
        <v/>
      </c>
      <c r="Y127">
        <f>HYPERLINK("https://klasma.github.io/Logging_2321/tillsynsmail/A 40245-2023 tillsynsbegäran mail.docx", "A 40245-2023")</f>
        <v/>
      </c>
      <c r="Z127">
        <f>HYPERLINK("https://klasma.github.io/Logging_2321/fåglar/A 40245-2023 prioriterade fågelarter.docx", "A 40245-2023")</f>
        <v/>
      </c>
    </row>
    <row r="128" ht="15" customHeight="1">
      <c r="A128" t="inlineStr">
        <is>
          <t>A 58387-2023</t>
        </is>
      </c>
      <c r="B128" s="1" t="n">
        <v>45250</v>
      </c>
      <c r="C128" s="1" t="n">
        <v>45680</v>
      </c>
      <c r="D128" t="inlineStr">
        <is>
          <t>JÄMTLANDS LÄN</t>
        </is>
      </c>
      <c r="E128" t="inlineStr">
        <is>
          <t>ÅRE</t>
        </is>
      </c>
      <c r="G128" t="n">
        <v>24.7</v>
      </c>
      <c r="H128" t="n">
        <v>3</v>
      </c>
      <c r="I128" t="n">
        <v>0</v>
      </c>
      <c r="J128" t="n">
        <v>2</v>
      </c>
      <c r="K128" t="n">
        <v>0</v>
      </c>
      <c r="L128" t="n">
        <v>0</v>
      </c>
      <c r="M128" t="n">
        <v>0</v>
      </c>
      <c r="N128" t="n">
        <v>0</v>
      </c>
      <c r="O128" t="n">
        <v>2</v>
      </c>
      <c r="P128" t="n">
        <v>0</v>
      </c>
      <c r="Q128" t="n">
        <v>3</v>
      </c>
      <c r="R128" s="2" t="inlineStr">
        <is>
          <t>Spillkråka
Tretåig hackspett
Lavskrika</t>
        </is>
      </c>
      <c r="S128">
        <f>HYPERLINK("https://klasma.github.io/Logging_2321/artfynd/A 58387-2023 artfynd.xlsx", "A 58387-2023")</f>
        <v/>
      </c>
      <c r="T128">
        <f>HYPERLINK("https://klasma.github.io/Logging_2321/kartor/A 58387-2023 karta.png", "A 58387-2023")</f>
        <v/>
      </c>
      <c r="V128">
        <f>HYPERLINK("https://klasma.github.io/Logging_2321/klagomål/A 58387-2023 FSC-klagomål.docx", "A 58387-2023")</f>
        <v/>
      </c>
      <c r="W128">
        <f>HYPERLINK("https://klasma.github.io/Logging_2321/klagomålsmail/A 58387-2023 FSC-klagomål mail.docx", "A 58387-2023")</f>
        <v/>
      </c>
      <c r="X128">
        <f>HYPERLINK("https://klasma.github.io/Logging_2321/tillsyn/A 58387-2023 tillsynsbegäran.docx", "A 58387-2023")</f>
        <v/>
      </c>
      <c r="Y128">
        <f>HYPERLINK("https://klasma.github.io/Logging_2321/tillsynsmail/A 58387-2023 tillsynsbegäran mail.docx", "A 58387-2023")</f>
        <v/>
      </c>
      <c r="Z128">
        <f>HYPERLINK("https://klasma.github.io/Logging_2321/fåglar/A 58387-2023 prioriterade fågelarter.docx", "A 58387-2023")</f>
        <v/>
      </c>
    </row>
    <row r="129" ht="15" customHeight="1">
      <c r="A129" t="inlineStr">
        <is>
          <t>A 8121-2024</t>
        </is>
      </c>
      <c r="B129" s="1" t="n">
        <v>45351</v>
      </c>
      <c r="C129" s="1" t="n">
        <v>45680</v>
      </c>
      <c r="D129" t="inlineStr">
        <is>
          <t>JÄMTLANDS LÄN</t>
        </is>
      </c>
      <c r="E129" t="inlineStr">
        <is>
          <t>ÅRE</t>
        </is>
      </c>
      <c r="F129" t="inlineStr">
        <is>
          <t>Övriga Aktiebolag</t>
        </is>
      </c>
      <c r="G129" t="n">
        <v>14.7</v>
      </c>
      <c r="H129" t="n">
        <v>0</v>
      </c>
      <c r="I129" t="n">
        <v>0</v>
      </c>
      <c r="J129" t="n">
        <v>3</v>
      </c>
      <c r="K129" t="n">
        <v>0</v>
      </c>
      <c r="L129" t="n">
        <v>0</v>
      </c>
      <c r="M129" t="n">
        <v>0</v>
      </c>
      <c r="N129" t="n">
        <v>0</v>
      </c>
      <c r="O129" t="n">
        <v>3</v>
      </c>
      <c r="P129" t="n">
        <v>0</v>
      </c>
      <c r="Q129" t="n">
        <v>3</v>
      </c>
      <c r="R129" s="2" t="inlineStr">
        <is>
          <t>Dvärgbägarlav
Nordtagging
Skrovellav</t>
        </is>
      </c>
      <c r="S129">
        <f>HYPERLINK("https://klasma.github.io/Logging_2321/artfynd/A 8121-2024 artfynd.xlsx", "A 8121-2024")</f>
        <v/>
      </c>
      <c r="T129">
        <f>HYPERLINK("https://klasma.github.io/Logging_2321/kartor/A 8121-2024 karta.png", "A 8121-2024")</f>
        <v/>
      </c>
      <c r="V129">
        <f>HYPERLINK("https://klasma.github.io/Logging_2321/klagomål/A 8121-2024 FSC-klagomål.docx", "A 8121-2024")</f>
        <v/>
      </c>
      <c r="W129">
        <f>HYPERLINK("https://klasma.github.io/Logging_2321/klagomålsmail/A 8121-2024 FSC-klagomål mail.docx", "A 8121-2024")</f>
        <v/>
      </c>
      <c r="X129">
        <f>HYPERLINK("https://klasma.github.io/Logging_2321/tillsyn/A 8121-2024 tillsynsbegäran.docx", "A 8121-2024")</f>
        <v/>
      </c>
      <c r="Y129">
        <f>HYPERLINK("https://klasma.github.io/Logging_2321/tillsynsmail/A 8121-2024 tillsynsbegäran mail.docx", "A 8121-2024")</f>
        <v/>
      </c>
    </row>
    <row r="130" ht="15" customHeight="1">
      <c r="A130" t="inlineStr">
        <is>
          <t>A 10501-2024</t>
        </is>
      </c>
      <c r="B130" s="1" t="n">
        <v>45366</v>
      </c>
      <c r="C130" s="1" t="n">
        <v>45680</v>
      </c>
      <c r="D130" t="inlineStr">
        <is>
          <t>JÄMTLANDS LÄN</t>
        </is>
      </c>
      <c r="E130" t="inlineStr">
        <is>
          <t>ÅRE</t>
        </is>
      </c>
      <c r="G130" t="n">
        <v>4.5</v>
      </c>
      <c r="H130" t="n">
        <v>0</v>
      </c>
      <c r="I130" t="n">
        <v>0</v>
      </c>
      <c r="J130" t="n">
        <v>3</v>
      </c>
      <c r="K130" t="n">
        <v>0</v>
      </c>
      <c r="L130" t="n">
        <v>0</v>
      </c>
      <c r="M130" t="n">
        <v>0</v>
      </c>
      <c r="N130" t="n">
        <v>0</v>
      </c>
      <c r="O130" t="n">
        <v>3</v>
      </c>
      <c r="P130" t="n">
        <v>0</v>
      </c>
      <c r="Q130" t="n">
        <v>3</v>
      </c>
      <c r="R130" s="2" t="inlineStr">
        <is>
          <t>Doftskinn
Granticka
Harticka</t>
        </is>
      </c>
      <c r="S130">
        <f>HYPERLINK("https://klasma.github.io/Logging_2321/artfynd/A 10501-2024 artfynd.xlsx", "A 10501-2024")</f>
        <v/>
      </c>
      <c r="T130">
        <f>HYPERLINK("https://klasma.github.io/Logging_2321/kartor/A 10501-2024 karta.png", "A 10501-2024")</f>
        <v/>
      </c>
      <c r="V130">
        <f>HYPERLINK("https://klasma.github.io/Logging_2321/klagomål/A 10501-2024 FSC-klagomål.docx", "A 10501-2024")</f>
        <v/>
      </c>
      <c r="W130">
        <f>HYPERLINK("https://klasma.github.io/Logging_2321/klagomålsmail/A 10501-2024 FSC-klagomål mail.docx", "A 10501-2024")</f>
        <v/>
      </c>
      <c r="X130">
        <f>HYPERLINK("https://klasma.github.io/Logging_2321/tillsyn/A 10501-2024 tillsynsbegäran.docx", "A 10501-2024")</f>
        <v/>
      </c>
      <c r="Y130">
        <f>HYPERLINK("https://klasma.github.io/Logging_2321/tillsynsmail/A 10501-2024 tillsynsbegäran mail.docx", "A 10501-2024")</f>
        <v/>
      </c>
    </row>
    <row r="131" ht="15" customHeight="1">
      <c r="A131" t="inlineStr">
        <is>
          <t>A 17637-2024</t>
        </is>
      </c>
      <c r="B131" s="1" t="n">
        <v>45418</v>
      </c>
      <c r="C131" s="1" t="n">
        <v>45680</v>
      </c>
      <c r="D131" t="inlineStr">
        <is>
          <t>JÄMTLANDS LÄN</t>
        </is>
      </c>
      <c r="E131" t="inlineStr">
        <is>
          <t>ÅRE</t>
        </is>
      </c>
      <c r="F131" t="inlineStr">
        <is>
          <t>Övriga Aktiebolag</t>
        </is>
      </c>
      <c r="G131" t="n">
        <v>16.1</v>
      </c>
      <c r="H131" t="n">
        <v>1</v>
      </c>
      <c r="I131" t="n">
        <v>0</v>
      </c>
      <c r="J131" t="n">
        <v>2</v>
      </c>
      <c r="K131" t="n">
        <v>0</v>
      </c>
      <c r="L131" t="n">
        <v>0</v>
      </c>
      <c r="M131" t="n">
        <v>0</v>
      </c>
      <c r="N131" t="n">
        <v>0</v>
      </c>
      <c r="O131" t="n">
        <v>2</v>
      </c>
      <c r="P131" t="n">
        <v>0</v>
      </c>
      <c r="Q131" t="n">
        <v>3</v>
      </c>
      <c r="R131" s="2" t="inlineStr">
        <is>
          <t>Doftskinn
Garnlav
Fläcknycklar</t>
        </is>
      </c>
      <c r="S131">
        <f>HYPERLINK("https://klasma.github.io/Logging_2321/artfynd/A 17637-2024 artfynd.xlsx", "A 17637-2024")</f>
        <v/>
      </c>
      <c r="T131">
        <f>HYPERLINK("https://klasma.github.io/Logging_2321/kartor/A 17637-2024 karta.png", "A 17637-2024")</f>
        <v/>
      </c>
      <c r="V131">
        <f>HYPERLINK("https://klasma.github.io/Logging_2321/klagomål/A 17637-2024 FSC-klagomål.docx", "A 17637-2024")</f>
        <v/>
      </c>
      <c r="W131">
        <f>HYPERLINK("https://klasma.github.io/Logging_2321/klagomålsmail/A 17637-2024 FSC-klagomål mail.docx", "A 17637-2024")</f>
        <v/>
      </c>
      <c r="X131">
        <f>HYPERLINK("https://klasma.github.io/Logging_2321/tillsyn/A 17637-2024 tillsynsbegäran.docx", "A 17637-2024")</f>
        <v/>
      </c>
      <c r="Y131">
        <f>HYPERLINK("https://klasma.github.io/Logging_2321/tillsynsmail/A 17637-2024 tillsynsbegäran mail.docx", "A 17637-2024")</f>
        <v/>
      </c>
    </row>
    <row r="132" ht="15" customHeight="1">
      <c r="A132" t="inlineStr">
        <is>
          <t>A 18716-2024</t>
        </is>
      </c>
      <c r="B132" s="1" t="n">
        <v>45426</v>
      </c>
      <c r="C132" s="1" t="n">
        <v>45680</v>
      </c>
      <c r="D132" t="inlineStr">
        <is>
          <t>JÄMTLANDS LÄN</t>
        </is>
      </c>
      <c r="E132" t="inlineStr">
        <is>
          <t>ÅRE</t>
        </is>
      </c>
      <c r="F132" t="inlineStr">
        <is>
          <t>Övriga Aktiebolag</t>
        </is>
      </c>
      <c r="G132" t="n">
        <v>1.3</v>
      </c>
      <c r="H132" t="n">
        <v>1</v>
      </c>
      <c r="I132" t="n">
        <v>0</v>
      </c>
      <c r="J132" t="n">
        <v>3</v>
      </c>
      <c r="K132" t="n">
        <v>0</v>
      </c>
      <c r="L132" t="n">
        <v>0</v>
      </c>
      <c r="M132" t="n">
        <v>0</v>
      </c>
      <c r="N132" t="n">
        <v>0</v>
      </c>
      <c r="O132" t="n">
        <v>3</v>
      </c>
      <c r="P132" t="n">
        <v>0</v>
      </c>
      <c r="Q132" t="n">
        <v>3</v>
      </c>
      <c r="R132" s="2" t="inlineStr">
        <is>
          <t>Doftskinn
Granticka
Tretåig hackspett</t>
        </is>
      </c>
      <c r="S132">
        <f>HYPERLINK("https://klasma.github.io/Logging_2321/artfynd/A 18716-2024 artfynd.xlsx", "A 18716-2024")</f>
        <v/>
      </c>
      <c r="T132">
        <f>HYPERLINK("https://klasma.github.io/Logging_2321/kartor/A 18716-2024 karta.png", "A 18716-2024")</f>
        <v/>
      </c>
      <c r="V132">
        <f>HYPERLINK("https://klasma.github.io/Logging_2321/klagomål/A 18716-2024 FSC-klagomål.docx", "A 18716-2024")</f>
        <v/>
      </c>
      <c r="W132">
        <f>HYPERLINK("https://klasma.github.io/Logging_2321/klagomålsmail/A 18716-2024 FSC-klagomål mail.docx", "A 18716-2024")</f>
        <v/>
      </c>
      <c r="X132">
        <f>HYPERLINK("https://klasma.github.io/Logging_2321/tillsyn/A 18716-2024 tillsynsbegäran.docx", "A 18716-2024")</f>
        <v/>
      </c>
      <c r="Y132">
        <f>HYPERLINK("https://klasma.github.io/Logging_2321/tillsynsmail/A 18716-2024 tillsynsbegäran mail.docx", "A 18716-2024")</f>
        <v/>
      </c>
      <c r="Z132">
        <f>HYPERLINK("https://klasma.github.io/Logging_2321/fåglar/A 18716-2024 prioriterade fågelarter.docx", "A 18716-2024")</f>
        <v/>
      </c>
    </row>
    <row r="133" ht="15" customHeight="1">
      <c r="A133" t="inlineStr">
        <is>
          <t>A 41563-2024</t>
        </is>
      </c>
      <c r="B133" s="1" t="n">
        <v>45560</v>
      </c>
      <c r="C133" s="1" t="n">
        <v>45680</v>
      </c>
      <c r="D133" t="inlineStr">
        <is>
          <t>JÄMTLANDS LÄN</t>
        </is>
      </c>
      <c r="E133" t="inlineStr">
        <is>
          <t>ÅRE</t>
        </is>
      </c>
      <c r="G133" t="n">
        <v>9.4</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HYPERLINK("https://klasma.github.io/Logging_2321/artfynd/A 41563-2024 artfynd.xlsx", "A 41563-2024")</f>
        <v/>
      </c>
      <c r="T133">
        <f>HYPERLINK("https://klasma.github.io/Logging_2321/kartor/A 41563-2024 karta.png", "A 41563-2024")</f>
        <v/>
      </c>
      <c r="V133">
        <f>HYPERLINK("https://klasma.github.io/Logging_2321/klagomål/A 41563-2024 FSC-klagomål.docx", "A 41563-2024")</f>
        <v/>
      </c>
      <c r="W133">
        <f>HYPERLINK("https://klasma.github.io/Logging_2321/klagomålsmail/A 41563-2024 FSC-klagomål mail.docx", "A 41563-2024")</f>
        <v/>
      </c>
      <c r="X133">
        <f>HYPERLINK("https://klasma.github.io/Logging_2321/tillsyn/A 41563-2024 tillsynsbegäran.docx", "A 41563-2024")</f>
        <v/>
      </c>
      <c r="Y133">
        <f>HYPERLINK("https://klasma.github.io/Logging_2321/tillsynsmail/A 41563-2024 tillsynsbegäran mail.docx", "A 41563-2024")</f>
        <v/>
      </c>
      <c r="Z133">
        <f>HYPERLINK("https://klasma.github.io/Logging_2321/fåglar/A 41563-2024 prioriterade fågelarter.docx", "A 41563-2024")</f>
        <v/>
      </c>
    </row>
    <row r="134" ht="15" customHeight="1">
      <c r="A134" t="inlineStr">
        <is>
          <t>A 52588-2024</t>
        </is>
      </c>
      <c r="B134" s="1" t="n">
        <v>45609</v>
      </c>
      <c r="C134" s="1" t="n">
        <v>45680</v>
      </c>
      <c r="D134" t="inlineStr">
        <is>
          <t>JÄMTLANDS LÄN</t>
        </is>
      </c>
      <c r="E134" t="inlineStr">
        <is>
          <t>ÅRE</t>
        </is>
      </c>
      <c r="G134" t="n">
        <v>6.5</v>
      </c>
      <c r="H134" t="n">
        <v>0</v>
      </c>
      <c r="I134" t="n">
        <v>1</v>
      </c>
      <c r="J134" t="n">
        <v>2</v>
      </c>
      <c r="K134" t="n">
        <v>0</v>
      </c>
      <c r="L134" t="n">
        <v>0</v>
      </c>
      <c r="M134" t="n">
        <v>0</v>
      </c>
      <c r="N134" t="n">
        <v>0</v>
      </c>
      <c r="O134" t="n">
        <v>2</v>
      </c>
      <c r="P134" t="n">
        <v>0</v>
      </c>
      <c r="Q134" t="n">
        <v>3</v>
      </c>
      <c r="R134" s="2" t="inlineStr">
        <is>
          <t>Garnlav
Liten svartspik
Vedticka</t>
        </is>
      </c>
      <c r="S134">
        <f>HYPERLINK("https://klasma.github.io/Logging_2321/artfynd/A 52588-2024 artfynd.xlsx", "A 52588-2024")</f>
        <v/>
      </c>
      <c r="T134">
        <f>HYPERLINK("https://klasma.github.io/Logging_2321/kartor/A 52588-2024 karta.png", "A 52588-2024")</f>
        <v/>
      </c>
      <c r="V134">
        <f>HYPERLINK("https://klasma.github.io/Logging_2321/klagomål/A 52588-2024 FSC-klagomål.docx", "A 52588-2024")</f>
        <v/>
      </c>
      <c r="W134">
        <f>HYPERLINK("https://klasma.github.io/Logging_2321/klagomålsmail/A 52588-2024 FSC-klagomål mail.docx", "A 52588-2024")</f>
        <v/>
      </c>
      <c r="X134">
        <f>HYPERLINK("https://klasma.github.io/Logging_2321/tillsyn/A 52588-2024 tillsynsbegäran.docx", "A 52588-2024")</f>
        <v/>
      </c>
      <c r="Y134">
        <f>HYPERLINK("https://klasma.github.io/Logging_2321/tillsynsmail/A 52588-2024 tillsynsbegäran mail.docx", "A 52588-2024")</f>
        <v/>
      </c>
    </row>
    <row r="135" ht="15" customHeight="1">
      <c r="A135" t="inlineStr">
        <is>
          <t>A 57918-2024</t>
        </is>
      </c>
      <c r="B135" s="1" t="n">
        <v>45631</v>
      </c>
      <c r="C135" s="1" t="n">
        <v>45680</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45680</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45680</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45680</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45680</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45680</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45680</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45680</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45680</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45680</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45680</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45680</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45680</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45680</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45680</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45680</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45680</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45680</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45680</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45680</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45680</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45680</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45680</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45680</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45680</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45680</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45680</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45680</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45680</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45680</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45680</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45680</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45680</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45680</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45680</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45680</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45680</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45680</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45680</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45680</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45651</v>
      </c>
      <c r="C175" s="1" t="n">
        <v>45680</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45680</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45680</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45680</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45680</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45680</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45680</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45680</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45680</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45680</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45680</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45680</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45680</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45680</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45680</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45680</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45680</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45680</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45680</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45680</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45680</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45680</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45680</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45680</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45680</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45680</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45680</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45680</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45680</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45680</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45680</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45680</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45680</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45680</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45680</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45680</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45680</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45680</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45680</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45680</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45680</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45680</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45680</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45680</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45680</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45680</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45680</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45680</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45680</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45680</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45680</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45680</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45680</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45680</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45680</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45680</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45680</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45680</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45680</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45680</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45680</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45680</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45680</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45680</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45680</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45680</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45680</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45680</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45680</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45680</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45680</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45680</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45680</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45680</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45680</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45680</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45680</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45680</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45680</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45680</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45680</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45680</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45680</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45680</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45680</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45680</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45680</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45680</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45680</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45680</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45680</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45680</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45680</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45680</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45680</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45680</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45680</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45680</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45680</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45680</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45680</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45680</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45680</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45680</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45680</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45680</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45680</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45680</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45680</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45680</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45680</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45680</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45680</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45680</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45680</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45680</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45680</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45680</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45680</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45680</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45680</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45680</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45680</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45680</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45680</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45680</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45680</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45680</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45680</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45680</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45680</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45680</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45680</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45680</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45680</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45680</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45680</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45680</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45680</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45680</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45680</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45680</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45680</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45680</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45680</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45680</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45680</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45680</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45680</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45680</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45680</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45680</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45680</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45680</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45680</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45680</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45680</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45680</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45680</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45680</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45680</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45680</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45680</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45680</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45680</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45680</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45680</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45680</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45680</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45680</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45680</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45680</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45680</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45680</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45680</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45680</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45680</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45680</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45680</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45680</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45680</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45680</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45680</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45680</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45680</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45680</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45680</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45680</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45680</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45680</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45680</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45680</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45680</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45680</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45680</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45680</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45680</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45680</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45680</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45680</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45680</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45680</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45680</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45680</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45680</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45680</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45680</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45680</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45680</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45680</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45680</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45680</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45680</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45680</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45680</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45680</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45680</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45680</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45680</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45680</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45680</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45680</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45680</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45680</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45680</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45680</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45680</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45680</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45680</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45680</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45680</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45680</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45680</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45680</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45680</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45680</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45680</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45680</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45680</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45680</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45680</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45680</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45680</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45680</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45680</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45680</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45680</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45680</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45680</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45680</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45680</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45680</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45680</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45680</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45680</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45680</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45680</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45680</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45680</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45680</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45680</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45680</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45680</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45680</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45680</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45680</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45680</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45680</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45680</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45680</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45680</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45680</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45680</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45680</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45680</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45680</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45680</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45680</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45680</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45680</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45680</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45680</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45680</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45680</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45680</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45680</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45680</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45680</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45680</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45680</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45680</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45680</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45680</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45680</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45680</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45680</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45680</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45680</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45680</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45680</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45680</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45680</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45680</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45680</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45680</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45680</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45680</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45680</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45680</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45680</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45680</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45680</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45680</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45680</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45680</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45680</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45680</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45680</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45680</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45680</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45680</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45680</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45680</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45680</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45680</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45680</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45680</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45680</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45680</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45680</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45680</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45680</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45680</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45680</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45680</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45680</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45680</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45680</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45680</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45680</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45680</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45680</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45680</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45680</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45680</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45680</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45680</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45680</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45680</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45680</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45680</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45680</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45680</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45680</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45680</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45680</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45680</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45680</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45680</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45680</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45680</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45680</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45680</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45680</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45680</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45680</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45680</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45680</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45680</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45680</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45680</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45680</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45680</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45680</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45680</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45680</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45680</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45680</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45680</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45680</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45680</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45680</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45680</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45680</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45680</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45680</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45680</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45680</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45680</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45680</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45680</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45680</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45680</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45680</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45680</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45680</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45680</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45680</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45680</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45680</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45680</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45680</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45680</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45680</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45680</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45680</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45680</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45680</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45680</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45680</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45680</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45680</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45680</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45680</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45680</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45680</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45680</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45680</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45680</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45680</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45680</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45680</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45680</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45680</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45680</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45680</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45680</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45680</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45680</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45680</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45680</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45680</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45680</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45680</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45680</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45680</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45680</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45680</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45680</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45680</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45680</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45680</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45680</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45680</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45680</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45680</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45680</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45680</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45680</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45680</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45680</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45680</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45680</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45680</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45680</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45680</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45680</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45680</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45680</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45680</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45680</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45680</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45680</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45680</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45680</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45680</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45680</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45680</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45680</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45680</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45680</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45680</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45680</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45680</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45680</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45680</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45680</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45680</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45680</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45680</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45680</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45680</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45680</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45680</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45680</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45680</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45680</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45680</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45680</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45680</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45680</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45680</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45680</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45680</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45680</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45680</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45680</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45680</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45680</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45680</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45680</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45680</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45680</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45680</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45680</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45680</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45680</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45680</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45680</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45680</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45680</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45680</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45680</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45680</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45680</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45680</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45680</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45680</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45680</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45680</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45680</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45680</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45680</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45680</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45680</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45680</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45680</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45680</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45680</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45680</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45680</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45680</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45680</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45680</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45680</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45680</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45680</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45680</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45680</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45680</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45680</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45680</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45680</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45680</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45680</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45680</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45680</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45680</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45680</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45680</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45680</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45680</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45680</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45680</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45680</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45680</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45680</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45680</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45680</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45680</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45680</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45680</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45680</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45680</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45680</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45680</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45680</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45680</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45680</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45680</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45680</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45680</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45680</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45680</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45680</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45680</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45680</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45680</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45680</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45680</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45680</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45680</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45680</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45680</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45680</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45680</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45680</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45680</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45680</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45680</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45680</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45680</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45680</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45680</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45680</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45680</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45680</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45680</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45680</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45680</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45680</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45680</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45680</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45680</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45680</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45680</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45680</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45680</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45680</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45680</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45680</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45680</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45680</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45680</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45680</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45680</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45680</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45680</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45680</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45680</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45680</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45680</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45680</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45680</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45680</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45680</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45680</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45680</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45680</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45680</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45680</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45680</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45680</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45680</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45680</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45680</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45680</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45680</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45680</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45680</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45680</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45680</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45680</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45680</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45680</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45680</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45680</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45680</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45680</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45680</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45680</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45680</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45680</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45680</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45680</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45680</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45680</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45680</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45680</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45680</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45680</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45680</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45680</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45680</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45680</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45680</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45680</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45680</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45680</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45680</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45680</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45680</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45680</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45680</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45680</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45680</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45680</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45680</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45680</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45680</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45680</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45680</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45680</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45680</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45680</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45680</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45680</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45680</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45680</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45680</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45680</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45680</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45680</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45680</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45680</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45680</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45680</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45680</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45680</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45680</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45680</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45680</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45680</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45680</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45680</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45680</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45680</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45680</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45680</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45680</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45680</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45680</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45680</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45680</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45680</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45680</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45680</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45680</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45680</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45680</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45680</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45680</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45680</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45680</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45680</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45680</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45680</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45680</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45680</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45680</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45680</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45680</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45680</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45680</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45680</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45680</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45680</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45680</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45680</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45680</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45680</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45680</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45680</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45680</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45680</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45680</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45680</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45680</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45680</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45680</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45680</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45680</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45680</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45680</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45680</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45680</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45680</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45680</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45680</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45680</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45680</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45680</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45680</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45680</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45680</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45680</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45680</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45680</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45680</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45680</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45680</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45680</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45680</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45680</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45680</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45680</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45680</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45680</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45680</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45680</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45680</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45680</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45680</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45680</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1112-2025</t>
        </is>
      </c>
      <c r="B959" s="1" t="n">
        <v>45666</v>
      </c>
      <c r="C959" s="1" t="n">
        <v>45680</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row r="960" ht="15" customHeight="1">
      <c r="A960" t="inlineStr">
        <is>
          <t>A 1529-2025</t>
        </is>
      </c>
      <c r="B960" s="1" t="n">
        <v>45670</v>
      </c>
      <c r="C960" s="1" t="n">
        <v>45680</v>
      </c>
      <c r="D960" t="inlineStr">
        <is>
          <t>JÄMTLANDS LÄN</t>
        </is>
      </c>
      <c r="E960" t="inlineStr">
        <is>
          <t>ÅRE</t>
        </is>
      </c>
      <c r="G960" t="n">
        <v>13.3</v>
      </c>
      <c r="H960" t="n">
        <v>0</v>
      </c>
      <c r="I960" t="n">
        <v>0</v>
      </c>
      <c r="J960" t="n">
        <v>0</v>
      </c>
      <c r="K960" t="n">
        <v>0</v>
      </c>
      <c r="L960" t="n">
        <v>0</v>
      </c>
      <c r="M960" t="n">
        <v>0</v>
      </c>
      <c r="N960" t="n">
        <v>0</v>
      </c>
      <c r="O960" t="n">
        <v>0</v>
      </c>
      <c r="P960" t="n">
        <v>0</v>
      </c>
      <c r="Q960" t="n">
        <v>0</v>
      </c>
      <c r="R960" s="2" t="inlineStr"/>
    </row>
    <row r="961">
      <c r="A961" t="inlineStr">
        <is>
          <t>A 1541-2025</t>
        </is>
      </c>
      <c r="B961" s="1" t="n">
        <v>45670</v>
      </c>
      <c r="C961" s="1" t="n">
        <v>45680</v>
      </c>
      <c r="D961" t="inlineStr">
        <is>
          <t>JÄMTLANDS LÄN</t>
        </is>
      </c>
      <c r="E961" t="inlineStr">
        <is>
          <t>ÅRE</t>
        </is>
      </c>
      <c r="G961" t="n">
        <v>16.4</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2025-01-23T15:25:48Z</dcterms:created>
  <dcterms:modified xmlns:dcterms="http://purl.org/dc/terms/" xmlns:xsi="http://www.w3.org/2001/XMLSchema-instance" xsi:type="dcterms:W3CDTF">2025-01-23T15:25:48Z</dcterms:modified>
</cp:coreProperties>
</file>